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codeName="ThisWorkbook" defaultThemeVersion="124226"/>
  <mc:AlternateContent xmlns:mc="http://schemas.openxmlformats.org/markup-compatibility/2006">
    <mc:Choice Requires="x15">
      <x15ac:absPath xmlns:x15ac="http://schemas.microsoft.com/office/spreadsheetml/2010/11/ac" url="https://poleemploi.sharepoint.com/sites/MT-SIEGE-DSEE-Statistiques-EtudesetEvaluations/Documents partages/Accès répertoires DSEE/DSEE/Reuilly/PROD/Envois Mensuels/Ceryx/Mise en ligne STMT/Fichier Excel pour site internet/2025 - 06/"/>
    </mc:Choice>
  </mc:AlternateContent>
  <xr:revisionPtr revIDLastSave="7" documentId="8_{DCA557AA-5661-41C8-9BC6-8AF396950EFC}" xr6:coauthVersionLast="47" xr6:coauthVersionMax="47" xr10:uidLastSave="{4416FF66-435A-4955-A12C-8F186BBB459B}"/>
  <bookViews>
    <workbookView xWindow="28680" yWindow="-120" windowWidth="29040" windowHeight="15840" tabRatio="875" activeTab="10" xr2:uid="{00000000-000D-0000-FFFF-FFFF00000000}"/>
  </bookViews>
  <sheets>
    <sheet name="Descriptif" sheetId="14" r:id="rId1"/>
    <sheet name="DEFM cat A_age" sheetId="8" r:id="rId2"/>
    <sheet name="DEFM cat B_age" sheetId="17" r:id="rId3"/>
    <sheet name="DEFM cat C_age" sheetId="18" r:id="rId4"/>
    <sheet name="DEFM cat A par région" sheetId="21" r:id="rId5"/>
    <sheet name="DEFM cat ABC_age_sexe" sheetId="19" r:id="rId6"/>
    <sheet name="DEFM cat ABC par région" sheetId="22" r:id="rId7"/>
    <sheet name="DEFM cat BC_heures travaillées" sheetId="20" r:id="rId8"/>
    <sheet name="DEFM cat ABCDE" sheetId="10" r:id="rId9"/>
    <sheet name="DELD cat ABC_ancienneté" sheetId="11" r:id="rId10"/>
    <sheet name="Entrées cat ABC_motif" sheetId="12" r:id="rId11"/>
    <sheet name="Sorties cat ABC_motif" sheetId="13" r:id="rId12"/>
    <sheet name="DEFM HRSAML" sheetId="23" r:id="rId13"/>
  </sheets>
  <definedNames>
    <definedName name="_xlnm._FilterDatabase" localSheetId="9" hidden="1">'DELD cat ABC_ancienneté'!$A$6:$H$177</definedName>
    <definedName name="DEE">#REF!</definedName>
    <definedName name="DEFM">#REF!</definedName>
    <definedName name="D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25" i="19" l="1"/>
  <c r="AB126" i="20"/>
  <c r="Z126" i="20"/>
  <c r="AA126" i="20"/>
  <c r="X126" i="20"/>
  <c r="Y125" i="20"/>
  <c r="AA123" i="20"/>
  <c r="K121" i="20"/>
  <c r="AB121" i="20"/>
  <c r="W119" i="20"/>
  <c r="K118" i="20"/>
  <c r="AB117" i="20"/>
  <c r="AA115" i="20"/>
  <c r="W115" i="20"/>
  <c r="K115" i="20"/>
  <c r="K113" i="20"/>
  <c r="W111" i="20"/>
  <c r="K109" i="20"/>
  <c r="AB109" i="20"/>
  <c r="AA108" i="20"/>
  <c r="W108" i="20"/>
  <c r="Z108" i="20"/>
  <c r="W107" i="20"/>
  <c r="W104" i="20"/>
  <c r="X103" i="20"/>
  <c r="W103" i="20"/>
  <c r="K101" i="20"/>
  <c r="X99" i="20"/>
  <c r="AA99" i="20"/>
  <c r="X98" i="20"/>
  <c r="Z97" i="20"/>
  <c r="K97" i="20"/>
  <c r="X94" i="20"/>
  <c r="Z93" i="20"/>
  <c r="AA92" i="20"/>
  <c r="W92" i="20"/>
  <c r="Z92" i="20"/>
  <c r="AA91" i="20"/>
  <c r="W91" i="20"/>
  <c r="W88" i="20"/>
  <c r="X87" i="20"/>
  <c r="W87" i="20"/>
  <c r="X86" i="20"/>
  <c r="AB85" i="20"/>
  <c r="X83" i="20"/>
  <c r="AA83" i="20"/>
  <c r="W83" i="20"/>
  <c r="Y82" i="20"/>
  <c r="Y81" i="20"/>
  <c r="AB81" i="20"/>
  <c r="Y74" i="20"/>
  <c r="X72" i="20"/>
  <c r="Y70" i="20"/>
  <c r="X70" i="20"/>
  <c r="Y69" i="20"/>
  <c r="AB69" i="20"/>
  <c r="X67" i="20"/>
  <c r="Y66" i="20"/>
  <c r="Y65" i="20"/>
  <c r="AB65" i="20"/>
  <c r="X63" i="20"/>
  <c r="X62" i="20"/>
  <c r="Y61" i="20"/>
  <c r="Z59" i="20"/>
  <c r="Y58" i="20"/>
  <c r="X58" i="20"/>
  <c r="Z57" i="20"/>
  <c r="Y57" i="20"/>
  <c r="X57" i="20"/>
  <c r="AB57" i="20"/>
  <c r="Z55" i="20"/>
  <c r="X54" i="20"/>
  <c r="Y53" i="20"/>
  <c r="Z52" i="20"/>
  <c r="Y52" i="20"/>
  <c r="Y50" i="20"/>
  <c r="AB49" i="20"/>
  <c r="Z48" i="20"/>
  <c r="Y48" i="20"/>
  <c r="W47" i="20"/>
  <c r="Y46" i="20"/>
  <c r="Z46" i="20"/>
  <c r="Y45" i="20"/>
  <c r="X45" i="20"/>
  <c r="Z44" i="20"/>
  <c r="Z43" i="20"/>
  <c r="W43" i="20"/>
  <c r="Z41" i="20"/>
  <c r="X41" i="20"/>
  <c r="AA40" i="20"/>
  <c r="X39" i="20"/>
  <c r="W39" i="20"/>
  <c r="AA38" i="20"/>
  <c r="X38" i="20"/>
  <c r="W38" i="20"/>
  <c r="AA36" i="20"/>
  <c r="W36" i="20"/>
  <c r="Z36" i="20"/>
  <c r="X35" i="20"/>
  <c r="Z35" i="20"/>
  <c r="W35" i="20"/>
  <c r="AA34" i="20"/>
  <c r="X34" i="20"/>
  <c r="W34" i="20"/>
  <c r="X33" i="20"/>
  <c r="K33" i="20"/>
  <c r="AA31" i="20"/>
  <c r="AA30" i="20"/>
  <c r="X30" i="20"/>
  <c r="W30" i="20"/>
  <c r="AB30" i="20"/>
  <c r="K29" i="20"/>
  <c r="AA28" i="20"/>
  <c r="AA27" i="20"/>
  <c r="Z27" i="20"/>
  <c r="AA26" i="20"/>
  <c r="W26" i="20"/>
  <c r="Z25" i="20"/>
  <c r="X25" i="20"/>
  <c r="K25" i="20"/>
  <c r="AB25" i="20"/>
  <c r="AA24" i="20"/>
  <c r="AA23" i="20"/>
  <c r="W23" i="20"/>
  <c r="AA22" i="20"/>
  <c r="X22" i="20"/>
  <c r="K21" i="20"/>
  <c r="AA20" i="20"/>
  <c r="W20" i="20"/>
  <c r="Z20" i="20"/>
  <c r="X19" i="20"/>
  <c r="AA19" i="20"/>
  <c r="Z19" i="20"/>
  <c r="AA18" i="20"/>
  <c r="X17" i="20"/>
  <c r="AB122" i="20"/>
  <c r="AB114" i="20"/>
  <c r="K110" i="20"/>
  <c r="X107" i="20"/>
  <c r="AA104" i="20"/>
  <c r="Z101" i="20"/>
  <c r="AA100" i="20"/>
  <c r="AA96" i="20"/>
  <c r="X95" i="20"/>
  <c r="X91" i="20"/>
  <c r="Z89" i="20"/>
  <c r="AA84" i="20"/>
  <c r="W84" i="20"/>
  <c r="AB82" i="20"/>
  <c r="Y78" i="20"/>
  <c r="K70" i="20"/>
  <c r="Z69" i="20"/>
  <c r="Y62" i="20"/>
  <c r="Z61" i="20"/>
  <c r="Y54" i="20"/>
  <c r="Y51" i="20"/>
  <c r="Y42" i="20"/>
  <c r="K42" i="20"/>
  <c r="AB38" i="20"/>
  <c r="AA37" i="20"/>
  <c r="W33" i="20"/>
  <c r="X31" i="20"/>
  <c r="W28" i="20"/>
  <c r="X27" i="20"/>
  <c r="X23" i="20"/>
  <c r="AB22" i="20"/>
  <c r="AA16" i="20"/>
  <c r="W16" i="20"/>
  <c r="W22" i="20"/>
  <c r="Y25" i="20"/>
  <c r="W27" i="20"/>
  <c r="Z28" i="20"/>
  <c r="W31" i="20"/>
  <c r="AB33" i="20"/>
  <c r="Z33" i="20"/>
  <c r="AA35" i="20"/>
  <c r="K37" i="20"/>
  <c r="W37" i="20"/>
  <c r="AA39" i="20"/>
  <c r="AB42" i="20"/>
  <c r="X42" i="20"/>
  <c r="AA43" i="20"/>
  <c r="Y44" i="20"/>
  <c r="Z45" i="20"/>
  <c r="AB45" i="20"/>
  <c r="X46" i="20"/>
  <c r="AA47" i="20"/>
  <c r="AB47" i="20"/>
  <c r="Y49" i="20"/>
  <c r="X50" i="20"/>
  <c r="AB53" i="20"/>
  <c r="X53" i="20"/>
  <c r="Y56" i="20"/>
  <c r="AB61" i="20"/>
  <c r="Y64" i="20"/>
  <c r="X66" i="20"/>
  <c r="AJ66" i="20" s="1"/>
  <c r="Z68" i="20"/>
  <c r="K69" i="20"/>
  <c r="AB70" i="20"/>
  <c r="Z71" i="20"/>
  <c r="Y73" i="20"/>
  <c r="Z76" i="20"/>
  <c r="Y77" i="20"/>
  <c r="Z80" i="20"/>
  <c r="W82" i="20"/>
  <c r="W86" i="20"/>
  <c r="AA87" i="20"/>
  <c r="AB88" i="20"/>
  <c r="AA88" i="20"/>
  <c r="X90" i="20"/>
  <c r="AA90" i="20"/>
  <c r="W95" i="20"/>
  <c r="AA95" i="20"/>
  <c r="AA98" i="20"/>
  <c r="X101" i="20"/>
  <c r="AA103" i="20"/>
  <c r="Z105" i="20"/>
  <c r="AB105" i="20"/>
  <c r="AA106" i="20"/>
  <c r="AA107" i="20"/>
  <c r="AB108" i="20"/>
  <c r="AA111" i="20"/>
  <c r="AB113" i="20"/>
  <c r="K114" i="20"/>
  <c r="K117" i="20"/>
  <c r="AA119" i="20"/>
  <c r="AB120" i="20"/>
  <c r="K122" i="20"/>
  <c r="W123" i="20"/>
  <c r="AB125" i="20"/>
  <c r="K125" i="20"/>
  <c r="Z17" i="20"/>
  <c r="X18" i="20"/>
  <c r="W19" i="20"/>
  <c r="AM40" i="20" l="1"/>
  <c r="X16" i="20"/>
  <c r="AJ20" i="20" s="1"/>
  <c r="W17" i="20"/>
  <c r="AA17" i="20"/>
  <c r="X20" i="20"/>
  <c r="W21" i="20"/>
  <c r="AI25" i="20" s="1"/>
  <c r="AA21" i="20"/>
  <c r="X24" i="20"/>
  <c r="W25" i="20"/>
  <c r="AA25" i="20"/>
  <c r="AG25" i="20" s="1"/>
  <c r="X28" i="20"/>
  <c r="Z30" i="20"/>
  <c r="X32" i="20"/>
  <c r="AA33" i="20"/>
  <c r="AM37" i="20" s="1"/>
  <c r="X36" i="20"/>
  <c r="X40" i="20"/>
  <c r="W41" i="20"/>
  <c r="AA41" i="20"/>
  <c r="AM41" i="20" s="1"/>
  <c r="Z42" i="20"/>
  <c r="AB43" i="20"/>
  <c r="Y43" i="20"/>
  <c r="X44" i="20"/>
  <c r="AJ48" i="20" s="1"/>
  <c r="Y47" i="20"/>
  <c r="X48" i="20"/>
  <c r="Z50" i="20"/>
  <c r="AB51" i="20"/>
  <c r="AN55" i="20" s="1"/>
  <c r="X52" i="20"/>
  <c r="AB55" i="20"/>
  <c r="Y55" i="20"/>
  <c r="X56" i="20"/>
  <c r="AJ56" i="20" s="1"/>
  <c r="W57" i="20"/>
  <c r="AA57" i="20"/>
  <c r="AB59" i="20"/>
  <c r="Y59" i="20"/>
  <c r="AK59" i="20" s="1"/>
  <c r="AK61" i="20"/>
  <c r="AH109" i="20"/>
  <c r="AH121" i="20"/>
  <c r="W126" i="20"/>
  <c r="Y126" i="20"/>
  <c r="Y60" i="20"/>
  <c r="AE60" i="20" s="1"/>
  <c r="X60" i="20"/>
  <c r="W61" i="20"/>
  <c r="AA61" i="20"/>
  <c r="AB63" i="20"/>
  <c r="AN63" i="20" s="1"/>
  <c r="Z63" i="20"/>
  <c r="Y63" i="20"/>
  <c r="X64" i="20"/>
  <c r="X65" i="20"/>
  <c r="AJ65" i="20" s="1"/>
  <c r="Z67" i="20"/>
  <c r="Y67" i="20"/>
  <c r="Y68" i="20"/>
  <c r="X68" i="20"/>
  <c r="AJ68" i="20" s="1"/>
  <c r="Z70" i="20"/>
  <c r="AB71" i="20"/>
  <c r="Y71" i="20"/>
  <c r="AE71" i="20" s="1"/>
  <c r="AB72" i="20"/>
  <c r="AH72" i="20" s="1"/>
  <c r="K72" i="20"/>
  <c r="Y72" i="20"/>
  <c r="Z75" i="20"/>
  <c r="Y75" i="20"/>
  <c r="AE76" i="20" s="1"/>
  <c r="AB76" i="20"/>
  <c r="K76" i="20"/>
  <c r="Y76" i="20"/>
  <c r="AB79" i="20"/>
  <c r="AN83" i="20" s="1"/>
  <c r="Z79" i="20"/>
  <c r="Y79" i="20"/>
  <c r="AB80" i="20"/>
  <c r="K80" i="20"/>
  <c r="Y80" i="20"/>
  <c r="AA82" i="20"/>
  <c r="AB83" i="20"/>
  <c r="Z83" i="20"/>
  <c r="AL83" i="20" s="1"/>
  <c r="X84" i="20"/>
  <c r="W85" i="20"/>
  <c r="AA85" i="20"/>
  <c r="AA86" i="20"/>
  <c r="AG86" i="20" s="1"/>
  <c r="K87" i="20"/>
  <c r="W89" i="20"/>
  <c r="AA89" i="20"/>
  <c r="AG89" i="20" s="1"/>
  <c r="W90" i="20"/>
  <c r="AI94" i="20" s="1"/>
  <c r="K91" i="20"/>
  <c r="AB92" i="20"/>
  <c r="W93" i="20"/>
  <c r="AA93" i="20"/>
  <c r="AG93" i="20" s="1"/>
  <c r="W94" i="20"/>
  <c r="AA94" i="20"/>
  <c r="K95" i="20"/>
  <c r="AB96" i="20"/>
  <c r="AN96" i="20" s="1"/>
  <c r="X96" i="20"/>
  <c r="X97" i="20"/>
  <c r="W97" i="20"/>
  <c r="AA97" i="20"/>
  <c r="AG98" i="20" s="1"/>
  <c r="W98" i="20"/>
  <c r="K99" i="20"/>
  <c r="K100" i="20"/>
  <c r="X100" i="20"/>
  <c r="AJ104" i="20" s="1"/>
  <c r="W101" i="20"/>
  <c r="AA101" i="20"/>
  <c r="W102" i="20"/>
  <c r="AA102" i="20"/>
  <c r="AG103" i="20" s="1"/>
  <c r="Z103" i="20"/>
  <c r="K104" i="20"/>
  <c r="X104" i="20"/>
  <c r="W105" i="20"/>
  <c r="AC105" i="20" s="1"/>
  <c r="AA105" i="20"/>
  <c r="W106" i="20"/>
  <c r="Z107" i="20"/>
  <c r="X108" i="20"/>
  <c r="AJ112" i="20" s="1"/>
  <c r="AB111" i="20"/>
  <c r="AB112" i="20"/>
  <c r="K112" i="20"/>
  <c r="AB115" i="20"/>
  <c r="AN119" i="20" s="1"/>
  <c r="AB116" i="20"/>
  <c r="K116" i="20"/>
  <c r="AB119" i="20"/>
  <c r="K120" i="20"/>
  <c r="K123" i="20"/>
  <c r="AB124" i="20"/>
  <c r="K124" i="20"/>
  <c r="W125" i="20"/>
  <c r="AA125" i="20"/>
  <c r="AG126" i="20" s="1"/>
  <c r="X125" i="19"/>
  <c r="R125" i="19"/>
  <c r="Y125" i="19" s="1"/>
  <c r="W125" i="19"/>
  <c r="AH126" i="20"/>
  <c r="AN126" i="20"/>
  <c r="AE126" i="20"/>
  <c r="K126" i="20"/>
  <c r="AL107" i="20"/>
  <c r="AK53" i="20"/>
  <c r="AK57" i="20"/>
  <c r="AJ62" i="20"/>
  <c r="AK69" i="20"/>
  <c r="AG83" i="20"/>
  <c r="AI102" i="20"/>
  <c r="AI106" i="20"/>
  <c r="AK47" i="20"/>
  <c r="AJ101" i="20"/>
  <c r="AK73" i="20"/>
  <c r="AH113" i="20"/>
  <c r="AE70" i="20"/>
  <c r="AH117" i="20"/>
  <c r="AG96" i="20"/>
  <c r="AM26" i="20"/>
  <c r="AH125" i="20"/>
  <c r="K111" i="20"/>
  <c r="AJ90" i="20"/>
  <c r="AF69" i="20"/>
  <c r="AG84" i="20"/>
  <c r="AK81" i="20"/>
  <c r="AJ94" i="20"/>
  <c r="AB99" i="20"/>
  <c r="AH70" i="20"/>
  <c r="AF45" i="20"/>
  <c r="K119" i="20"/>
  <c r="K79" i="20"/>
  <c r="K71" i="20"/>
  <c r="AB123" i="20"/>
  <c r="AH123" i="20" s="1"/>
  <c r="AH82" i="20"/>
  <c r="AC108" i="20"/>
  <c r="AC17" i="20"/>
  <c r="AD68" i="20"/>
  <c r="AE79" i="20"/>
  <c r="AH83" i="20"/>
  <c r="AJ107" i="20"/>
  <c r="AK51" i="20"/>
  <c r="AC85" i="20"/>
  <c r="AD104" i="20"/>
  <c r="AN42" i="20"/>
  <c r="AJ103" i="20"/>
  <c r="AB118" i="20"/>
  <c r="AH118" i="20" s="1"/>
  <c r="AB110" i="20"/>
  <c r="AN114" i="20" s="1"/>
  <c r="AG106" i="20"/>
  <c r="AG107" i="20"/>
  <c r="AC102" i="20"/>
  <c r="AC98" i="20"/>
  <c r="AL93" i="20"/>
  <c r="AG102" i="20"/>
  <c r="AC83" i="20"/>
  <c r="AK65" i="20"/>
  <c r="AG18" i="20"/>
  <c r="AG104" i="20"/>
  <c r="AM104" i="20"/>
  <c r="AM123" i="20"/>
  <c r="AM119" i="20"/>
  <c r="AG94" i="20"/>
  <c r="AM94" i="20"/>
  <c r="AJ52" i="20"/>
  <c r="AG39" i="20"/>
  <c r="AM39" i="20"/>
  <c r="AG19" i="20"/>
  <c r="W18" i="20"/>
  <c r="AC18" i="20" s="1"/>
  <c r="W124" i="20"/>
  <c r="AC124" i="20" s="1"/>
  <c r="AH122" i="20"/>
  <c r="AA120" i="20"/>
  <c r="AA116" i="20"/>
  <c r="AH114" i="20"/>
  <c r="AA112" i="20"/>
  <c r="AM98" i="20"/>
  <c r="AM96" i="20"/>
  <c r="Z16" i="20"/>
  <c r="AL20" i="20" s="1"/>
  <c r="AA121" i="20"/>
  <c r="W121" i="20"/>
  <c r="AA117" i="20"/>
  <c r="W117" i="20"/>
  <c r="AA113" i="20"/>
  <c r="W113" i="20"/>
  <c r="AI113" i="20" s="1"/>
  <c r="AH111" i="20"/>
  <c r="AA109" i="20"/>
  <c r="W109" i="20"/>
  <c r="AC109" i="20" s="1"/>
  <c r="AG108" i="20"/>
  <c r="AM108" i="20"/>
  <c r="AM107" i="20"/>
  <c r="X106" i="20"/>
  <c r="AG105" i="20"/>
  <c r="AM105" i="20"/>
  <c r="X105" i="20"/>
  <c r="AJ105" i="20" s="1"/>
  <c r="AC104" i="20"/>
  <c r="AM103" i="20"/>
  <c r="X102" i="20"/>
  <c r="AD102" i="20" s="1"/>
  <c r="AG100" i="20"/>
  <c r="AM100" i="20"/>
  <c r="AG95" i="20"/>
  <c r="AM95" i="20"/>
  <c r="AC92" i="20"/>
  <c r="AI92" i="20"/>
  <c r="AG91" i="20"/>
  <c r="AM91" i="20"/>
  <c r="AE78" i="20"/>
  <c r="AK78" i="20"/>
  <c r="AJ72" i="20"/>
  <c r="AG41" i="20"/>
  <c r="AL45" i="20"/>
  <c r="AB41" i="20"/>
  <c r="AH42" i="20" s="1"/>
  <c r="K41" i="20"/>
  <c r="AG34" i="20"/>
  <c r="AM34" i="20"/>
  <c r="AG24" i="20"/>
  <c r="AM24" i="20"/>
  <c r="AM115" i="20"/>
  <c r="AM111" i="20"/>
  <c r="K107" i="20"/>
  <c r="AB107" i="20"/>
  <c r="K103" i="20"/>
  <c r="AB103" i="20"/>
  <c r="AC93" i="20"/>
  <c r="AI93" i="20"/>
  <c r="AE74" i="20"/>
  <c r="AK74" i="20"/>
  <c r="AG27" i="20"/>
  <c r="AM27" i="20"/>
  <c r="AM31" i="20"/>
  <c r="AG21" i="20"/>
  <c r="AM21" i="20"/>
  <c r="AA124" i="20"/>
  <c r="AG125" i="20" s="1"/>
  <c r="W120" i="20"/>
  <c r="AC120" i="20" s="1"/>
  <c r="W116" i="20"/>
  <c r="AC116" i="20" s="1"/>
  <c r="W112" i="20"/>
  <c r="AC112" i="20" s="1"/>
  <c r="AG99" i="20"/>
  <c r="AM99" i="20"/>
  <c r="AC89" i="20"/>
  <c r="AI89" i="20"/>
  <c r="AM30" i="20"/>
  <c r="AF17" i="20"/>
  <c r="X125" i="20"/>
  <c r="AD126" i="20" s="1"/>
  <c r="AH124" i="20"/>
  <c r="AA122" i="20"/>
  <c r="AG123" i="20" s="1"/>
  <c r="W122" i="20"/>
  <c r="AH120" i="20"/>
  <c r="AA118" i="20"/>
  <c r="AG119" i="20" s="1"/>
  <c r="W118" i="20"/>
  <c r="AC119" i="20" s="1"/>
  <c r="AH116" i="20"/>
  <c r="AA114" i="20"/>
  <c r="W114" i="20"/>
  <c r="AH112" i="20"/>
  <c r="AA110" i="20"/>
  <c r="W110" i="20"/>
  <c r="Y108" i="20"/>
  <c r="K108" i="20"/>
  <c r="AC107" i="20"/>
  <c r="AI107" i="20"/>
  <c r="Z104" i="20"/>
  <c r="AF104" i="20" s="1"/>
  <c r="AC103" i="20"/>
  <c r="AC88" i="20"/>
  <c r="AI88" i="20"/>
  <c r="AM87" i="20"/>
  <c r="AK77" i="20"/>
  <c r="AE75" i="20"/>
  <c r="AJ50" i="20"/>
  <c r="AD99" i="20"/>
  <c r="AJ99" i="20"/>
  <c r="AD97" i="20"/>
  <c r="W96" i="20"/>
  <c r="AC97" i="20" s="1"/>
  <c r="X93" i="20"/>
  <c r="AG92" i="20"/>
  <c r="AM92" i="20"/>
  <c r="X89" i="20"/>
  <c r="AD90" i="20" s="1"/>
  <c r="AG88" i="20"/>
  <c r="AM88" i="20"/>
  <c r="AG85" i="20"/>
  <c r="AC84" i="20"/>
  <c r="X76" i="20"/>
  <c r="K73" i="20"/>
  <c r="W70" i="20"/>
  <c r="AK55" i="20"/>
  <c r="Z18" i="20"/>
  <c r="AF19" i="20" s="1"/>
  <c r="Z124" i="20"/>
  <c r="Z123" i="20"/>
  <c r="Z122" i="20"/>
  <c r="AL126" i="20" s="1"/>
  <c r="Z121" i="20"/>
  <c r="Z120" i="20"/>
  <c r="Z119" i="20"/>
  <c r="Z118" i="20"/>
  <c r="Z117" i="20"/>
  <c r="Z116" i="20"/>
  <c r="Z115" i="20"/>
  <c r="Z114" i="20"/>
  <c r="Z113" i="20"/>
  <c r="Z112" i="20"/>
  <c r="Z111" i="20"/>
  <c r="Z110" i="20"/>
  <c r="Z109" i="20"/>
  <c r="AF109" i="20" s="1"/>
  <c r="AG101" i="20"/>
  <c r="AM101" i="20"/>
  <c r="W100" i="20"/>
  <c r="AI104" i="20" s="1"/>
  <c r="W99" i="20"/>
  <c r="AI103" i="20" s="1"/>
  <c r="AI97" i="20"/>
  <c r="Z95" i="20"/>
  <c r="AC94" i="20"/>
  <c r="AM93" i="20"/>
  <c r="Z91" i="20"/>
  <c r="AF92" i="20" s="1"/>
  <c r="AM89" i="20"/>
  <c r="Z87" i="20"/>
  <c r="AC86" i="20"/>
  <c r="AI86" i="20"/>
  <c r="Z84" i="20"/>
  <c r="AL84" i="20" s="1"/>
  <c r="K84" i="20"/>
  <c r="AB84" i="20"/>
  <c r="AH84" i="20" s="1"/>
  <c r="X80" i="20"/>
  <c r="K77" i="20"/>
  <c r="AB77" i="20"/>
  <c r="AH77" i="20" s="1"/>
  <c r="K74" i="20"/>
  <c r="AB74" i="20"/>
  <c r="X71" i="20"/>
  <c r="AD72" i="20" s="1"/>
  <c r="AJ67" i="20"/>
  <c r="AD67" i="20"/>
  <c r="AE66" i="20"/>
  <c r="Z66" i="20"/>
  <c r="AL70" i="20" s="1"/>
  <c r="Z62" i="20"/>
  <c r="AF62" i="20" s="1"/>
  <c r="AD58" i="20"/>
  <c r="AJ58" i="20"/>
  <c r="X55" i="20"/>
  <c r="AD56" i="20" s="1"/>
  <c r="AD42" i="20"/>
  <c r="AJ46" i="20"/>
  <c r="AA32" i="20"/>
  <c r="W32" i="20"/>
  <c r="AC32" i="20" s="1"/>
  <c r="AG22" i="20"/>
  <c r="AM22" i="20"/>
  <c r="AB101" i="20"/>
  <c r="AN105" i="20" s="1"/>
  <c r="AC95" i="20"/>
  <c r="AI95" i="20"/>
  <c r="X92" i="20"/>
  <c r="AI91" i="20"/>
  <c r="X88" i="20"/>
  <c r="AJ88" i="20" s="1"/>
  <c r="AC87" i="20"/>
  <c r="AI87" i="20"/>
  <c r="X85" i="20"/>
  <c r="X82" i="20"/>
  <c r="AD83" i="20" s="1"/>
  <c r="AB73" i="20"/>
  <c r="AN73" i="20" s="1"/>
  <c r="AH71" i="20"/>
  <c r="AA70" i="20"/>
  <c r="AD64" i="20"/>
  <c r="AJ64" i="20"/>
  <c r="AL61" i="20"/>
  <c r="X59" i="20"/>
  <c r="AD60" i="20" s="1"/>
  <c r="AF43" i="20"/>
  <c r="AI41" i="20"/>
  <c r="Y41" i="20"/>
  <c r="AE42" i="20" s="1"/>
  <c r="AG40" i="20"/>
  <c r="AG37" i="20"/>
  <c r="AG17" i="20"/>
  <c r="Z125" i="20"/>
  <c r="AF126" i="20" s="1"/>
  <c r="X124" i="20"/>
  <c r="Y124" i="20"/>
  <c r="X123" i="20"/>
  <c r="Y123" i="20"/>
  <c r="X122" i="20"/>
  <c r="AJ126" i="20" s="1"/>
  <c r="Y122" i="20"/>
  <c r="AK126" i="20" s="1"/>
  <c r="X121" i="20"/>
  <c r="AD121" i="20" s="1"/>
  <c r="Y121" i="20"/>
  <c r="AK125" i="20" s="1"/>
  <c r="X120" i="20"/>
  <c r="Y120" i="20"/>
  <c r="X119" i="20"/>
  <c r="AD119" i="20" s="1"/>
  <c r="Y119" i="20"/>
  <c r="X118" i="20"/>
  <c r="Y118" i="20"/>
  <c r="X117" i="20"/>
  <c r="AD117" i="20" s="1"/>
  <c r="Y117" i="20"/>
  <c r="X116" i="20"/>
  <c r="Y116" i="20"/>
  <c r="X115" i="20"/>
  <c r="AD115" i="20" s="1"/>
  <c r="Y115" i="20"/>
  <c r="X114" i="20"/>
  <c r="Y114" i="20"/>
  <c r="X113" i="20"/>
  <c r="AD113" i="20" s="1"/>
  <c r="Y113" i="20"/>
  <c r="X112" i="20"/>
  <c r="Y112" i="20"/>
  <c r="X111" i="20"/>
  <c r="AJ111" i="20" s="1"/>
  <c r="Y111" i="20"/>
  <c r="X110" i="20"/>
  <c r="Y110" i="20"/>
  <c r="X109" i="20"/>
  <c r="Y109" i="20"/>
  <c r="Z106" i="20"/>
  <c r="K106" i="20"/>
  <c r="AL105" i="20"/>
  <c r="K105" i="20"/>
  <c r="Z102" i="20"/>
  <c r="K102" i="20"/>
  <c r="AI101" i="20"/>
  <c r="Z98" i="20"/>
  <c r="AF98" i="20" s="1"/>
  <c r="K98" i="20"/>
  <c r="AB98" i="20"/>
  <c r="AH99" i="20" s="1"/>
  <c r="AD95" i="20"/>
  <c r="AJ95" i="20"/>
  <c r="Z94" i="20"/>
  <c r="AF94" i="20" s="1"/>
  <c r="K94" i="20"/>
  <c r="AB94" i="20"/>
  <c r="AD91" i="20"/>
  <c r="AG90" i="20"/>
  <c r="Z90" i="20"/>
  <c r="K90" i="20"/>
  <c r="AB90" i="20"/>
  <c r="AN90" i="20" s="1"/>
  <c r="AD87" i="20"/>
  <c r="Z86" i="20"/>
  <c r="K86" i="20"/>
  <c r="AB86" i="20"/>
  <c r="AH86" i="20" s="1"/>
  <c r="AD84" i="20"/>
  <c r="AJ84" i="20"/>
  <c r="K83" i="20"/>
  <c r="K78" i="20"/>
  <c r="AB78" i="20"/>
  <c r="K75" i="20"/>
  <c r="AB75" i="20"/>
  <c r="AK66" i="20"/>
  <c r="AF63" i="20"/>
  <c r="AA63" i="20"/>
  <c r="W63" i="20"/>
  <c r="AD54" i="20"/>
  <c r="AJ54" i="20"/>
  <c r="AG38" i="20"/>
  <c r="AM38" i="20"/>
  <c r="AG28" i="20"/>
  <c r="AM28" i="20"/>
  <c r="AG23" i="20"/>
  <c r="AM23" i="20"/>
  <c r="Z100" i="20"/>
  <c r="Z99" i="20"/>
  <c r="Y98" i="20"/>
  <c r="Z96" i="20"/>
  <c r="AF96" i="20" s="1"/>
  <c r="K96" i="20"/>
  <c r="X81" i="20"/>
  <c r="AD81" i="20" s="1"/>
  <c r="X79" i="20"/>
  <c r="AJ83" i="20" s="1"/>
  <c r="X78" i="20"/>
  <c r="AD78" i="20" s="1"/>
  <c r="X77" i="20"/>
  <c r="X75" i="20"/>
  <c r="X74" i="20"/>
  <c r="AJ74" i="20" s="1"/>
  <c r="X73" i="20"/>
  <c r="AD73" i="20" s="1"/>
  <c r="Z72" i="20"/>
  <c r="AK70" i="20"/>
  <c r="AE67" i="20"/>
  <c r="AA59" i="20"/>
  <c r="W59" i="20"/>
  <c r="AA55" i="20"/>
  <c r="W55" i="20"/>
  <c r="AI55" i="20" s="1"/>
  <c r="X51" i="20"/>
  <c r="AD51" i="20" s="1"/>
  <c r="Z38" i="20"/>
  <c r="AL42" i="20" s="1"/>
  <c r="AG36" i="20"/>
  <c r="AM36" i="20"/>
  <c r="AA29" i="20"/>
  <c r="W29" i="20"/>
  <c r="Z22" i="20"/>
  <c r="AF23" i="20" s="1"/>
  <c r="AG20" i="20"/>
  <c r="AM20" i="20"/>
  <c r="Y96" i="20"/>
  <c r="K93" i="20"/>
  <c r="K92" i="20"/>
  <c r="K89" i="20"/>
  <c r="Z88" i="20"/>
  <c r="AL88" i="20" s="1"/>
  <c r="K88" i="20"/>
  <c r="Z85" i="20"/>
  <c r="K85" i="20"/>
  <c r="Z82" i="20"/>
  <c r="AL82" i="20" s="1"/>
  <c r="Z81" i="20"/>
  <c r="Z78" i="20"/>
  <c r="AA78" i="20"/>
  <c r="W78" i="20"/>
  <c r="AI82" i="20" s="1"/>
  <c r="Z77" i="20"/>
  <c r="Z74" i="20"/>
  <c r="AA74" i="20"/>
  <c r="W74" i="20"/>
  <c r="AI74" i="20" s="1"/>
  <c r="Z73" i="20"/>
  <c r="X69" i="20"/>
  <c r="Z65" i="20"/>
  <c r="AA65" i="20"/>
  <c r="W65" i="20"/>
  <c r="AI65" i="20" s="1"/>
  <c r="Z64" i="20"/>
  <c r="AL68" i="20" s="1"/>
  <c r="X61" i="20"/>
  <c r="AD62" i="20" s="1"/>
  <c r="AK49" i="20"/>
  <c r="Z47" i="20"/>
  <c r="AA45" i="20"/>
  <c r="W45" i="20"/>
  <c r="AF42" i="20"/>
  <c r="W40" i="20"/>
  <c r="AC41" i="20" s="1"/>
  <c r="AG35" i="20"/>
  <c r="AM35" i="20"/>
  <c r="Y33" i="20"/>
  <c r="AG31" i="20"/>
  <c r="X26" i="20"/>
  <c r="W24" i="20"/>
  <c r="AC25" i="20" s="1"/>
  <c r="X49" i="20"/>
  <c r="AJ53" i="20" s="1"/>
  <c r="AD46" i="20"/>
  <c r="Z40" i="20"/>
  <c r="Z37" i="20"/>
  <c r="AL37" i="20" s="1"/>
  <c r="AB37" i="20"/>
  <c r="AN37" i="20" s="1"/>
  <c r="Z32" i="20"/>
  <c r="Z29" i="20"/>
  <c r="AL29" i="20" s="1"/>
  <c r="AB29" i="20"/>
  <c r="AN29" i="20" s="1"/>
  <c r="Z24" i="20"/>
  <c r="Z21" i="20"/>
  <c r="AL21" i="20" s="1"/>
  <c r="AB21" i="20"/>
  <c r="AN25" i="20" s="1"/>
  <c r="K68" i="20"/>
  <c r="AB68" i="20"/>
  <c r="K67" i="20"/>
  <c r="AB67" i="20"/>
  <c r="AN71" i="20" s="1"/>
  <c r="Z60" i="20"/>
  <c r="AL60" i="20" s="1"/>
  <c r="Z58" i="20"/>
  <c r="AF59" i="20" s="1"/>
  <c r="Z56" i="20"/>
  <c r="AF57" i="20" s="1"/>
  <c r="Z54" i="20"/>
  <c r="AF55" i="20" s="1"/>
  <c r="Z53" i="20"/>
  <c r="AA53" i="20"/>
  <c r="W53" i="20"/>
  <c r="Z51" i="20"/>
  <c r="AF51" i="20" s="1"/>
  <c r="AA51" i="20"/>
  <c r="AM51" i="20" s="1"/>
  <c r="W51" i="20"/>
  <c r="Z49" i="20"/>
  <c r="AF49" i="20" s="1"/>
  <c r="AA49" i="20"/>
  <c r="AM53" i="20" s="1"/>
  <c r="W49" i="20"/>
  <c r="AI49" i="20" s="1"/>
  <c r="X47" i="20"/>
  <c r="AD48" i="20" s="1"/>
  <c r="X43" i="20"/>
  <c r="Z39" i="20"/>
  <c r="AL43" i="20" s="1"/>
  <c r="X37" i="20"/>
  <c r="AJ41" i="20" s="1"/>
  <c r="Y37" i="20"/>
  <c r="Z34" i="20"/>
  <c r="AL34" i="20" s="1"/>
  <c r="AB34" i="20"/>
  <c r="Z31" i="20"/>
  <c r="AL35" i="20" s="1"/>
  <c r="X29" i="20"/>
  <c r="Y29" i="20"/>
  <c r="AK29" i="20" s="1"/>
  <c r="Z26" i="20"/>
  <c r="AB26" i="20"/>
  <c r="Z23" i="20"/>
  <c r="X21" i="20"/>
  <c r="Y21" i="20"/>
  <c r="AD124" i="20"/>
  <c r="AJ124" i="20"/>
  <c r="AJ122" i="20"/>
  <c r="AD116" i="20"/>
  <c r="AJ116" i="20"/>
  <c r="AD125" i="20"/>
  <c r="AJ108" i="20"/>
  <c r="AJ120" i="20"/>
  <c r="AJ118" i="20"/>
  <c r="AJ114" i="20"/>
  <c r="AJ110" i="20"/>
  <c r="AK76" i="20"/>
  <c r="AN76" i="20"/>
  <c r="AL75" i="20"/>
  <c r="AF68" i="20"/>
  <c r="AN65" i="20"/>
  <c r="AN57" i="20"/>
  <c r="AI51" i="20"/>
  <c r="AN49" i="20"/>
  <c r="AB40" i="20"/>
  <c r="K40" i="20"/>
  <c r="AB24" i="20"/>
  <c r="K24" i="20"/>
  <c r="AF106" i="20"/>
  <c r="Y106" i="20"/>
  <c r="Y104" i="20"/>
  <c r="AL97" i="20"/>
  <c r="AF93" i="20"/>
  <c r="Y93" i="20"/>
  <c r="Y87" i="20"/>
  <c r="AN85" i="20"/>
  <c r="AN82" i="20"/>
  <c r="AI78" i="20"/>
  <c r="AF72" i="20"/>
  <c r="AL72" i="20"/>
  <c r="AI61" i="20"/>
  <c r="AM45" i="20"/>
  <c r="AD36" i="20"/>
  <c r="AJ36" i="20"/>
  <c r="AL36" i="20"/>
  <c r="AF36" i="20"/>
  <c r="AD20" i="20"/>
  <c r="AF21" i="20"/>
  <c r="AF20" i="20"/>
  <c r="AI123" i="20"/>
  <c r="AI119" i="20"/>
  <c r="AI115" i="20"/>
  <c r="AI111" i="20"/>
  <c r="AI110" i="20"/>
  <c r="AI108" i="20"/>
  <c r="AD107" i="20"/>
  <c r="AB106" i="20"/>
  <c r="AH107" i="20" s="1"/>
  <c r="AB104" i="20"/>
  <c r="AN108" i="20" s="1"/>
  <c r="AB102" i="20"/>
  <c r="AH103" i="20" s="1"/>
  <c r="AL101" i="20"/>
  <c r="AB100" i="20"/>
  <c r="AH101" i="20" s="1"/>
  <c r="Y97" i="20"/>
  <c r="Y95" i="20"/>
  <c r="AB93" i="20"/>
  <c r="AD92" i="20"/>
  <c r="AB91" i="20"/>
  <c r="AB89" i="20"/>
  <c r="AD88" i="20"/>
  <c r="AB87" i="20"/>
  <c r="AF76" i="20"/>
  <c r="AL76" i="20"/>
  <c r="AE68" i="20"/>
  <c r="AK68" i="20"/>
  <c r="AH68" i="20"/>
  <c r="AH69" i="20"/>
  <c r="AL67" i="20"/>
  <c r="AL65" i="20"/>
  <c r="AN61" i="20"/>
  <c r="AN53" i="20"/>
  <c r="AL49" i="20"/>
  <c r="AM47" i="20"/>
  <c r="AI47" i="20"/>
  <c r="AN45" i="20"/>
  <c r="AM43" i="20"/>
  <c r="AI43" i="20"/>
  <c r="AD32" i="20"/>
  <c r="AJ32" i="20"/>
  <c r="AL32" i="20"/>
  <c r="AF33" i="20"/>
  <c r="AB32" i="20"/>
  <c r="K32" i="20"/>
  <c r="AE125" i="20"/>
  <c r="AE124" i="20"/>
  <c r="AH92" i="20"/>
  <c r="AH81" i="20"/>
  <c r="AD40" i="20"/>
  <c r="AJ40" i="20"/>
  <c r="AL40" i="20"/>
  <c r="AF40" i="20"/>
  <c r="AD24" i="20"/>
  <c r="AJ24" i="20"/>
  <c r="AL24" i="20"/>
  <c r="AF25" i="20"/>
  <c r="AF24" i="20"/>
  <c r="AH108" i="20"/>
  <c r="AF102" i="20"/>
  <c r="Y102" i="20"/>
  <c r="Y100" i="20"/>
  <c r="Y91" i="20"/>
  <c r="Y89" i="20"/>
  <c r="AN84" i="20"/>
  <c r="AE80" i="20"/>
  <c r="AK80" i="20"/>
  <c r="AN80" i="20"/>
  <c r="AL79" i="20"/>
  <c r="AM78" i="20"/>
  <c r="AM82" i="20"/>
  <c r="AL63" i="20"/>
  <c r="AM61" i="20"/>
  <c r="AN59" i="20"/>
  <c r="AL55" i="20"/>
  <c r="AI45" i="20"/>
  <c r="AB36" i="20"/>
  <c r="AH37" i="20" s="1"/>
  <c r="K36" i="20"/>
  <c r="AB20" i="20"/>
  <c r="K20" i="20"/>
  <c r="AN125" i="20"/>
  <c r="AN124" i="20"/>
  <c r="AN121" i="20"/>
  <c r="AN120" i="20"/>
  <c r="AN117" i="20"/>
  <c r="AN116" i="20"/>
  <c r="AN113" i="20"/>
  <c r="AN112" i="20"/>
  <c r="AN109" i="20"/>
  <c r="AF108" i="20"/>
  <c r="AF107" i="20"/>
  <c r="Y107" i="20"/>
  <c r="Y105" i="20"/>
  <c r="AN103" i="20"/>
  <c r="AF103" i="20"/>
  <c r="Y103" i="20"/>
  <c r="AF101" i="20"/>
  <c r="Y101" i="20"/>
  <c r="Y99" i="20"/>
  <c r="AJ98" i="20"/>
  <c r="AD98" i="20"/>
  <c r="AB97" i="20"/>
  <c r="AD96" i="20"/>
  <c r="AB95" i="20"/>
  <c r="Y94" i="20"/>
  <c r="AN92" i="20"/>
  <c r="Y92" i="20"/>
  <c r="AJ91" i="20"/>
  <c r="Y90" i="20"/>
  <c r="AN88" i="20"/>
  <c r="Y88" i="20"/>
  <c r="AJ87" i="20"/>
  <c r="AN86" i="20"/>
  <c r="Y86" i="20"/>
  <c r="Y85" i="20"/>
  <c r="Y84" i="20"/>
  <c r="Y83" i="20"/>
  <c r="AK82" i="20"/>
  <c r="AE82" i="20"/>
  <c r="AF80" i="20"/>
  <c r="AL80" i="20"/>
  <c r="AE72" i="20"/>
  <c r="AK72" i="20"/>
  <c r="AN72" i="20"/>
  <c r="AF71" i="20"/>
  <c r="AL71" i="20"/>
  <c r="AF70" i="20"/>
  <c r="AL69" i="20"/>
  <c r="AM65" i="20"/>
  <c r="AL59" i="20"/>
  <c r="AM57" i="20"/>
  <c r="AI57" i="20"/>
  <c r="AM49" i="20"/>
  <c r="AN47" i="20"/>
  <c r="AH43" i="20"/>
  <c r="AD28" i="20"/>
  <c r="AJ28" i="20"/>
  <c r="AL28" i="20"/>
  <c r="AF29" i="20"/>
  <c r="AF28" i="20"/>
  <c r="AB28" i="20"/>
  <c r="K28" i="20"/>
  <c r="W81" i="20"/>
  <c r="AA77" i="20"/>
  <c r="AA73" i="20"/>
  <c r="AG74" i="20" s="1"/>
  <c r="W69" i="20"/>
  <c r="AN67" i="20"/>
  <c r="AE58" i="20"/>
  <c r="AK58" i="20"/>
  <c r="AE56" i="20"/>
  <c r="AK56" i="20"/>
  <c r="AL54" i="20"/>
  <c r="AF52" i="20"/>
  <c r="AL52" i="20"/>
  <c r="AF50" i="20"/>
  <c r="AL50" i="20"/>
  <c r="AE48" i="20"/>
  <c r="AK48" i="20"/>
  <c r="AL48" i="20"/>
  <c r="AF46" i="20"/>
  <c r="AL46" i="20"/>
  <c r="AE44" i="20"/>
  <c r="AC36" i="20"/>
  <c r="Y24" i="20"/>
  <c r="AC20" i="20"/>
  <c r="AI20" i="20"/>
  <c r="Y20" i="20"/>
  <c r="AE81" i="20"/>
  <c r="AA80" i="20"/>
  <c r="W80" i="20"/>
  <c r="AA76" i="20"/>
  <c r="W76" i="20"/>
  <c r="AA72" i="20"/>
  <c r="W72" i="20"/>
  <c r="AA68" i="20"/>
  <c r="W68" i="20"/>
  <c r="K66" i="20"/>
  <c r="AB66" i="20"/>
  <c r="K64" i="20"/>
  <c r="AB64" i="20"/>
  <c r="AH65" i="20" s="1"/>
  <c r="K62" i="20"/>
  <c r="AB62" i="20"/>
  <c r="AH63" i="20" s="1"/>
  <c r="K60" i="20"/>
  <c r="AB60" i="20"/>
  <c r="AH61" i="20" s="1"/>
  <c r="K58" i="20"/>
  <c r="AB58" i="20"/>
  <c r="K56" i="20"/>
  <c r="AB56" i="20"/>
  <c r="AH57" i="20" s="1"/>
  <c r="K54" i="20"/>
  <c r="AB54" i="20"/>
  <c r="AH55" i="20" s="1"/>
  <c r="K52" i="20"/>
  <c r="AB52" i="20"/>
  <c r="K50" i="20"/>
  <c r="AB50" i="20"/>
  <c r="K48" i="20"/>
  <c r="AB48" i="20"/>
  <c r="AH49" i="20" s="1"/>
  <c r="K46" i="20"/>
  <c r="AB46" i="20"/>
  <c r="K44" i="20"/>
  <c r="AB44" i="20"/>
  <c r="AH45" i="20" s="1"/>
  <c r="AJ42" i="20"/>
  <c r="AC37" i="20"/>
  <c r="AI37" i="20"/>
  <c r="AI33" i="20"/>
  <c r="AD33" i="20"/>
  <c r="AJ33" i="20"/>
  <c r="AC29" i="20"/>
  <c r="AI29" i="20"/>
  <c r="AD29" i="20"/>
  <c r="AJ29" i="20"/>
  <c r="AD25" i="20"/>
  <c r="AJ25" i="20"/>
  <c r="AC21" i="20"/>
  <c r="AD21" i="20"/>
  <c r="AJ21" i="20"/>
  <c r="AI98" i="20"/>
  <c r="K82" i="20"/>
  <c r="AA81" i="20"/>
  <c r="AG82" i="20" s="1"/>
  <c r="W77" i="20"/>
  <c r="W73" i="20"/>
  <c r="AA69" i="20"/>
  <c r="AE64" i="20"/>
  <c r="AK64" i="20"/>
  <c r="AE62" i="20"/>
  <c r="AK62" i="20"/>
  <c r="AK60" i="20"/>
  <c r="AF58" i="20"/>
  <c r="AL58" i="20"/>
  <c r="AF56" i="20"/>
  <c r="AL56" i="20"/>
  <c r="AE54" i="20"/>
  <c r="AK54" i="20"/>
  <c r="AE52" i="20"/>
  <c r="AK52" i="20"/>
  <c r="AE50" i="20"/>
  <c r="AK50" i="20"/>
  <c r="AE46" i="20"/>
  <c r="AK46" i="20"/>
  <c r="AF44" i="20"/>
  <c r="AL44" i="20"/>
  <c r="Y40" i="20"/>
  <c r="Y36" i="20"/>
  <c r="Y32" i="20"/>
  <c r="AC28" i="20"/>
  <c r="Y28" i="20"/>
  <c r="K81" i="20"/>
  <c r="AA79" i="20"/>
  <c r="W79" i="20"/>
  <c r="AE77" i="20"/>
  <c r="AA75" i="20"/>
  <c r="W75" i="20"/>
  <c r="AE73" i="20"/>
  <c r="AK71" i="20"/>
  <c r="AA71" i="20"/>
  <c r="W71" i="20"/>
  <c r="AJ70" i="20"/>
  <c r="AE69" i="20"/>
  <c r="AN69" i="20"/>
  <c r="AK67" i="20"/>
  <c r="AA67" i="20"/>
  <c r="W67" i="20"/>
  <c r="AD65" i="20"/>
  <c r="AD63" i="20"/>
  <c r="AD61" i="20"/>
  <c r="AJ61" i="20"/>
  <c r="AJ57" i="20"/>
  <c r="AD53" i="20"/>
  <c r="AD49" i="20"/>
  <c r="AD47" i="20"/>
  <c r="AJ47" i="20"/>
  <c r="AD45" i="20"/>
  <c r="AJ45" i="20"/>
  <c r="AD43" i="20"/>
  <c r="AJ43" i="20"/>
  <c r="AD41" i="20"/>
  <c r="AD39" i="20"/>
  <c r="AJ39" i="20"/>
  <c r="AL39" i="20"/>
  <c r="AB39" i="20"/>
  <c r="K39" i="20"/>
  <c r="AD35" i="20"/>
  <c r="AJ35" i="20"/>
  <c r="AF35" i="20"/>
  <c r="AB35" i="20"/>
  <c r="K35" i="20"/>
  <c r="AD31" i="20"/>
  <c r="AJ31" i="20"/>
  <c r="AB31" i="20"/>
  <c r="K31" i="20"/>
  <c r="AD27" i="20"/>
  <c r="AJ27" i="20"/>
  <c r="AL27" i="20"/>
  <c r="AF27" i="20"/>
  <c r="AB27" i="20"/>
  <c r="K27" i="20"/>
  <c r="AD23" i="20"/>
  <c r="AJ23" i="20"/>
  <c r="AL23" i="20"/>
  <c r="AB23" i="20"/>
  <c r="K23" i="20"/>
  <c r="AE65" i="20"/>
  <c r="AE63" i="20"/>
  <c r="AE61" i="20"/>
  <c r="AE57" i="20"/>
  <c r="AE55" i="20"/>
  <c r="AE53" i="20"/>
  <c r="AE51" i="20"/>
  <c r="AE49" i="20"/>
  <c r="AE47" i="20"/>
  <c r="AE45" i="20"/>
  <c r="AE43" i="20"/>
  <c r="AC39" i="20"/>
  <c r="AI39" i="20"/>
  <c r="Y39" i="20"/>
  <c r="AJ38" i="20"/>
  <c r="AC35" i="20"/>
  <c r="AI35" i="20"/>
  <c r="Y35" i="20"/>
  <c r="AD34" i="20"/>
  <c r="AJ34" i="20"/>
  <c r="AC31" i="20"/>
  <c r="AI31" i="20"/>
  <c r="Y31" i="20"/>
  <c r="AD30" i="20"/>
  <c r="AJ30" i="20"/>
  <c r="AC27" i="20"/>
  <c r="AI27" i="20"/>
  <c r="Y27" i="20"/>
  <c r="AD26" i="20"/>
  <c r="AJ26" i="20"/>
  <c r="AC23" i="20"/>
  <c r="AI23" i="20"/>
  <c r="Y23" i="20"/>
  <c r="AD22" i="20"/>
  <c r="AJ22" i="20"/>
  <c r="AA66" i="20"/>
  <c r="W66" i="20"/>
  <c r="K65" i="20"/>
  <c r="AA64" i="20"/>
  <c r="W64" i="20"/>
  <c r="K63" i="20"/>
  <c r="AA62" i="20"/>
  <c r="W62" i="20"/>
  <c r="K61" i="20"/>
  <c r="AA60" i="20"/>
  <c r="W60" i="20"/>
  <c r="K59" i="20"/>
  <c r="AA58" i="20"/>
  <c r="W58" i="20"/>
  <c r="K57" i="20"/>
  <c r="AA56" i="20"/>
  <c r="AG57" i="20" s="1"/>
  <c r="W56" i="20"/>
  <c r="K55" i="20"/>
  <c r="AA54" i="20"/>
  <c r="W54" i="20"/>
  <c r="K53" i="20"/>
  <c r="AA52" i="20"/>
  <c r="AG53" i="20" s="1"/>
  <c r="W52" i="20"/>
  <c r="AC53" i="20" s="1"/>
  <c r="K51" i="20"/>
  <c r="AA50" i="20"/>
  <c r="W50" i="20"/>
  <c r="K49" i="20"/>
  <c r="AA48" i="20"/>
  <c r="W48" i="20"/>
  <c r="K47" i="20"/>
  <c r="AA46" i="20"/>
  <c r="W46" i="20"/>
  <c r="AC47" i="20" s="1"/>
  <c r="K45" i="20"/>
  <c r="AA44" i="20"/>
  <c r="W44" i="20"/>
  <c r="AC45" i="20" s="1"/>
  <c r="K43" i="20"/>
  <c r="AA42" i="20"/>
  <c r="W42" i="20"/>
  <c r="AF41" i="20"/>
  <c r="AC38" i="20"/>
  <c r="AI38" i="20"/>
  <c r="Y38" i="20"/>
  <c r="AK42" i="20" s="1"/>
  <c r="K38" i="20"/>
  <c r="AF34" i="20"/>
  <c r="AC34" i="20"/>
  <c r="AI34" i="20"/>
  <c r="Y34" i="20"/>
  <c r="K34" i="20"/>
  <c r="AH33" i="20"/>
  <c r="AF30" i="20"/>
  <c r="AC30" i="20"/>
  <c r="AI30" i="20"/>
  <c r="Y30" i="20"/>
  <c r="K30" i="20"/>
  <c r="AF26" i="20"/>
  <c r="AC26" i="20"/>
  <c r="AI26" i="20"/>
  <c r="Y26" i="20"/>
  <c r="K26" i="20"/>
  <c r="AI22" i="20"/>
  <c r="Y22" i="20"/>
  <c r="K22" i="20"/>
  <c r="AH21" i="20"/>
  <c r="AD19" i="20"/>
  <c r="AB19" i="20"/>
  <c r="K19" i="20"/>
  <c r="AB16" i="20"/>
  <c r="K16" i="20"/>
  <c r="AD17" i="20"/>
  <c r="AB17" i="20"/>
  <c r="K17" i="20"/>
  <c r="AD18" i="20"/>
  <c r="AB18" i="20"/>
  <c r="AN22" i="20" s="1"/>
  <c r="K18" i="20"/>
  <c r="Y19" i="20"/>
  <c r="Y18" i="20"/>
  <c r="Y17" i="20"/>
  <c r="Y16" i="20"/>
  <c r="AI28" i="20" l="1"/>
  <c r="AJ69" i="20"/>
  <c r="AK98" i="20"/>
  <c r="AL98" i="20"/>
  <c r="AJ100" i="20"/>
  <c r="AI59" i="20"/>
  <c r="AH90" i="20"/>
  <c r="AD101" i="20"/>
  <c r="AI120" i="20"/>
  <c r="AD108" i="20"/>
  <c r="AG97" i="20"/>
  <c r="AF99" i="20"/>
  <c r="AM25" i="20"/>
  <c r="AN79" i="20"/>
  <c r="AD109" i="20"/>
  <c r="AC91" i="20"/>
  <c r="AG33" i="20"/>
  <c r="AI90" i="20"/>
  <c r="AM97" i="20"/>
  <c r="AI105" i="20"/>
  <c r="AH119" i="20"/>
  <c r="AM90" i="20"/>
  <c r="AC106" i="20"/>
  <c r="AD100" i="20"/>
  <c r="AC22" i="20"/>
  <c r="AG51" i="20"/>
  <c r="AK75" i="20"/>
  <c r="AK79" i="20"/>
  <c r="AH73" i="20"/>
  <c r="AF85" i="20"/>
  <c r="AH96" i="20"/>
  <c r="AN118" i="20"/>
  <c r="AN122" i="20"/>
  <c r="AN51" i="20"/>
  <c r="AJ44" i="20"/>
  <c r="AE98" i="20"/>
  <c r="AD44" i="20"/>
  <c r="AG26" i="20"/>
  <c r="AD69" i="20"/>
  <c r="AC90" i="20"/>
  <c r="AM102" i="20"/>
  <c r="AM106" i="20"/>
  <c r="AC114" i="20"/>
  <c r="AK63" i="20"/>
  <c r="AH115" i="20"/>
  <c r="AI125" i="20"/>
  <c r="AM86" i="20"/>
  <c r="AC126" i="20"/>
  <c r="AI126" i="20"/>
  <c r="AD55" i="20"/>
  <c r="AD66" i="20"/>
  <c r="AF22" i="20"/>
  <c r="AC55" i="20"/>
  <c r="AE59" i="20"/>
  <c r="AD57" i="20"/>
  <c r="AI21" i="20"/>
  <c r="AI36" i="20"/>
  <c r="AN115" i="20"/>
  <c r="AH80" i="20"/>
  <c r="AI109" i="20"/>
  <c r="AL87" i="20"/>
  <c r="AL110" i="20"/>
  <c r="AG87" i="20"/>
  <c r="AC110" i="20"/>
  <c r="AJ60" i="20"/>
  <c r="AM126" i="20"/>
  <c r="AJ123" i="20"/>
  <c r="AG65" i="20"/>
  <c r="AF88" i="20"/>
  <c r="AF67" i="20"/>
  <c r="AD105" i="20"/>
  <c r="AI124" i="20"/>
  <c r="AH76" i="20"/>
  <c r="AD114" i="20"/>
  <c r="AD123" i="20"/>
  <c r="AL26" i="20"/>
  <c r="AM63" i="20"/>
  <c r="AC117" i="20"/>
  <c r="AJ121" i="20"/>
  <c r="AC74" i="20"/>
  <c r="AF84" i="20"/>
  <c r="AL96" i="20"/>
  <c r="AN123" i="20"/>
  <c r="AF89" i="20"/>
  <c r="AJ77" i="20"/>
  <c r="AD112" i="20"/>
  <c r="AM59" i="20"/>
  <c r="AC122" i="20"/>
  <c r="AF66" i="20"/>
  <c r="AD74" i="20"/>
  <c r="AF97" i="20"/>
  <c r="AD111" i="20"/>
  <c r="AD118" i="20"/>
  <c r="AL51" i="20"/>
  <c r="AI63" i="20"/>
  <c r="AE109" i="20"/>
  <c r="AE111" i="20"/>
  <c r="AM74" i="20"/>
  <c r="AJ89" i="20"/>
  <c r="AD93" i="20"/>
  <c r="AJ86" i="20"/>
  <c r="AH29" i="20"/>
  <c r="AF39" i="20"/>
  <c r="AJ59" i="20"/>
  <c r="AJ63" i="20"/>
  <c r="AI24" i="20"/>
  <c r="AF60" i="20"/>
  <c r="AJ93" i="20"/>
  <c r="AF105" i="20"/>
  <c r="AL109" i="20"/>
  <c r="AL95" i="20"/>
  <c r="AI121" i="20"/>
  <c r="AJ113" i="20"/>
  <c r="AJ117" i="20"/>
  <c r="AJ109" i="20"/>
  <c r="AJ115" i="20"/>
  <c r="AJ119" i="20"/>
  <c r="AF82" i="20"/>
  <c r="AE96" i="20"/>
  <c r="AL22" i="20"/>
  <c r="AL100" i="20"/>
  <c r="AN107" i="20"/>
  <c r="AH110" i="20"/>
  <c r="AG55" i="20"/>
  <c r="AD59" i="20"/>
  <c r="AL66" i="20"/>
  <c r="AC24" i="20"/>
  <c r="AL62" i="20"/>
  <c r="AL108" i="20"/>
  <c r="AN81" i="20"/>
  <c r="AF32" i="20"/>
  <c r="AI117" i="20"/>
  <c r="AI122" i="20"/>
  <c r="AD110" i="20"/>
  <c r="AD120" i="20"/>
  <c r="AD122" i="20"/>
  <c r="AD106" i="20"/>
  <c r="AF31" i="20"/>
  <c r="AJ37" i="20"/>
  <c r="AJ102" i="20"/>
  <c r="AJ106" i="20"/>
  <c r="AD103" i="20"/>
  <c r="AJ125" i="20"/>
  <c r="AK37" i="20"/>
  <c r="AF74" i="20"/>
  <c r="AF78" i="20"/>
  <c r="AL85" i="20"/>
  <c r="AH38" i="20"/>
  <c r="AL86" i="20"/>
  <c r="AF91" i="20"/>
  <c r="AJ97" i="20"/>
  <c r="AC125" i="20"/>
  <c r="AH26" i="20"/>
  <c r="AN26" i="20"/>
  <c r="AF53" i="20"/>
  <c r="AL53" i="20"/>
  <c r="AL89" i="20"/>
  <c r="AG29" i="20"/>
  <c r="AM29" i="20"/>
  <c r="AK115" i="20"/>
  <c r="AE115" i="20"/>
  <c r="AK119" i="20"/>
  <c r="AE119" i="20"/>
  <c r="AK123" i="20"/>
  <c r="AE123" i="20"/>
  <c r="AD85" i="20"/>
  <c r="AJ85" i="20"/>
  <c r="AJ80" i="20"/>
  <c r="AD80" i="20"/>
  <c r="AL111" i="20"/>
  <c r="AF111" i="20"/>
  <c r="AL119" i="20"/>
  <c r="AF119" i="20"/>
  <c r="AG30" i="20"/>
  <c r="AG121" i="20"/>
  <c r="AM121" i="20"/>
  <c r="AD52" i="20"/>
  <c r="AL103" i="20"/>
  <c r="AF38" i="20"/>
  <c r="AL31" i="20"/>
  <c r="AJ51" i="20"/>
  <c r="AJ55" i="20"/>
  <c r="AI40" i="20"/>
  <c r="AL64" i="20"/>
  <c r="AD37" i="20"/>
  <c r="AN111" i="20"/>
  <c r="AF100" i="20"/>
  <c r="AN68" i="20"/>
  <c r="AD94" i="20"/>
  <c r="AL99" i="20"/>
  <c r="AI114" i="20"/>
  <c r="AI118" i="20"/>
  <c r="AI53" i="20"/>
  <c r="AL78" i="20"/>
  <c r="AF75" i="20"/>
  <c r="AK21" i="20"/>
  <c r="AH34" i="20"/>
  <c r="AN34" i="20"/>
  <c r="AN21" i="20"/>
  <c r="AK33" i="20"/>
  <c r="AF73" i="20"/>
  <c r="AL73" i="20"/>
  <c r="AF77" i="20"/>
  <c r="AL77" i="20"/>
  <c r="AF81" i="20"/>
  <c r="AL81" i="20"/>
  <c r="AH22" i="20"/>
  <c r="AN33" i="20"/>
  <c r="AL38" i="20"/>
  <c r="AL25" i="20"/>
  <c r="AN78" i="20"/>
  <c r="AH78" i="20"/>
  <c r="AL94" i="20"/>
  <c r="AK41" i="20"/>
  <c r="AG32" i="20"/>
  <c r="AM32" i="20"/>
  <c r="AF95" i="20"/>
  <c r="AL112" i="20"/>
  <c r="AF112" i="20"/>
  <c r="AL116" i="20"/>
  <c r="AF116" i="20"/>
  <c r="AL120" i="20"/>
  <c r="AF120" i="20"/>
  <c r="AL124" i="20"/>
  <c r="AF124" i="20"/>
  <c r="AF61" i="20"/>
  <c r="AD89" i="20"/>
  <c r="AC96" i="20"/>
  <c r="AI96" i="20"/>
  <c r="AC101" i="20"/>
  <c r="AD50" i="20"/>
  <c r="AD86" i="20"/>
  <c r="AG114" i="20"/>
  <c r="AM114" i="20"/>
  <c r="AN30" i="20"/>
  <c r="AG115" i="20"/>
  <c r="AH79" i="20"/>
  <c r="AC113" i="20"/>
  <c r="AG117" i="20"/>
  <c r="AM117" i="20"/>
  <c r="AG116" i="20"/>
  <c r="AM116" i="20"/>
  <c r="AF83" i="20"/>
  <c r="AC111" i="20"/>
  <c r="AM125" i="20"/>
  <c r="AF47" i="20"/>
  <c r="AL47" i="20"/>
  <c r="AL90" i="20"/>
  <c r="AK113" i="20"/>
  <c r="AE113" i="20"/>
  <c r="AK117" i="20"/>
  <c r="AE117" i="20"/>
  <c r="AK121" i="20"/>
  <c r="AE121" i="20"/>
  <c r="AL125" i="20"/>
  <c r="AF125" i="20"/>
  <c r="AN74" i="20"/>
  <c r="AH74" i="20"/>
  <c r="AL115" i="20"/>
  <c r="AF115" i="20"/>
  <c r="AL123" i="20"/>
  <c r="AF123" i="20"/>
  <c r="AJ76" i="20"/>
  <c r="AD76" i="20"/>
  <c r="AG118" i="20"/>
  <c r="AM118" i="20"/>
  <c r="AD38" i="20"/>
  <c r="AC40" i="20"/>
  <c r="AF64" i="20"/>
  <c r="AI32" i="20"/>
  <c r="AF48" i="20"/>
  <c r="AF54" i="20"/>
  <c r="AC49" i="20"/>
  <c r="AF86" i="20"/>
  <c r="AF90" i="20"/>
  <c r="AF79" i="20"/>
  <c r="AJ73" i="20"/>
  <c r="AM55" i="20"/>
  <c r="AG63" i="20"/>
  <c r="AJ81" i="20"/>
  <c r="AF87" i="20"/>
  <c r="AL74" i="20"/>
  <c r="AL92" i="20"/>
  <c r="AL33" i="20"/>
  <c r="AJ78" i="20"/>
  <c r="AE110" i="20"/>
  <c r="AK112" i="20"/>
  <c r="AE112" i="20"/>
  <c r="AK114" i="20"/>
  <c r="AE114" i="20"/>
  <c r="AK116" i="20"/>
  <c r="AE116" i="20"/>
  <c r="AK118" i="20"/>
  <c r="AE118" i="20"/>
  <c r="AK120" i="20"/>
  <c r="AE120" i="20"/>
  <c r="AK122" i="20"/>
  <c r="AE122" i="20"/>
  <c r="AK124" i="20"/>
  <c r="AJ92" i="20"/>
  <c r="AN77" i="20"/>
  <c r="AL91" i="20"/>
  <c r="AC99" i="20"/>
  <c r="AI99" i="20"/>
  <c r="AL113" i="20"/>
  <c r="AF113" i="20"/>
  <c r="AL117" i="20"/>
  <c r="AF117" i="20"/>
  <c r="AL121" i="20"/>
  <c r="AF121" i="20"/>
  <c r="AF18" i="20"/>
  <c r="AK25" i="20"/>
  <c r="AJ96" i="20"/>
  <c r="AL104" i="20"/>
  <c r="AG110" i="20"/>
  <c r="AM110" i="20"/>
  <c r="AH30" i="20"/>
  <c r="AN41" i="20"/>
  <c r="AG113" i="20"/>
  <c r="AM113" i="20"/>
  <c r="AC115" i="20"/>
  <c r="AJ75" i="20"/>
  <c r="AD75" i="20"/>
  <c r="AJ49" i="20"/>
  <c r="AC33" i="20"/>
  <c r="AD70" i="20"/>
  <c r="AD77" i="20"/>
  <c r="AL57" i="20"/>
  <c r="AI112" i="20"/>
  <c r="AI116" i="20"/>
  <c r="AF37" i="20"/>
  <c r="AF65" i="20"/>
  <c r="AM33" i="20"/>
  <c r="AN38" i="20"/>
  <c r="AJ79" i="20"/>
  <c r="AD79" i="20"/>
  <c r="AN75" i="20"/>
  <c r="AH75" i="20"/>
  <c r="AN98" i="20"/>
  <c r="AN94" i="20"/>
  <c r="AL102" i="20"/>
  <c r="AL106" i="20"/>
  <c r="AD82" i="20"/>
  <c r="AJ82" i="20"/>
  <c r="AJ71" i="20"/>
  <c r="AD71" i="20"/>
  <c r="AC100" i="20"/>
  <c r="AI100" i="20"/>
  <c r="AF110" i="20"/>
  <c r="AL114" i="20"/>
  <c r="AF114" i="20"/>
  <c r="AL118" i="20"/>
  <c r="AF118" i="20"/>
  <c r="AL122" i="20"/>
  <c r="AF122" i="20"/>
  <c r="AK45" i="20"/>
  <c r="AC118" i="20"/>
  <c r="AG122" i="20"/>
  <c r="AM122" i="20"/>
  <c r="AH85" i="20"/>
  <c r="AG124" i="20"/>
  <c r="AM124" i="20"/>
  <c r="AG111" i="20"/>
  <c r="AC123" i="20"/>
  <c r="AL41" i="20"/>
  <c r="AG109" i="20"/>
  <c r="AM109" i="20"/>
  <c r="AC121" i="20"/>
  <c r="AL30" i="20"/>
  <c r="AG112" i="20"/>
  <c r="AM112" i="20"/>
  <c r="AG120" i="20"/>
  <c r="AM120" i="20"/>
  <c r="AC19" i="20"/>
  <c r="AM44" i="20"/>
  <c r="AG44" i="20"/>
  <c r="AI50" i="20"/>
  <c r="AC50" i="20"/>
  <c r="AM60" i="20"/>
  <c r="AG60" i="20"/>
  <c r="AI66" i="20"/>
  <c r="AC66" i="20"/>
  <c r="AK39" i="20"/>
  <c r="AE39" i="20"/>
  <c r="AK43" i="20"/>
  <c r="AH31" i="20"/>
  <c r="AN31" i="20"/>
  <c r="AH39" i="20"/>
  <c r="AN39" i="20"/>
  <c r="AI67" i="20"/>
  <c r="AC67" i="20"/>
  <c r="AK36" i="20"/>
  <c r="AE36" i="20"/>
  <c r="AE37" i="20"/>
  <c r="AI77" i="20"/>
  <c r="AC77" i="20"/>
  <c r="AI76" i="20"/>
  <c r="AC76" i="20"/>
  <c r="AK24" i="20"/>
  <c r="AE24" i="20"/>
  <c r="AE25" i="20"/>
  <c r="AI81" i="20"/>
  <c r="AC81" i="20"/>
  <c r="AI85" i="20"/>
  <c r="AN43" i="20"/>
  <c r="AK86" i="20"/>
  <c r="AE86" i="20"/>
  <c r="AK88" i="20"/>
  <c r="AE88" i="20"/>
  <c r="AK92" i="20"/>
  <c r="AE92" i="20"/>
  <c r="AK102" i="20"/>
  <c r="AE102" i="20"/>
  <c r="AH93" i="20"/>
  <c r="AN93" i="20"/>
  <c r="AK26" i="20"/>
  <c r="AE26" i="20"/>
  <c r="AM42" i="20"/>
  <c r="AG42" i="20"/>
  <c r="AI48" i="20"/>
  <c r="AC48" i="20"/>
  <c r="AM58" i="20"/>
  <c r="AG58" i="20"/>
  <c r="AI64" i="20"/>
  <c r="AC64" i="20"/>
  <c r="AK40" i="20"/>
  <c r="AE40" i="20"/>
  <c r="AH46" i="20"/>
  <c r="AN46" i="20"/>
  <c r="AH50" i="20"/>
  <c r="AN50" i="20"/>
  <c r="AH58" i="20"/>
  <c r="AN58" i="20"/>
  <c r="AN66" i="20"/>
  <c r="AH66" i="20"/>
  <c r="AH67" i="20"/>
  <c r="AN70" i="20"/>
  <c r="AK20" i="20"/>
  <c r="AE20" i="20"/>
  <c r="AE21" i="20"/>
  <c r="AK44" i="20"/>
  <c r="AI69" i="20"/>
  <c r="AC69" i="20"/>
  <c r="AC70" i="20"/>
  <c r="AI70" i="20"/>
  <c r="AH97" i="20"/>
  <c r="AN97" i="20"/>
  <c r="AK101" i="20"/>
  <c r="AE101" i="20"/>
  <c r="AK105" i="20"/>
  <c r="AE105" i="20"/>
  <c r="AH51" i="20"/>
  <c r="AK91" i="20"/>
  <c r="AE91" i="20"/>
  <c r="AH98" i="20"/>
  <c r="AG43" i="20"/>
  <c r="AC78" i="20"/>
  <c r="AH106" i="20"/>
  <c r="AN106" i="20"/>
  <c r="AI46" i="20"/>
  <c r="AC46" i="20"/>
  <c r="AM48" i="20"/>
  <c r="AG48" i="20"/>
  <c r="AI54" i="20"/>
  <c r="AC54" i="20"/>
  <c r="AM56" i="20"/>
  <c r="AG56" i="20"/>
  <c r="AI62" i="20"/>
  <c r="AC62" i="20"/>
  <c r="AM64" i="20"/>
  <c r="AG64" i="20"/>
  <c r="AK31" i="20"/>
  <c r="AE31" i="20"/>
  <c r="AH27" i="20"/>
  <c r="AN27" i="20"/>
  <c r="AH35" i="20"/>
  <c r="AN35" i="20"/>
  <c r="AI71" i="20"/>
  <c r="AC71" i="20"/>
  <c r="AI75" i="20"/>
  <c r="AC75" i="20"/>
  <c r="AI79" i="20"/>
  <c r="AC79" i="20"/>
  <c r="AI83" i="20"/>
  <c r="AM69" i="20"/>
  <c r="AG69" i="20"/>
  <c r="AI72" i="20"/>
  <c r="AC72" i="20"/>
  <c r="AI80" i="20"/>
  <c r="AI84" i="20"/>
  <c r="AC80" i="20"/>
  <c r="AM73" i="20"/>
  <c r="AG73" i="20"/>
  <c r="AH28" i="20"/>
  <c r="AN28" i="20"/>
  <c r="AG49" i="20"/>
  <c r="AC65" i="20"/>
  <c r="AG70" i="20"/>
  <c r="AC82" i="20"/>
  <c r="AK85" i="20"/>
  <c r="AE85" i="20"/>
  <c r="AH95" i="20"/>
  <c r="AN95" i="20"/>
  <c r="AN110" i="20"/>
  <c r="AH59" i="20"/>
  <c r="AK100" i="20"/>
  <c r="AE100" i="20"/>
  <c r="AH94" i="20"/>
  <c r="AH87" i="20"/>
  <c r="AN87" i="20"/>
  <c r="AH91" i="20"/>
  <c r="AN91" i="20"/>
  <c r="AK95" i="20"/>
  <c r="AE95" i="20"/>
  <c r="AH100" i="20"/>
  <c r="AN100" i="20"/>
  <c r="AK106" i="20"/>
  <c r="AE106" i="20"/>
  <c r="AC51" i="20"/>
  <c r="AG59" i="20"/>
  <c r="AK96" i="20"/>
  <c r="AK110" i="20"/>
  <c r="AI42" i="20"/>
  <c r="AC42" i="20"/>
  <c r="AM52" i="20"/>
  <c r="AG52" i="20"/>
  <c r="AI58" i="20"/>
  <c r="AC58" i="20"/>
  <c r="AK23" i="20"/>
  <c r="AE23" i="20"/>
  <c r="AH23" i="20"/>
  <c r="AN23" i="20"/>
  <c r="AK28" i="20"/>
  <c r="AE28" i="20"/>
  <c r="AE29" i="20"/>
  <c r="AM68" i="20"/>
  <c r="AG68" i="20"/>
  <c r="AK84" i="20"/>
  <c r="AE84" i="20"/>
  <c r="AK90" i="20"/>
  <c r="AE90" i="20"/>
  <c r="AK94" i="20"/>
  <c r="AE94" i="20"/>
  <c r="AH89" i="20"/>
  <c r="AN89" i="20"/>
  <c r="AK104" i="20"/>
  <c r="AE104" i="20"/>
  <c r="AK34" i="20"/>
  <c r="AE34" i="20"/>
  <c r="AM50" i="20"/>
  <c r="AG50" i="20"/>
  <c r="AI56" i="20"/>
  <c r="AC56" i="20"/>
  <c r="AM66" i="20"/>
  <c r="AG66" i="20"/>
  <c r="AK27" i="20"/>
  <c r="AE27" i="20"/>
  <c r="AM67" i="20"/>
  <c r="AG67" i="20"/>
  <c r="AM81" i="20"/>
  <c r="AM85" i="20"/>
  <c r="AG81" i="20"/>
  <c r="AE41" i="20"/>
  <c r="AH54" i="20"/>
  <c r="AN54" i="20"/>
  <c r="AH62" i="20"/>
  <c r="AN62" i="20"/>
  <c r="AM76" i="20"/>
  <c r="AG76" i="20"/>
  <c r="AK99" i="20"/>
  <c r="AE99" i="20"/>
  <c r="AK103" i="20"/>
  <c r="AE103" i="20"/>
  <c r="AK107" i="20"/>
  <c r="AE107" i="20"/>
  <c r="AE108" i="20"/>
  <c r="AH36" i="20"/>
  <c r="AN36" i="20"/>
  <c r="AH102" i="20"/>
  <c r="AN102" i="20"/>
  <c r="AK93" i="20"/>
  <c r="AE93" i="20"/>
  <c r="AH24" i="20"/>
  <c r="AN24" i="20"/>
  <c r="AK109" i="20"/>
  <c r="AK22" i="20"/>
  <c r="AE22" i="20"/>
  <c r="AH25" i="20"/>
  <c r="AK30" i="20"/>
  <c r="AE30" i="20"/>
  <c r="AK38" i="20"/>
  <c r="AE38" i="20"/>
  <c r="AI44" i="20"/>
  <c r="AC44" i="20"/>
  <c r="AM46" i="20"/>
  <c r="AG46" i="20"/>
  <c r="AI52" i="20"/>
  <c r="AC52" i="20"/>
  <c r="AM54" i="20"/>
  <c r="AG54" i="20"/>
  <c r="AI60" i="20"/>
  <c r="AC60" i="20"/>
  <c r="AM62" i="20"/>
  <c r="AG62" i="20"/>
  <c r="AK35" i="20"/>
  <c r="AE35" i="20"/>
  <c r="AM71" i="20"/>
  <c r="AG71" i="20"/>
  <c r="AM75" i="20"/>
  <c r="AG75" i="20"/>
  <c r="AM79" i="20"/>
  <c r="AG79" i="20"/>
  <c r="AM83" i="20"/>
  <c r="AK32" i="20"/>
  <c r="AE32" i="20"/>
  <c r="AE33" i="20"/>
  <c r="AI73" i="20"/>
  <c r="AC73" i="20"/>
  <c r="AH44" i="20"/>
  <c r="AN44" i="20"/>
  <c r="AH48" i="20"/>
  <c r="AN48" i="20"/>
  <c r="AH52" i="20"/>
  <c r="AN52" i="20"/>
  <c r="AH56" i="20"/>
  <c r="AN56" i="20"/>
  <c r="AH60" i="20"/>
  <c r="AN60" i="20"/>
  <c r="AH64" i="20"/>
  <c r="AN64" i="20"/>
  <c r="AI68" i="20"/>
  <c r="AC68" i="20"/>
  <c r="AM72" i="20"/>
  <c r="AG72" i="20"/>
  <c r="AM80" i="20"/>
  <c r="AM84" i="20"/>
  <c r="AG80" i="20"/>
  <c r="AM77" i="20"/>
  <c r="AG77" i="20"/>
  <c r="AH47" i="20"/>
  <c r="AC57" i="20"/>
  <c r="AM70" i="20"/>
  <c r="AK83" i="20"/>
  <c r="AE83" i="20"/>
  <c r="AN99" i="20"/>
  <c r="AN101" i="20"/>
  <c r="AH20" i="20"/>
  <c r="AN20" i="20"/>
  <c r="AG61" i="20"/>
  <c r="AG78" i="20"/>
  <c r="AK89" i="20"/>
  <c r="AE89" i="20"/>
  <c r="AC59" i="20"/>
  <c r="AK108" i="20"/>
  <c r="AH32" i="20"/>
  <c r="AN32" i="20"/>
  <c r="AC43" i="20"/>
  <c r="AG47" i="20"/>
  <c r="AH53" i="20"/>
  <c r="AC63" i="20"/>
  <c r="AK97" i="20"/>
  <c r="AE97" i="20"/>
  <c r="AH104" i="20"/>
  <c r="AN104" i="20"/>
  <c r="AG45" i="20"/>
  <c r="AC61" i="20"/>
  <c r="AK87" i="20"/>
  <c r="AE87" i="20"/>
  <c r="AH40" i="20"/>
  <c r="AN40" i="20"/>
  <c r="AH41" i="20"/>
  <c r="AH88" i="20"/>
  <c r="AH105" i="20"/>
  <c r="AK111" i="20"/>
  <c r="AE18" i="20"/>
  <c r="AH18" i="20"/>
  <c r="AH17" i="20"/>
  <c r="AE19" i="20"/>
  <c r="AH19" i="20"/>
  <c r="AE17" i="20"/>
  <c r="R124" i="19"/>
  <c r="W124" i="19" s="1"/>
  <c r="V124" i="19"/>
  <c r="X124" i="19" s="1"/>
  <c r="Y124" i="19" l="1"/>
  <c r="R123" i="19" l="1"/>
  <c r="W123" i="19" s="1"/>
  <c r="V123" i="19"/>
  <c r="X123" i="19" s="1"/>
  <c r="Y123" i="19" l="1"/>
  <c r="R122" i="19"/>
  <c r="V122" i="19"/>
  <c r="X122" i="19" s="1"/>
  <c r="Y122" i="19" l="1"/>
  <c r="W122" i="19"/>
  <c r="V121" i="19" l="1"/>
  <c r="X121" i="19" s="1"/>
  <c r="R121" i="19"/>
  <c r="Y121" i="19" l="1"/>
  <c r="W121" i="19"/>
  <c r="R120" i="19"/>
  <c r="W120" i="19" s="1"/>
  <c r="V120" i="19"/>
  <c r="X120" i="19" s="1"/>
  <c r="Y120" i="19" l="1"/>
  <c r="R119" i="19"/>
  <c r="W119" i="19" s="1"/>
  <c r="V119" i="19"/>
  <c r="X119" i="19" s="1"/>
  <c r="Y119" i="19" l="1"/>
  <c r="V118" i="19"/>
  <c r="X118" i="19" s="1"/>
  <c r="R118" i="19"/>
  <c r="W118" i="19" s="1"/>
  <c r="Y118" i="19" l="1"/>
  <c r="V117" i="19"/>
  <c r="X117" i="19" s="1"/>
  <c r="R117" i="19"/>
  <c r="W117" i="19" s="1"/>
  <c r="Y117" i="19" l="1"/>
  <c r="R116" i="19"/>
  <c r="W116" i="19" s="1"/>
  <c r="V116" i="19"/>
  <c r="X116" i="19" s="1"/>
  <c r="Y116" i="19" l="1"/>
  <c r="V115" i="19" l="1"/>
  <c r="X115" i="19" s="1"/>
  <c r="R115" i="19"/>
  <c r="W115" i="19" s="1"/>
  <c r="Y115" i="19" l="1"/>
  <c r="V114" i="19"/>
  <c r="X114" i="19" s="1"/>
  <c r="R114" i="19"/>
  <c r="W114" i="19" s="1"/>
  <c r="V113" i="19" l="1"/>
  <c r="X113" i="19" s="1"/>
  <c r="R113" i="19"/>
  <c r="W113" i="19" s="1"/>
  <c r="Y114" i="19"/>
  <c r="Y113" i="19" l="1"/>
  <c r="V112" i="19"/>
  <c r="X112" i="19" s="1"/>
  <c r="R112" i="19"/>
  <c r="W112" i="19" s="1"/>
  <c r="Y112" i="19" l="1"/>
  <c r="V111" i="19"/>
  <c r="X111" i="19" s="1"/>
  <c r="R111" i="19"/>
  <c r="W111" i="19" s="1"/>
  <c r="Y111" i="19" l="1"/>
  <c r="R110" i="19" l="1"/>
  <c r="W110" i="19" s="1"/>
  <c r="V110" i="19"/>
  <c r="X110" i="19" s="1"/>
  <c r="Y110" i="19" l="1"/>
  <c r="V109" i="19" l="1"/>
  <c r="X109" i="19" s="1"/>
  <c r="R109" i="19"/>
  <c r="W109" i="19" s="1"/>
  <c r="V108" i="19" l="1"/>
  <c r="X108" i="19" s="1"/>
  <c r="Y109" i="19"/>
  <c r="R108" i="19"/>
  <c r="Y108" i="19" l="1"/>
  <c r="W108" i="19"/>
  <c r="R107" i="19" l="1"/>
  <c r="W107" i="19" s="1"/>
  <c r="V107" i="19"/>
  <c r="Y107" i="19" l="1"/>
  <c r="V106" i="19"/>
  <c r="X106" i="19" s="1"/>
  <c r="X107" i="19"/>
  <c r="R106" i="19"/>
  <c r="Y106" i="19" l="1"/>
  <c r="W106" i="19"/>
  <c r="V105" i="19"/>
  <c r="X105" i="19" s="1"/>
  <c r="R105" i="19"/>
  <c r="W105" i="19" s="1"/>
  <c r="Y105" i="19" l="1"/>
  <c r="V104" i="19"/>
  <c r="X104" i="19" s="1"/>
  <c r="R104" i="19"/>
  <c r="W104" i="19" s="1"/>
  <c r="Y104" i="19" l="1"/>
  <c r="V103" i="19"/>
  <c r="X103" i="19" s="1"/>
  <c r="R103" i="19"/>
  <c r="W103" i="19" s="1"/>
  <c r="Y103" i="19" l="1"/>
  <c r="V102" i="19" l="1"/>
  <c r="X102" i="19" s="1"/>
  <c r="R102" i="19"/>
  <c r="W102" i="19" s="1"/>
  <c r="Y102" i="19" l="1"/>
  <c r="V101" i="19"/>
  <c r="X101" i="19" s="1"/>
  <c r="R101" i="19"/>
  <c r="W101" i="19" s="1"/>
  <c r="X12" i="20" l="1"/>
  <c r="AJ16" i="20" s="1"/>
  <c r="AA12" i="20"/>
  <c r="AM16" i="20" s="1"/>
  <c r="Y13" i="20"/>
  <c r="AK17" i="20" s="1"/>
  <c r="W14" i="20"/>
  <c r="AI18" i="20" s="1"/>
  <c r="AA11" i="20"/>
  <c r="Y12" i="20"/>
  <c r="AK16" i="20" s="1"/>
  <c r="W13" i="20"/>
  <c r="AI17" i="20" s="1"/>
  <c r="AA15" i="20"/>
  <c r="Z14" i="20"/>
  <c r="AL18" i="20" s="1"/>
  <c r="AA13" i="20"/>
  <c r="AM17" i="20" s="1"/>
  <c r="Y14" i="20"/>
  <c r="AK18" i="20" s="1"/>
  <c r="W15" i="20"/>
  <c r="W11" i="20"/>
  <c r="W12" i="20"/>
  <c r="AI16" i="20" s="1"/>
  <c r="AA10" i="20"/>
  <c r="AA14" i="20"/>
  <c r="AM18" i="20" s="1"/>
  <c r="Y11" i="20"/>
  <c r="Z12" i="20"/>
  <c r="AL16" i="20" s="1"/>
  <c r="Y15" i="20"/>
  <c r="X14" i="20"/>
  <c r="AJ18" i="20" s="1"/>
  <c r="Y101" i="19"/>
  <c r="W9" i="20"/>
  <c r="AI13" i="20" s="1"/>
  <c r="Y9" i="20"/>
  <c r="AA9" i="20"/>
  <c r="X9" i="20"/>
  <c r="Z9" i="20"/>
  <c r="W10" i="20"/>
  <c r="AC11" i="20" s="1"/>
  <c r="Y10" i="20"/>
  <c r="X10" i="20"/>
  <c r="Z10" i="20"/>
  <c r="X11" i="20"/>
  <c r="Z11" i="20"/>
  <c r="X13" i="20"/>
  <c r="AJ17" i="20" s="1"/>
  <c r="Z13" i="20"/>
  <c r="AL17" i="20" s="1"/>
  <c r="X15" i="20"/>
  <c r="Z15" i="20"/>
  <c r="AD16" i="20" l="1"/>
  <c r="AJ19" i="20"/>
  <c r="AE16" i="20"/>
  <c r="AK19" i="20"/>
  <c r="AG16" i="20"/>
  <c r="AM19" i="20"/>
  <c r="AF16" i="20"/>
  <c r="AL19" i="20"/>
  <c r="AC16" i="20"/>
  <c r="AI19" i="20"/>
  <c r="AG12" i="20"/>
  <c r="AG10" i="20"/>
  <c r="AM14" i="20"/>
  <c r="AG11" i="20"/>
  <c r="AC15" i="20"/>
  <c r="AC14" i="20"/>
  <c r="AK15" i="20"/>
  <c r="AE15" i="20"/>
  <c r="AE13" i="20"/>
  <c r="AK13" i="20"/>
  <c r="AM15" i="20"/>
  <c r="AE12" i="20"/>
  <c r="AE11" i="20"/>
  <c r="AI15" i="20"/>
  <c r="AF11" i="20"/>
  <c r="AC12" i="20"/>
  <c r="AG15" i="20"/>
  <c r="AE14" i="20"/>
  <c r="AD11" i="20"/>
  <c r="AG14" i="20"/>
  <c r="AF14" i="20"/>
  <c r="AL14" i="20"/>
  <c r="AM13" i="20"/>
  <c r="AK14" i="20"/>
  <c r="AE10" i="20"/>
  <c r="AG13" i="20"/>
  <c r="AI14" i="20"/>
  <c r="AC13" i="20"/>
  <c r="AF10" i="20"/>
  <c r="AD10" i="20"/>
  <c r="AC10" i="20"/>
  <c r="AJ14" i="20"/>
  <c r="AJ15" i="20"/>
  <c r="AD15" i="20"/>
  <c r="AJ13" i="20"/>
  <c r="AD13" i="20"/>
  <c r="AD14" i="20"/>
  <c r="AF12" i="20"/>
  <c r="AL15" i="20"/>
  <c r="AF15" i="20"/>
  <c r="AL13" i="20"/>
  <c r="AF13" i="20"/>
  <c r="AD12" i="20"/>
  <c r="V100" i="19" l="1"/>
  <c r="X100" i="19" s="1"/>
  <c r="R100" i="19"/>
  <c r="W100" i="19" s="1"/>
  <c r="Y100" i="19" l="1"/>
  <c r="V97" i="19" l="1"/>
  <c r="X97" i="19" s="1"/>
  <c r="R97" i="19"/>
  <c r="W97" i="19" s="1"/>
  <c r="Y97" i="19" l="1"/>
  <c r="K14" i="20" l="1"/>
  <c r="K10" i="20"/>
  <c r="AB12" i="20"/>
  <c r="AN16" i="20" s="1"/>
  <c r="K12" i="20"/>
  <c r="AB14" i="20"/>
  <c r="AN18" i="20" s="1"/>
  <c r="K11" i="20"/>
  <c r="K15" i="20"/>
  <c r="AB10" i="20"/>
  <c r="AB13" i="20"/>
  <c r="AN17" i="20" s="1"/>
  <c r="AB9" i="20"/>
  <c r="K9" i="20"/>
  <c r="AB11" i="20"/>
  <c r="K13" i="20"/>
  <c r="AB15" i="20"/>
  <c r="V99" i="19"/>
  <c r="X99" i="19" s="1"/>
  <c r="R99" i="19"/>
  <c r="W99" i="19" s="1"/>
  <c r="V98" i="19"/>
  <c r="X98" i="19" s="1"/>
  <c r="R98" i="19"/>
  <c r="V96" i="19"/>
  <c r="X96" i="19" s="1"/>
  <c r="R96" i="19"/>
  <c r="V95" i="19"/>
  <c r="X95" i="19" s="1"/>
  <c r="R95" i="19"/>
  <c r="W95" i="19" s="1"/>
  <c r="V94" i="19"/>
  <c r="X94" i="19" s="1"/>
  <c r="R94" i="19"/>
  <c r="V93" i="19"/>
  <c r="X93" i="19" s="1"/>
  <c r="R93" i="19"/>
  <c r="W93" i="19" s="1"/>
  <c r="V92" i="19"/>
  <c r="X92" i="19" s="1"/>
  <c r="R92" i="19"/>
  <c r="V91" i="19"/>
  <c r="X91" i="19" s="1"/>
  <c r="R91" i="19"/>
  <c r="W91" i="19" s="1"/>
  <c r="V90" i="19"/>
  <c r="X90" i="19" s="1"/>
  <c r="R90" i="19"/>
  <c r="V89" i="19"/>
  <c r="X89" i="19" s="1"/>
  <c r="R89" i="19"/>
  <c r="W89" i="19" s="1"/>
  <c r="V88" i="19"/>
  <c r="X88" i="19" s="1"/>
  <c r="R88" i="19"/>
  <c r="V87" i="19"/>
  <c r="X87" i="19" s="1"/>
  <c r="R87" i="19"/>
  <c r="W87" i="19" s="1"/>
  <c r="V86" i="19"/>
  <c r="X86" i="19" s="1"/>
  <c r="R86" i="19"/>
  <c r="V85" i="19"/>
  <c r="X85" i="19" s="1"/>
  <c r="R85" i="19"/>
  <c r="W85" i="19" s="1"/>
  <c r="V84" i="19"/>
  <c r="X84" i="19" s="1"/>
  <c r="R84" i="19"/>
  <c r="V83" i="19"/>
  <c r="X83" i="19" s="1"/>
  <c r="R83" i="19"/>
  <c r="W83" i="19" s="1"/>
  <c r="V82" i="19"/>
  <c r="X82" i="19" s="1"/>
  <c r="R82" i="19"/>
  <c r="V81" i="19"/>
  <c r="X81" i="19" s="1"/>
  <c r="R81" i="19"/>
  <c r="W81" i="19" s="1"/>
  <c r="V80" i="19"/>
  <c r="X80" i="19" s="1"/>
  <c r="R80" i="19"/>
  <c r="V79" i="19"/>
  <c r="X79" i="19" s="1"/>
  <c r="R79" i="19"/>
  <c r="W79" i="19" s="1"/>
  <c r="V78" i="19"/>
  <c r="X78" i="19" s="1"/>
  <c r="R78" i="19"/>
  <c r="V77" i="19"/>
  <c r="X77" i="19" s="1"/>
  <c r="R77" i="19"/>
  <c r="W77" i="19" s="1"/>
  <c r="V76" i="19"/>
  <c r="X76" i="19" s="1"/>
  <c r="R76" i="19"/>
  <c r="V75" i="19"/>
  <c r="X75" i="19" s="1"/>
  <c r="R75" i="19"/>
  <c r="W75" i="19" s="1"/>
  <c r="V74" i="19"/>
  <c r="X74" i="19" s="1"/>
  <c r="R74" i="19"/>
  <c r="V73" i="19"/>
  <c r="X73" i="19" s="1"/>
  <c r="R73" i="19"/>
  <c r="W73" i="19" s="1"/>
  <c r="V72" i="19"/>
  <c r="X72" i="19" s="1"/>
  <c r="R72" i="19"/>
  <c r="V71" i="19"/>
  <c r="X71" i="19" s="1"/>
  <c r="R71" i="19"/>
  <c r="W71" i="19" s="1"/>
  <c r="V70" i="19"/>
  <c r="X70" i="19" s="1"/>
  <c r="R70" i="19"/>
  <c r="V69" i="19"/>
  <c r="X69" i="19" s="1"/>
  <c r="R69" i="19"/>
  <c r="W69" i="19" s="1"/>
  <c r="V68" i="19"/>
  <c r="X68" i="19" s="1"/>
  <c r="R68" i="19"/>
  <c r="V67" i="19"/>
  <c r="X67" i="19" s="1"/>
  <c r="R67" i="19"/>
  <c r="W67" i="19" s="1"/>
  <c r="V66" i="19"/>
  <c r="X66" i="19" s="1"/>
  <c r="R66" i="19"/>
  <c r="V65" i="19"/>
  <c r="X65" i="19" s="1"/>
  <c r="R65" i="19"/>
  <c r="W65" i="19" s="1"/>
  <c r="V64" i="19"/>
  <c r="X64" i="19" s="1"/>
  <c r="R64" i="19"/>
  <c r="V63" i="19"/>
  <c r="X63" i="19" s="1"/>
  <c r="R63" i="19"/>
  <c r="W63" i="19" s="1"/>
  <c r="V62" i="19"/>
  <c r="X62" i="19" s="1"/>
  <c r="R62" i="19"/>
  <c r="V61" i="19"/>
  <c r="X61" i="19" s="1"/>
  <c r="R61" i="19"/>
  <c r="W61" i="19" s="1"/>
  <c r="V60" i="19"/>
  <c r="X60" i="19" s="1"/>
  <c r="R60" i="19"/>
  <c r="V59" i="19"/>
  <c r="X59" i="19" s="1"/>
  <c r="R59" i="19"/>
  <c r="W59" i="19" s="1"/>
  <c r="V58" i="19"/>
  <c r="X58" i="19" s="1"/>
  <c r="R58" i="19"/>
  <c r="W58" i="19" s="1"/>
  <c r="V57" i="19"/>
  <c r="X57" i="19" s="1"/>
  <c r="R57" i="19"/>
  <c r="W57" i="19" s="1"/>
  <c r="V56" i="19"/>
  <c r="X56" i="19" s="1"/>
  <c r="R56" i="19"/>
  <c r="V55" i="19"/>
  <c r="X55" i="19" s="1"/>
  <c r="R55" i="19"/>
  <c r="W55" i="19" s="1"/>
  <c r="V54" i="19"/>
  <c r="X54" i="19" s="1"/>
  <c r="R54" i="19"/>
  <c r="V53" i="19"/>
  <c r="X53" i="19" s="1"/>
  <c r="R53" i="19"/>
  <c r="W53" i="19" s="1"/>
  <c r="V52" i="19"/>
  <c r="X52" i="19" s="1"/>
  <c r="R52" i="19"/>
  <c r="V51" i="19"/>
  <c r="X51" i="19" s="1"/>
  <c r="R51" i="19"/>
  <c r="W51" i="19" s="1"/>
  <c r="V50" i="19"/>
  <c r="X50" i="19" s="1"/>
  <c r="R50" i="19"/>
  <c r="V49" i="19"/>
  <c r="X49" i="19" s="1"/>
  <c r="R49" i="19"/>
  <c r="W49" i="19" s="1"/>
  <c r="V48" i="19"/>
  <c r="X48" i="19" s="1"/>
  <c r="R48" i="19"/>
  <c r="V47" i="19"/>
  <c r="X47" i="19" s="1"/>
  <c r="R47" i="19"/>
  <c r="W47" i="19" s="1"/>
  <c r="V46" i="19"/>
  <c r="X46" i="19" s="1"/>
  <c r="R46" i="19"/>
  <c r="W46" i="19" s="1"/>
  <c r="V45" i="19"/>
  <c r="X45" i="19" s="1"/>
  <c r="R45" i="19"/>
  <c r="W45" i="19" s="1"/>
  <c r="V44" i="19"/>
  <c r="X44" i="19" s="1"/>
  <c r="R44" i="19"/>
  <c r="V43" i="19"/>
  <c r="X43" i="19" s="1"/>
  <c r="R43" i="19"/>
  <c r="W43" i="19" s="1"/>
  <c r="V42" i="19"/>
  <c r="X42" i="19" s="1"/>
  <c r="R42" i="19"/>
  <c r="W42" i="19" s="1"/>
  <c r="V41" i="19"/>
  <c r="X41" i="19" s="1"/>
  <c r="R41" i="19"/>
  <c r="W41" i="19" s="1"/>
  <c r="V40" i="19"/>
  <c r="X40" i="19" s="1"/>
  <c r="R40" i="19"/>
  <c r="V39" i="19"/>
  <c r="X39" i="19" s="1"/>
  <c r="R39" i="19"/>
  <c r="W39" i="19" s="1"/>
  <c r="V38" i="19"/>
  <c r="X38" i="19" s="1"/>
  <c r="R38" i="19"/>
  <c r="W38" i="19" s="1"/>
  <c r="V37" i="19"/>
  <c r="X37" i="19" s="1"/>
  <c r="R37" i="19"/>
  <c r="W37" i="19" s="1"/>
  <c r="V36" i="19"/>
  <c r="X36" i="19" s="1"/>
  <c r="R36" i="19"/>
  <c r="V35" i="19"/>
  <c r="X35" i="19" s="1"/>
  <c r="R35" i="19"/>
  <c r="W35" i="19" s="1"/>
  <c r="V34" i="19"/>
  <c r="X34" i="19" s="1"/>
  <c r="R34" i="19"/>
  <c r="W34" i="19" s="1"/>
  <c r="V33" i="19"/>
  <c r="X33" i="19" s="1"/>
  <c r="R33" i="19"/>
  <c r="W33" i="19" s="1"/>
  <c r="V32" i="19"/>
  <c r="X32" i="19" s="1"/>
  <c r="R32" i="19"/>
  <c r="V31" i="19"/>
  <c r="X31" i="19" s="1"/>
  <c r="R31" i="19"/>
  <c r="W31" i="19" s="1"/>
  <c r="V30" i="19"/>
  <c r="X30" i="19" s="1"/>
  <c r="R30" i="19"/>
  <c r="W30" i="19" s="1"/>
  <c r="V29" i="19"/>
  <c r="X29" i="19" s="1"/>
  <c r="R29" i="19"/>
  <c r="W29" i="19" s="1"/>
  <c r="V28" i="19"/>
  <c r="X28" i="19" s="1"/>
  <c r="R28" i="19"/>
  <c r="V27" i="19"/>
  <c r="X27" i="19" s="1"/>
  <c r="R27" i="19"/>
  <c r="W27" i="19" s="1"/>
  <c r="V26" i="19"/>
  <c r="X26" i="19" s="1"/>
  <c r="R26" i="19"/>
  <c r="W26" i="19" s="1"/>
  <c r="V25" i="19"/>
  <c r="X25" i="19" s="1"/>
  <c r="R25" i="19"/>
  <c r="W25" i="19" s="1"/>
  <c r="V24" i="19"/>
  <c r="X24" i="19" s="1"/>
  <c r="R24" i="19"/>
  <c r="V23" i="19"/>
  <c r="X23" i="19" s="1"/>
  <c r="R23" i="19"/>
  <c r="W23" i="19" s="1"/>
  <c r="V22" i="19"/>
  <c r="X22" i="19" s="1"/>
  <c r="R22" i="19"/>
  <c r="W22" i="19" s="1"/>
  <c r="V21" i="19"/>
  <c r="X21" i="19" s="1"/>
  <c r="R21" i="19"/>
  <c r="W21" i="19" s="1"/>
  <c r="V20" i="19"/>
  <c r="X20" i="19" s="1"/>
  <c r="R20" i="19"/>
  <c r="V19" i="19"/>
  <c r="R19" i="19"/>
  <c r="W19" i="19" s="1"/>
  <c r="V18" i="19"/>
  <c r="X18" i="19" s="1"/>
  <c r="R18" i="19"/>
  <c r="W18" i="19" s="1"/>
  <c r="V17" i="19"/>
  <c r="X17" i="19" s="1"/>
  <c r="R17" i="19"/>
  <c r="V16" i="19"/>
  <c r="X16" i="19" s="1"/>
  <c r="R16" i="19"/>
  <c r="W16" i="19" s="1"/>
  <c r="V15" i="19"/>
  <c r="X15" i="19" s="1"/>
  <c r="R15" i="19"/>
  <c r="W15" i="19" s="1"/>
  <c r="V14" i="19"/>
  <c r="X14" i="19" s="1"/>
  <c r="R14" i="19"/>
  <c r="V13" i="19"/>
  <c r="X13" i="19" s="1"/>
  <c r="R13" i="19"/>
  <c r="W13" i="19" s="1"/>
  <c r="V12" i="19"/>
  <c r="X12" i="19" s="1"/>
  <c r="R12" i="19"/>
  <c r="V11" i="19"/>
  <c r="X11" i="19" s="1"/>
  <c r="R11" i="19"/>
  <c r="W11" i="19" s="1"/>
  <c r="V10" i="19"/>
  <c r="X10" i="19" s="1"/>
  <c r="R10" i="19"/>
  <c r="W10" i="19" s="1"/>
  <c r="V9" i="19"/>
  <c r="X9" i="19" s="1"/>
  <c r="R9" i="19"/>
  <c r="W9" i="19" s="1"/>
  <c r="AH16" i="20" l="1"/>
  <c r="AN19" i="20"/>
  <c r="V8" i="19"/>
  <c r="X8" i="19" s="1"/>
  <c r="AN14" i="20"/>
  <c r="AH10" i="20"/>
  <c r="Y28" i="19"/>
  <c r="Y32" i="19"/>
  <c r="Y78" i="19"/>
  <c r="Y80" i="19"/>
  <c r="Y24" i="19"/>
  <c r="Y36" i="19"/>
  <c r="Y40" i="19"/>
  <c r="Y48" i="19"/>
  <c r="Y50" i="19"/>
  <c r="Y52" i="19"/>
  <c r="Y54" i="19"/>
  <c r="Y56" i="19"/>
  <c r="Y60" i="19"/>
  <c r="Y64" i="19"/>
  <c r="Y66" i="19"/>
  <c r="Y68" i="19"/>
  <c r="Y70" i="19"/>
  <c r="Y72" i="19"/>
  <c r="Y74" i="19"/>
  <c r="Y76" i="19"/>
  <c r="Y82" i="19"/>
  <c r="Y84" i="19"/>
  <c r="Y86" i="19"/>
  <c r="Y88" i="19"/>
  <c r="Y90" i="19"/>
  <c r="Y92" i="19"/>
  <c r="Y94" i="19"/>
  <c r="Y96" i="19"/>
  <c r="AH15" i="20"/>
  <c r="AH14" i="20"/>
  <c r="AH11" i="20"/>
  <c r="AN15" i="20"/>
  <c r="AH12" i="20"/>
  <c r="Y98" i="19"/>
  <c r="AH13" i="20"/>
  <c r="AN13" i="20"/>
  <c r="Y44" i="19"/>
  <c r="Y20" i="19"/>
  <c r="R8" i="19"/>
  <c r="W8" i="19" s="1"/>
  <c r="Y62" i="19"/>
  <c r="W12" i="19"/>
  <c r="Y12" i="19"/>
  <c r="W14" i="19"/>
  <c r="Y14" i="19"/>
  <c r="Y17" i="19"/>
  <c r="W17" i="19"/>
  <c r="Y19" i="19"/>
  <c r="Y99" i="19"/>
  <c r="W98" i="19"/>
  <c r="W96" i="19"/>
  <c r="Y95" i="19"/>
  <c r="W94" i="19"/>
  <c r="Y93" i="19"/>
  <c r="W92" i="19"/>
  <c r="Y91" i="19"/>
  <c r="W90" i="19"/>
  <c r="Y89" i="19"/>
  <c r="W88" i="19"/>
  <c r="Y87" i="19"/>
  <c r="W86" i="19"/>
  <c r="Y85" i="19"/>
  <c r="W84" i="19"/>
  <c r="Y83" i="19"/>
  <c r="W82" i="19"/>
  <c r="Y81" i="19"/>
  <c r="W80" i="19"/>
  <c r="Y79" i="19"/>
  <c r="W78" i="19"/>
  <c r="Y77" i="19"/>
  <c r="W76" i="19"/>
  <c r="Y75" i="19"/>
  <c r="W74" i="19"/>
  <c r="Y73" i="19"/>
  <c r="W72" i="19"/>
  <c r="Y71" i="19"/>
  <c r="W70" i="19"/>
  <c r="Y69" i="19"/>
  <c r="W68" i="19"/>
  <c r="Y67" i="19"/>
  <c r="W66" i="19"/>
  <c r="Y65" i="19"/>
  <c r="W64" i="19"/>
  <c r="Y63" i="19"/>
  <c r="W62" i="19"/>
  <c r="Y61" i="19"/>
  <c r="W60" i="19"/>
  <c r="Y59" i="19"/>
  <c r="Y58" i="19"/>
  <c r="Y57" i="19"/>
  <c r="W56" i="19"/>
  <c r="W54" i="19"/>
  <c r="W52" i="19"/>
  <c r="W50" i="19"/>
  <c r="W48" i="19"/>
  <c r="Y46" i="19"/>
  <c r="Y38" i="19"/>
  <c r="W36" i="19"/>
  <c r="Y34" i="19"/>
  <c r="Y27" i="19"/>
  <c r="Y26" i="19"/>
  <c r="W24" i="19"/>
  <c r="Y23" i="19"/>
  <c r="Y22" i="19"/>
  <c r="W20" i="19"/>
  <c r="X19" i="19"/>
  <c r="Y15" i="19"/>
  <c r="Y10" i="19"/>
  <c r="Y47" i="19"/>
  <c r="W44" i="19"/>
  <c r="Y43" i="19"/>
  <c r="Y42" i="19"/>
  <c r="W40" i="19"/>
  <c r="Y39" i="19"/>
  <c r="Y35" i="19"/>
  <c r="W32" i="19"/>
  <c r="Y31" i="19"/>
  <c r="Y30" i="19"/>
  <c r="W28" i="19"/>
  <c r="Y13" i="19"/>
  <c r="Y9" i="19"/>
  <c r="Y55" i="19"/>
  <c r="Y53" i="19"/>
  <c r="Y51" i="19"/>
  <c r="Y49" i="19"/>
  <c r="Y45" i="19"/>
  <c r="Y37" i="19"/>
  <c r="Y29" i="19"/>
  <c r="Y18" i="19"/>
  <c r="Y11" i="19"/>
  <c r="Y41" i="19"/>
  <c r="Y33" i="19"/>
  <c r="Y25" i="19"/>
  <c r="Y21" i="19"/>
  <c r="Y16" i="19"/>
  <c r="Y8" i="19" l="1"/>
  <c r="S7" i="21"/>
  <c r="T7" i="22"/>
  <c r="S7" i="22"/>
</calcChain>
</file>

<file path=xl/sharedStrings.xml><?xml version="1.0" encoding="utf-8"?>
<sst xmlns="http://schemas.openxmlformats.org/spreadsheetml/2006/main" count="1744" uniqueCount="291">
  <si>
    <t>Statistiques trimestrielles sur les demandeurs d'emploi inscrits à France Travail*</t>
  </si>
  <si>
    <t>Onglets</t>
  </si>
  <si>
    <t xml:space="preserve">Contenu </t>
  </si>
  <si>
    <t>DEFM cat ABC_age_sexe</t>
  </si>
  <si>
    <t>Demandeurs d'emploi inscrits à France Travail en catégories A + B + C : par sexe et tranche d'âge ( - 25 ans, 25-49 ans, 50 ans et +)</t>
  </si>
  <si>
    <t>DEFM cat A_age</t>
  </si>
  <si>
    <t>Demandeurs d'emploi inscrits à France Travail en catégorie A : par sexe et tranche d'âge ( - 25 ans, 25-49 ans, 50 ans et +)</t>
  </si>
  <si>
    <t>DEFM cat B_age</t>
  </si>
  <si>
    <t>Demandeurs d'emploi inscrits à France Travail en catégorie B : par sexe et tranche d'âge ( - 25 ans, 25-49 ans, 50 ans et +)</t>
  </si>
  <si>
    <t>DEFM cat C_age</t>
  </si>
  <si>
    <t>Demandeurs d'emploi inscrits à France Travail en catégorie C : par sexe et tranche d'âge ( - 25 ans, 25-49 ans, 50 ans et +)</t>
  </si>
  <si>
    <t>DEFM cat A par région</t>
  </si>
  <si>
    <t>Demandeurs d'emploi inscrits à France Travail en catégorie A : par région</t>
  </si>
  <si>
    <t>DEFM cat ABC par région</t>
  </si>
  <si>
    <t>Demandeurs d'emploi inscrits à France Travail en catégories A + B + C : par région</t>
  </si>
  <si>
    <t>DEFM cat BC_heures travaillées</t>
  </si>
  <si>
    <t>Demandeurs d'emploi inscrits à France Travail en catégories B, C : par heures travaillées ( Moins de 20 heures, De 20 à 39 heures, De 40 à 59 heures, De 60 à 78 heyres, De 79 à 99 heures, De 100 à 119 heures, De 120 à 150 heures, 151 heures ou plus)</t>
  </si>
  <si>
    <t>DEFM cat ABCDE</t>
  </si>
  <si>
    <t>Demandeurs d'emploi inscrits à France Travail en catégories A, B, C, D, E, A+B+C, A+B+C+D+E</t>
  </si>
  <si>
    <r>
      <t>DELD cat ABC_ancienneté</t>
    </r>
    <r>
      <rPr>
        <vertAlign val="superscript"/>
        <sz val="8"/>
        <rFont val="Arial"/>
        <family val="2"/>
      </rPr>
      <t>(*)</t>
    </r>
  </si>
  <si>
    <t>Demandeurs d'emploi inscrits à France Travail en catégories A + B + C : par ancienneté d'inscription (- 3 mois, 3 à - 6 mois, 6 à - 12 mois, 1 à - 2 ans, 2 à - 3 ans, 3 ans et +)</t>
  </si>
  <si>
    <t>Entrées cat ABC_motif</t>
  </si>
  <si>
    <t>Entrées à France Travail en catégories A, B, C  (flux d'entrées) : par motif d'inscription</t>
  </si>
  <si>
    <t>Sorties cat ABC_motif</t>
  </si>
  <si>
    <t>Sorties de France Travail de catégories A, B, C (flux de sorties) : par motif de sortie</t>
  </si>
  <si>
    <t>Catégories de demandeurs d'emploi</t>
  </si>
  <si>
    <t>Définition</t>
  </si>
  <si>
    <t>Catégorie A</t>
  </si>
  <si>
    <t xml:space="preserve">Demandeurs d’emploi tenus de faire des actes positifs de recherche d’emploi, sans emploi </t>
  </si>
  <si>
    <t>Catégorie B</t>
  </si>
  <si>
    <t>Demandeurs d’emploi tenus de faire des actes positifs de recherche d’emploi, ayant exercé une activité réduite courte   (i.e. de 78 heures ou moins au cours du mois)</t>
  </si>
  <si>
    <t>Catégorie C</t>
  </si>
  <si>
    <t>Demandeurs d’emploi tenus de faire des actes positifs de recherche d’emploi, ayant exercé une activité réduite longue (i.e. de plus de 78 heures au cours du mois)</t>
  </si>
  <si>
    <t>Catégorie D</t>
  </si>
  <si>
    <t xml:space="preserve">Demandeurs d’emploi non tenus de faire des actes positifs de recherche d’emploi (en raison d’un stage, d’une formation, d’une maladie…), sans emploi </t>
  </si>
  <si>
    <t>Catégorie E</t>
  </si>
  <si>
    <t>Demandeurs d’emploi non tenus de faire des actes positifs de recherche d’emploi, en emploi (par exemple : bénéficiaires de contrats aidés)</t>
  </si>
  <si>
    <t>* L’opérateur France Travail était jusqu’au 31 décembre 2023 l’opérateur Pôle emploi.</t>
  </si>
  <si>
    <r>
      <t xml:space="preserve">Dans le cadre de </t>
    </r>
    <r>
      <rPr>
        <b/>
        <sz val="8"/>
        <rFont val="Arial"/>
        <family val="2"/>
      </rPr>
      <t>la mise en œuvre de la loi pour le plein emploi</t>
    </r>
    <r>
      <rPr>
        <sz val="8"/>
        <rFont val="Arial"/>
        <family val="2"/>
      </rPr>
      <t>, les demandeurs et bénéficiaires du RSA, les jeunes en recherche d’emploi suivis par les missions locales, les personnes en situation de handicap suivies par Cap emploi sont systématiquement inscrits à France Travail à compter de janvier 2025. Pour tenir compte de ces évolutions, conformément aux recommandations d’un groupe de travail du Conseil national de l’information statistique (Cnis), deux nouvelles catégories statistiques sont créées : la catégorie F à dominante « sociale » pour les personnes les plus éloignées de l’emploi, et la catégorie G pour les demandeurs et bénéficiaires du RSA en attente d'orientation. Pour mieux appréhender les évolutions conjoncturelles du nombre d’inscrits à France Travail durant la période de transition entre 2025 et 2027, des indicateurs complémentaires excluant les publics touchés par la réforme sont également mis à disposition.</t>
    </r>
  </si>
  <si>
    <r>
      <t xml:space="preserve">Ces indicateurs complémentaires sont affectés depuis le mois d’octobre 2024 par </t>
    </r>
    <r>
      <rPr>
        <b/>
        <sz val="8"/>
        <rFont val="Arial"/>
        <family val="2"/>
      </rPr>
      <t>des changements dans les règles d’actualisation</t>
    </r>
    <r>
      <rPr>
        <sz val="8"/>
        <rFont val="Arial"/>
        <family val="2"/>
      </rPr>
      <t>. Ces changements réhaussent les effectifs d’inscrits à France Travail en catégorie A et réduisent les effectifs en catégories B et C, ainsi que les sorties des catégories A, B, C (pour plus de détails, voir avertissement p.3). Au total, sur le champ des séries complémentaires hors bénéficiaires du RSA et hors jeunes en parcours (CEJ, Pacea, AIJ) qui ne sont pas affectées par la loi pour le plein emploi, et après neutralisation des effets estimés de l’évolution des règles d’actualisation, le nombre d’inscrits évoluerait de +0,8% pour la catégorie A et de +1,3% pour les catégories A, B, C au 1er trimestre 2025. Ce sont ces évolutions qui reflètent le mieux la situation conjoncturelle du marché du travail.</t>
    </r>
  </si>
  <si>
    <r>
      <t xml:space="preserve">Suite à un incident de production en mars 2025, 36 000 </t>
    </r>
    <r>
      <rPr>
        <b/>
        <sz val="8"/>
        <rFont val="Arial"/>
        <family val="2"/>
      </rPr>
      <t>bénéficiaires du RSA ont été classés, à tort, en catégorie A</t>
    </r>
    <r>
      <rPr>
        <sz val="8"/>
        <rFont val="Arial"/>
        <family val="2"/>
      </rPr>
      <t>. Sur le premier trimestre, cet incident augmente la catégorie A en moyenne de +12 000. Ces personnes auraient dû être comptabilisées en catégorie G. Cet incident n’affectant que des bénéficiaires du RSA, il n’a pas d’impact sur les séries complémentaires (hors bénéficiaires du RSA et hors jeunes en parcours).</t>
    </r>
  </si>
  <si>
    <t>Pour plus d’information, voir la note incidents et changements de procédure.</t>
  </si>
  <si>
    <r>
      <t xml:space="preserve">Au premier semestre 2025, les évolutions sont affectées par </t>
    </r>
    <r>
      <rPr>
        <b/>
        <sz val="8"/>
        <rFont val="Arial"/>
        <family val="2"/>
      </rPr>
      <t>des changements dans les règles d’actualisation et l’entrée en vigueur du décret relatif aux sanctions</t>
    </r>
    <r>
      <rPr>
        <sz val="8"/>
        <rFont val="Arial"/>
        <family val="2"/>
      </rPr>
      <t xml:space="preserve">. </t>
    </r>
    <r>
      <rPr>
        <sz val="8"/>
        <color rgb="FF000000"/>
        <rFont val="Arial"/>
        <family val="2"/>
      </rPr>
      <t xml:space="preserve">Entre le 1er et le 2e trimestre 2025, les changements des règles d’actualisation ont un impact à la baisse sur les effectifs d’inscrits à France Travail en catégorie A, et en contrepartie un impact à la hausse sur les effectifs en catégories B et C, ainsi que sur les sorties des catégories A, B, C. </t>
    </r>
  </si>
  <si>
    <r>
      <t>En juin 2025, le décret relatif aux sanctions applicables aux inscrits à France Travail en cas de manquement à leurs obligations est entré en vigueur. Ces sanctions prennent désormais la forme d’une suspension-remobilisation en amont d’une éventuelle radiation des listes de France Travail, ce qui entraine une baisse des radiations des listes de France Travail en juin 2025. Au deuxième trimestre, le nombre de radiations baisse de 15% par rapport au premier trimestre. Sans l</t>
    </r>
    <r>
      <rPr>
        <sz val="8"/>
        <color rgb="FF000000"/>
        <rFont val="Arial"/>
        <family val="2"/>
      </rPr>
      <t xml:space="preserve">a mise en </t>
    </r>
    <r>
      <rPr>
        <sz val="8"/>
        <rFont val="Arial"/>
        <family val="2"/>
      </rPr>
      <t>application du décret, il est estimé que le nombre moyen d’inscrits en catégorie A et ABC aurait été moins élevé d’environ 5 000 au deuxième trimestre 2025. Sur le champ des séries complémentaires (hors bénéficiaires du RSA, et jeunes en CEJ, AIJ, Pacea), il est estimé qu’en l’absence de ces deux modifications (actualisation et décret sanctions), l’évolution du nombre d’inscrits au deuxième trimestre 2025 aurait été de +0,2% pour la catégorie A et de +0,9% pour les catégories A,B,C. Ce sont ces évolutions qui reflètent le mieux la situation conjoncturelle du marché du travail. </t>
    </r>
  </si>
  <si>
    <t>Titre</t>
  </si>
  <si>
    <t>Demandeurs d'emploi inscrits à France Travail en catégorie A : par sexe et tranche d'âge - DEFM A</t>
  </si>
  <si>
    <t>Données</t>
  </si>
  <si>
    <t>CVS-CJO, moyenne trimestrielle</t>
  </si>
  <si>
    <t>Niveau géographique</t>
  </si>
  <si>
    <t>France entière (1)</t>
  </si>
  <si>
    <t>Source</t>
  </si>
  <si>
    <t>France Travail - Dares, STMT</t>
  </si>
  <si>
    <t>(1) : Hors Mayotte, Saint-Martin et Saint-Barthelemy</t>
  </si>
  <si>
    <t>Période</t>
  </si>
  <si>
    <t>Hommes (DEFM A)</t>
  </si>
  <si>
    <t>Femmes (DEFM A)</t>
  </si>
  <si>
    <t>Total (DEFM A)</t>
  </si>
  <si>
    <t>Moins de 25 ans</t>
  </si>
  <si>
    <t>25 à 49 ans</t>
  </si>
  <si>
    <t xml:space="preserve">50 ans ou plus </t>
  </si>
  <si>
    <t>Ensemble</t>
  </si>
  <si>
    <t>1996T1</t>
  </si>
  <si>
    <t>1996T2</t>
  </si>
  <si>
    <t>1996T3</t>
  </si>
  <si>
    <t>1996T4</t>
  </si>
  <si>
    <t>1997T1</t>
  </si>
  <si>
    <t>1997T2</t>
  </si>
  <si>
    <t>1997T3</t>
  </si>
  <si>
    <t>1997T4</t>
  </si>
  <si>
    <t>1998T1</t>
  </si>
  <si>
    <t>1998T2</t>
  </si>
  <si>
    <t>1998T3</t>
  </si>
  <si>
    <t>1998T4</t>
  </si>
  <si>
    <t>1999T1</t>
  </si>
  <si>
    <t>1999T2</t>
  </si>
  <si>
    <t>1999T3</t>
  </si>
  <si>
    <t>1999T4</t>
  </si>
  <si>
    <t>2000T1</t>
  </si>
  <si>
    <t>2000T2</t>
  </si>
  <si>
    <t>2000T3</t>
  </si>
  <si>
    <t>2000T4</t>
  </si>
  <si>
    <t>2001T1</t>
  </si>
  <si>
    <t>2001T2</t>
  </si>
  <si>
    <t>2001T3</t>
  </si>
  <si>
    <t>2001T4</t>
  </si>
  <si>
    <t>2002T1</t>
  </si>
  <si>
    <t>2002T2</t>
  </si>
  <si>
    <t>2002T3</t>
  </si>
  <si>
    <t>2002T4</t>
  </si>
  <si>
    <t>2003T1</t>
  </si>
  <si>
    <t>2003T2</t>
  </si>
  <si>
    <t>2003T3</t>
  </si>
  <si>
    <t>2003T4</t>
  </si>
  <si>
    <t>2004T1</t>
  </si>
  <si>
    <t>2004T2</t>
  </si>
  <si>
    <t>2004T3</t>
  </si>
  <si>
    <t>2004T4</t>
  </si>
  <si>
    <t>2005T1</t>
  </si>
  <si>
    <t>2005T2</t>
  </si>
  <si>
    <t>2005T3</t>
  </si>
  <si>
    <t>2005T4</t>
  </si>
  <si>
    <t>2006T1</t>
  </si>
  <si>
    <t>2006T2</t>
  </si>
  <si>
    <t>2006T3</t>
  </si>
  <si>
    <t>2006T4</t>
  </si>
  <si>
    <t>2007T1</t>
  </si>
  <si>
    <t>2007T2</t>
  </si>
  <si>
    <t>2007T3</t>
  </si>
  <si>
    <t>2007T4</t>
  </si>
  <si>
    <t>2008T1</t>
  </si>
  <si>
    <t>2008T2</t>
  </si>
  <si>
    <t>2008T3</t>
  </si>
  <si>
    <t>2008T4</t>
  </si>
  <si>
    <t>2009T1</t>
  </si>
  <si>
    <t>2009T2</t>
  </si>
  <si>
    <t>2009T3</t>
  </si>
  <si>
    <t>2009T4</t>
  </si>
  <si>
    <t>2010T1</t>
  </si>
  <si>
    <t>2010T2</t>
  </si>
  <si>
    <t>2010T3</t>
  </si>
  <si>
    <t>2010T4</t>
  </si>
  <si>
    <t>2011T1</t>
  </si>
  <si>
    <t>2011T2</t>
  </si>
  <si>
    <t>2011T3</t>
  </si>
  <si>
    <t>2011T4</t>
  </si>
  <si>
    <t>2012T1</t>
  </si>
  <si>
    <t>2012T2</t>
  </si>
  <si>
    <t>2012T3</t>
  </si>
  <si>
    <t>2012T4</t>
  </si>
  <si>
    <t>2013T1</t>
  </si>
  <si>
    <t>2013T2</t>
  </si>
  <si>
    <t>2013T3</t>
  </si>
  <si>
    <t>2013T4</t>
  </si>
  <si>
    <t>2014T1</t>
  </si>
  <si>
    <t>2014T2</t>
  </si>
  <si>
    <t>2014T3</t>
  </si>
  <si>
    <t>2014T4</t>
  </si>
  <si>
    <t>2015T1</t>
  </si>
  <si>
    <t>2015T2</t>
  </si>
  <si>
    <t>2015T3</t>
  </si>
  <si>
    <t>2015T4</t>
  </si>
  <si>
    <t>2016T1</t>
  </si>
  <si>
    <t>2016T2</t>
  </si>
  <si>
    <t>2016T3</t>
  </si>
  <si>
    <t>2016T4</t>
  </si>
  <si>
    <t>2017T1</t>
  </si>
  <si>
    <t>2017T2</t>
  </si>
  <si>
    <t>2017T3</t>
  </si>
  <si>
    <t>2017T4</t>
  </si>
  <si>
    <t>2018T1</t>
  </si>
  <si>
    <t>2018T2</t>
  </si>
  <si>
    <t>2018T3</t>
  </si>
  <si>
    <t>2018T4</t>
  </si>
  <si>
    <t>2019T1</t>
  </si>
  <si>
    <t>2019T2</t>
  </si>
  <si>
    <t>2019T3</t>
  </si>
  <si>
    <t>2019T4</t>
  </si>
  <si>
    <t>2020T1</t>
  </si>
  <si>
    <t>2020T2</t>
  </si>
  <si>
    <t>2020T3</t>
  </si>
  <si>
    <t>2020T4</t>
  </si>
  <si>
    <t>2021T1</t>
  </si>
  <si>
    <t>2021T2</t>
  </si>
  <si>
    <t>2021T3</t>
  </si>
  <si>
    <t>2021T4</t>
  </si>
  <si>
    <t>2022T1</t>
  </si>
  <si>
    <t>2022T2</t>
  </si>
  <si>
    <t>2022T3</t>
  </si>
  <si>
    <t>2022T4</t>
  </si>
  <si>
    <t>2023T1</t>
  </si>
  <si>
    <t>2023T2</t>
  </si>
  <si>
    <t>2023T3</t>
  </si>
  <si>
    <t>2023T4</t>
  </si>
  <si>
    <t>2024T1</t>
  </si>
  <si>
    <t>2024T2</t>
  </si>
  <si>
    <t>2024T3</t>
  </si>
  <si>
    <t>2024T4</t>
  </si>
  <si>
    <t>2025T1</t>
  </si>
  <si>
    <t>2025T2</t>
  </si>
  <si>
    <t>Demandeurs d'emploi inscrits à France Travail en catégorie B : par sexe et tranche d'âge - DEFM B</t>
  </si>
  <si>
    <t>Hommes (DEFM B)</t>
  </si>
  <si>
    <t>Femmes (DEFM B)</t>
  </si>
  <si>
    <t>Total (DEFM B)</t>
  </si>
  <si>
    <t>Demandeurs d'emploi inscrits à France Travail en catégorie C : par sexe et tranche d'âge - DEFM C</t>
  </si>
  <si>
    <t>Hommes (DEFM C)</t>
  </si>
  <si>
    <t>Femmes (DEFM C)</t>
  </si>
  <si>
    <t>Total (DEFM C)</t>
  </si>
  <si>
    <t>Demandeurs d'emploi inscrits à France Travail en catégorie A</t>
  </si>
  <si>
    <r>
      <t>France métropolitaine, DOM</t>
    </r>
    <r>
      <rPr>
        <vertAlign val="superscript"/>
        <sz val="6"/>
        <rFont val="Arial"/>
        <family val="2"/>
      </rPr>
      <t>(1)</t>
    </r>
  </si>
  <si>
    <r>
      <t>(1)</t>
    </r>
    <r>
      <rPr>
        <sz val="6"/>
        <rFont val="Arial"/>
        <family val="2"/>
      </rPr>
      <t xml:space="preserve"> : Niveau DOM, catégories A, ABC, D, E, ABCDE - Hors Mayotte, Saint-Martin et Saint-Barthelemy</t>
    </r>
  </si>
  <si>
    <t>DEFM A</t>
  </si>
  <si>
    <t>GUADELOUPE</t>
  </si>
  <si>
    <t>MARTINIQUE</t>
  </si>
  <si>
    <t>GUYANE</t>
  </si>
  <si>
    <t>LA REUNION</t>
  </si>
  <si>
    <t>ILE-DE-FRANCE</t>
  </si>
  <si>
    <t>CENTRE-VAL DE LOIRE</t>
  </si>
  <si>
    <t>BOURGOGNE FRANCHE-COMTE</t>
  </si>
  <si>
    <t>NORMANDIE</t>
  </si>
  <si>
    <t>HAUTS-DE-FRANCE</t>
  </si>
  <si>
    <t>GRAND-EST</t>
  </si>
  <si>
    <t>PAYS DE LA LOIRE</t>
  </si>
  <si>
    <t>BRETAGNE</t>
  </si>
  <si>
    <t>NOUVELLE-AQUITAINE</t>
  </si>
  <si>
    <t>OCCITANIE</t>
  </si>
  <si>
    <t>AUVERGNE RHONE-ALPES</t>
  </si>
  <si>
    <t>PROVENCE-ALPES-COTE D'AZUR</t>
  </si>
  <si>
    <t>CORSE</t>
  </si>
  <si>
    <t>Demandeurs d'emploi inscrits à France Travail en catégories A, B, C : par sexe et tranche d'âge - DEFM ABC</t>
  </si>
  <si>
    <t>Hommes (DEFM ABC)</t>
  </si>
  <si>
    <t>Femmes (DEFM ABC)</t>
  </si>
  <si>
    <t>Total (DEFM ABC)</t>
  </si>
  <si>
    <t>France entière (1) - Homme</t>
  </si>
  <si>
    <t>France entière (1) - Femme</t>
  </si>
  <si>
    <t>DEFM B</t>
  </si>
  <si>
    <t>DEFM C</t>
  </si>
  <si>
    <t>DEFM ABC</t>
  </si>
  <si>
    <t>Part des hommes en activité réduite parmi la catégorie ABC</t>
  </si>
  <si>
    <t>Part des femmes en activité réduite parmi la catégorie ABC</t>
  </si>
  <si>
    <t>Part de l'activité réduite dans la catégorie ABC</t>
  </si>
  <si>
    <t>Demandeurs d'emploi inscrits à France Travail en catégories ABC</t>
  </si>
  <si>
    <t>Demandeurs d'emploi inscrits à France Travail en catégorie B, C : par heures travaillées - DEFM B, C</t>
  </si>
  <si>
    <t>France métropolitaine</t>
  </si>
  <si>
    <t>DEFM BC</t>
  </si>
  <si>
    <t>DEFM BC - évolution trimestrielle</t>
  </si>
  <si>
    <t>DEFM BC - évolution annuelle</t>
  </si>
  <si>
    <t>Moins de 20 heures</t>
  </si>
  <si>
    <t>De 20 à 39 heures</t>
  </si>
  <si>
    <t>De 40 à 59 heures</t>
  </si>
  <si>
    <t>De 60 à 78 heures</t>
  </si>
  <si>
    <t>De 79 à 99 heures</t>
  </si>
  <si>
    <t>De 100 à 119 heures</t>
  </si>
  <si>
    <t>De 120 à 150 heures</t>
  </si>
  <si>
    <t>151 heures ou plus</t>
  </si>
  <si>
    <t>Part des 151 heures ou plus dans la catégorie C</t>
  </si>
  <si>
    <t>Homme</t>
  </si>
  <si>
    <t>Femme</t>
  </si>
  <si>
    <t>25-49 ans</t>
  </si>
  <si>
    <t>50 ans ou plus</t>
  </si>
  <si>
    <t>TOTAL</t>
  </si>
  <si>
    <t>Demandeurs d'emploi inscrits à France Travail en catégories A, B, C, D, E - DEFM ABCDE</t>
  </si>
  <si>
    <r>
      <t>(1)</t>
    </r>
    <r>
      <rPr>
        <sz val="6"/>
        <rFont val="Arial"/>
        <family val="2"/>
      </rPr>
      <t xml:space="preserve"> Hors Mayotte, Saint-Martin et Saint-Barthelemy</t>
    </r>
  </si>
  <si>
    <t>DEFM D</t>
  </si>
  <si>
    <t>DEFM E</t>
  </si>
  <si>
    <t>DEFM ABCDE</t>
  </si>
  <si>
    <t>Demandeurs d'emploi inscrits à France Travail en catégories A, B, C : par ancienneté d'inscription - DELD ABC</t>
  </si>
  <si>
    <t>France entière - Hors Mayotte, Saint-Martin et Saint-Barthelemy</t>
  </si>
  <si>
    <t>Ancienneté d'inscription en catégories A,B,C</t>
  </si>
  <si>
    <t>Moins de 3 mois</t>
  </si>
  <si>
    <t>De 3 mois 
à moins de 6 mois</t>
  </si>
  <si>
    <t>De 6 mois 
à moins de 12 mois</t>
  </si>
  <si>
    <t>De 1 an 
à moins de 2 ans</t>
  </si>
  <si>
    <t>De 2 ans 
à moins de 3 ans</t>
  </si>
  <si>
    <t>3 ans ou plus</t>
  </si>
  <si>
    <t>1 an ou plus (Demandeurs d'emploi de longue durée)</t>
  </si>
  <si>
    <t>n.d.= non disponible</t>
  </si>
  <si>
    <t>Entrées à France Travail en catégories A, B, C : par motif d'inscription</t>
  </si>
  <si>
    <t>(1) : Hors Mayotte, Saint-Martin et Saint-Barthelemy, (2) : dont fin de période d'essai et fin de période service civique, (3) : Regroupe les motifs opérationnels "Fin d'activité non salariée", "Retour en France", les inscriptions des publics de la loi Plein Emploi</t>
  </si>
  <si>
    <t>France entière
(catégories A,B,C)</t>
  </si>
  <si>
    <t>Licenciement économique</t>
  </si>
  <si>
    <t>Autre licenciement</t>
  </si>
  <si>
    <t>Démission</t>
  </si>
  <si>
    <t>Fin de contrat (2)</t>
  </si>
  <si>
    <t>Fin de mission</t>
  </si>
  <si>
    <t>Première entrée sur le marché du travail</t>
  </si>
  <si>
    <t>Reprise après inactivité</t>
  </si>
  <si>
    <t>Rupture conventionnelle</t>
  </si>
  <si>
    <t>Réinscription rapide</t>
  </si>
  <si>
    <r>
      <t>Autres motifs</t>
    </r>
    <r>
      <rPr>
        <vertAlign val="superscript"/>
        <sz val="6"/>
        <rFont val="Arial"/>
        <family val="2"/>
      </rPr>
      <t>(3)</t>
    </r>
  </si>
  <si>
    <t>Indéterminé</t>
  </si>
  <si>
    <t>Sorties de France Travail de catégories A, B, C : par motif de sortie</t>
  </si>
  <si>
    <t>(1) : Hors Mayotte, Saint-Martin et Saint-Barthelemy, (2) : yc. les défauts d'actualisation des demandeurs de RSA et jeunes accompagnés en MILO inscrits automatiquement à France Travail</t>
  </si>
  <si>
    <t>France entière (1)
(catégories A,B,C)</t>
  </si>
  <si>
    <t>Reprise d'emploi déclarée</t>
  </si>
  <si>
    <t>Entrée en stage</t>
  </si>
  <si>
    <t>Arrêts de recherche (hors DRE et maladie)</t>
  </si>
  <si>
    <t>Arrêt maladie</t>
  </si>
  <si>
    <t>DRE</t>
  </si>
  <si>
    <t>Cessation d'inscription pour défaut d'actualisation (2)</t>
  </si>
  <si>
    <t>Radiation</t>
  </si>
  <si>
    <t>Autres cas</t>
  </si>
  <si>
    <t/>
  </si>
  <si>
    <t>.</t>
  </si>
  <si>
    <t>Demandeurs d'emploi inscrits en fin de mois à France Travail, hors bénéficiaires du Revenu de solidarité active (RSA) et hors jeunes en Parcours contractualisé d’accompagnement vers l’emploi et l’autonomie (PACEA), en contrat d'engagement jeune (CEJ) ou en Accompagnement Intensif Jeunes (AIJ)</t>
  </si>
  <si>
    <r>
      <t>France métropolitaine, France entière</t>
    </r>
    <r>
      <rPr>
        <vertAlign val="superscript"/>
        <sz val="8"/>
        <rFont val="Arial"/>
        <family val="2"/>
      </rPr>
      <t>(1)</t>
    </r>
  </si>
  <si>
    <t>France Travail - STMT</t>
  </si>
  <si>
    <r>
      <t>(1)</t>
    </r>
    <r>
      <rPr>
        <sz val="8"/>
        <rFont val="Arial"/>
        <family val="2"/>
      </rPr>
      <t xml:space="preserve"> : Hors Mayotte, Saint-Martin et Saint-Barthelemy</t>
    </r>
  </si>
  <si>
    <t>Defm A</t>
  </si>
  <si>
    <t xml:space="preserve">Defm ABC </t>
  </si>
  <si>
    <t>Defm ABCDE</t>
  </si>
  <si>
    <t>Defm ABC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</si>
</sst>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mmm\ yy"/>
    <numFmt numFmtId="166" formatCode="_-* #,##0\ _€_-;\-* #,##0\ _€_-;_-* &quot;-&quot;??\ _€_-;_-@_-"/>
    <numFmt numFmtId="167" formatCode="0.0%"/>
  </numFmts>
  <fonts count="33">
    <font>
      <sz val="10"/>
      <name val="Arial"/>
    </font>
    <font>
      <sz val="10"/>
      <name val="Arial"/>
      <family val="2"/>
    </font>
    <font>
      <sz val="8"/>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0"/>
      <name val="MS Sans Serif"/>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8"/>
      <name val="Arial"/>
      <family val="2"/>
    </font>
    <font>
      <b/>
      <sz val="8"/>
      <name val="Arial"/>
      <family val="2"/>
    </font>
    <font>
      <vertAlign val="superscript"/>
      <sz val="8"/>
      <name val="Arial"/>
      <family val="2"/>
    </font>
    <font>
      <sz val="6"/>
      <name val="Arial"/>
      <family val="2"/>
    </font>
    <font>
      <b/>
      <u/>
      <sz val="10"/>
      <name val="Arial"/>
      <family val="2"/>
    </font>
    <font>
      <b/>
      <sz val="11"/>
      <name val="Arial"/>
      <family val="2"/>
    </font>
    <font>
      <vertAlign val="superscript"/>
      <sz val="6"/>
      <name val="Arial"/>
      <family val="2"/>
    </font>
    <font>
      <sz val="10"/>
      <name val="Arial"/>
      <family val="2"/>
    </font>
    <font>
      <u/>
      <sz val="10"/>
      <color theme="10"/>
      <name val="Arial"/>
      <family val="2"/>
    </font>
    <font>
      <u/>
      <sz val="8"/>
      <color theme="10"/>
      <name val="Arial"/>
      <family val="2"/>
    </font>
    <font>
      <i/>
      <sz val="10"/>
      <name val="Aptos"/>
      <family val="2"/>
    </font>
    <font>
      <sz val="8"/>
      <color rgb="FF000000"/>
      <name val="Arial"/>
      <family val="2"/>
    </font>
  </fonts>
  <fills count="3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lightUp">
        <bgColor indexed="9"/>
      </patternFill>
    </fill>
    <fill>
      <patternFill patternType="lightUp">
        <bgColor indexed="22"/>
      </patternFill>
    </fill>
    <fill>
      <patternFill patternType="solid">
        <fgColor theme="0"/>
        <bgColor indexed="64"/>
      </patternFill>
    </fill>
    <fill>
      <patternFill patternType="lightUp">
        <bgColor theme="0"/>
      </patternFill>
    </fill>
    <fill>
      <patternFill patternType="solid">
        <fgColor rgb="FFD9D9D9"/>
        <bgColor indexed="64"/>
      </patternFill>
    </fill>
    <fill>
      <patternFill patternType="lightUp">
        <bgColor rgb="FFD9D9D9"/>
      </patternFill>
    </fill>
    <fill>
      <patternFill patternType="solid">
        <fgColor theme="0" tint="-0.14999847407452621"/>
        <bgColor indexed="64"/>
      </patternFill>
    </fill>
    <fill>
      <patternFill patternType="lightUp">
        <bgColor theme="0" tint="-0.14999847407452621"/>
      </patternFill>
    </fill>
  </fills>
  <borders count="55">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4"/>
      </left>
      <right/>
      <top/>
      <bottom/>
      <diagonal/>
    </border>
    <border>
      <left style="dotted">
        <color indexed="64"/>
      </left>
      <right style="dotted">
        <color indexed="64"/>
      </right>
      <top/>
      <bottom/>
      <diagonal/>
    </border>
    <border>
      <left style="thin">
        <color indexed="64"/>
      </left>
      <right style="thin">
        <color indexed="64"/>
      </right>
      <top/>
      <bottom/>
      <diagonal/>
    </border>
    <border>
      <left style="dotted">
        <color indexed="64"/>
      </left>
      <right style="thin">
        <color indexed="64"/>
      </right>
      <top/>
      <bottom/>
      <diagonal/>
    </border>
    <border>
      <left/>
      <right style="thin">
        <color indexed="64"/>
      </right>
      <top/>
      <bottom/>
      <diagonal/>
    </border>
    <border>
      <left style="dotted">
        <color indexed="64"/>
      </left>
      <right style="thin">
        <color indexed="64"/>
      </right>
      <top style="dotted">
        <color indexed="64"/>
      </top>
      <bottom style="thin">
        <color indexed="64"/>
      </bottom>
      <diagonal/>
    </border>
    <border>
      <left style="thin">
        <color indexed="64"/>
      </left>
      <right style="dotted">
        <color indexed="64"/>
      </right>
      <top/>
      <bottom/>
      <diagonal/>
    </border>
    <border>
      <left style="thin">
        <color indexed="64"/>
      </left>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dotted">
        <color indexed="64"/>
      </left>
      <right/>
      <top style="thin">
        <color indexed="64"/>
      </top>
      <bottom style="thin">
        <color indexed="64"/>
      </bottom>
      <diagonal/>
    </border>
    <border>
      <left style="dotted">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hair">
        <color indexed="64"/>
      </right>
      <top style="thin">
        <color indexed="64"/>
      </top>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thin">
        <color indexed="64"/>
      </right>
      <top style="dotted">
        <color indexed="64"/>
      </top>
      <bottom/>
      <diagonal/>
    </border>
    <border>
      <left style="hair">
        <color indexed="64"/>
      </left>
      <right/>
      <top/>
      <bottom/>
      <diagonal/>
    </border>
  </borders>
  <cellStyleXfs count="4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0" borderId="0" applyNumberFormat="0" applyFill="0" applyBorder="0" applyAlignment="0" applyProtection="0"/>
    <xf numFmtId="0" fontId="6" fillId="20" borderId="1" applyNumberFormat="0" applyAlignment="0" applyProtection="0"/>
    <xf numFmtId="0" fontId="7" fillId="0" borderId="2" applyNumberFormat="0" applyFill="0" applyAlignment="0" applyProtection="0"/>
    <xf numFmtId="0" fontId="8" fillId="21" borderId="3" applyNumberFormat="0" applyFont="0" applyAlignment="0" applyProtection="0"/>
    <xf numFmtId="0" fontId="9" fillId="7" borderId="1" applyNumberFormat="0" applyAlignment="0" applyProtection="0"/>
    <xf numFmtId="0" fontId="10" fillId="3" borderId="0" applyNumberFormat="0" applyBorder="0" applyAlignment="0" applyProtection="0"/>
    <xf numFmtId="164" fontId="1" fillId="0" borderId="0" applyFont="0" applyFill="0" applyBorder="0" applyAlignment="0" applyProtection="0"/>
    <xf numFmtId="0" fontId="11" fillId="22" borderId="0" applyNumberFormat="0" applyBorder="0" applyAlignment="0" applyProtection="0"/>
    <xf numFmtId="0" fontId="8" fillId="0" borderId="0"/>
    <xf numFmtId="0" fontId="12" fillId="4" borderId="0" applyNumberFormat="0" applyBorder="0" applyAlignment="0" applyProtection="0"/>
    <xf numFmtId="0" fontId="13" fillId="20" borderId="4"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5"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18" fillId="0" borderId="0" applyNumberFormat="0" applyFill="0" applyBorder="0" applyAlignment="0" applyProtection="0"/>
    <xf numFmtId="0" fontId="19" fillId="0" borderId="8" applyNumberFormat="0" applyFill="0" applyAlignment="0" applyProtection="0"/>
    <xf numFmtId="0" fontId="20" fillId="23" borderId="9" applyNumberFormat="0" applyAlignment="0" applyProtection="0"/>
    <xf numFmtId="9" fontId="28" fillId="0" borderId="0" applyFont="0" applyFill="0" applyBorder="0" applyAlignment="0" applyProtection="0"/>
    <xf numFmtId="0" fontId="29" fillId="0" borderId="0" applyNumberFormat="0" applyFill="0" applyBorder="0" applyAlignment="0" applyProtection="0"/>
  </cellStyleXfs>
  <cellXfs count="283">
    <xf numFmtId="0" fontId="0" fillId="0" borderId="0" xfId="0"/>
    <xf numFmtId="0" fontId="21" fillId="24" borderId="0" xfId="0" applyFont="1" applyFill="1"/>
    <xf numFmtId="0" fontId="21" fillId="24" borderId="10" xfId="0" applyFont="1" applyFill="1" applyBorder="1"/>
    <xf numFmtId="0" fontId="21" fillId="24" borderId="12" xfId="0" applyFont="1" applyFill="1" applyBorder="1"/>
    <xf numFmtId="0" fontId="21" fillId="24" borderId="14" xfId="0" applyFont="1" applyFill="1" applyBorder="1"/>
    <xf numFmtId="0" fontId="21" fillId="24" borderId="16" xfId="0" applyFont="1" applyFill="1" applyBorder="1"/>
    <xf numFmtId="0" fontId="21" fillId="24" borderId="11" xfId="0" applyFont="1" applyFill="1" applyBorder="1"/>
    <xf numFmtId="0" fontId="21" fillId="24" borderId="13" xfId="0" applyFont="1" applyFill="1" applyBorder="1"/>
    <xf numFmtId="0" fontId="21" fillId="24" borderId="18" xfId="0" applyFont="1" applyFill="1" applyBorder="1"/>
    <xf numFmtId="0" fontId="21" fillId="24" borderId="19" xfId="0" applyFont="1" applyFill="1" applyBorder="1"/>
    <xf numFmtId="0" fontId="21" fillId="24" borderId="20" xfId="0" applyFont="1" applyFill="1" applyBorder="1"/>
    <xf numFmtId="0" fontId="2" fillId="0" borderId="24" xfId="0" applyFont="1" applyBorder="1" applyAlignment="1">
      <alignment horizontal="center" vertical="center"/>
    </xf>
    <xf numFmtId="0" fontId="21" fillId="25" borderId="0" xfId="0" applyFont="1" applyFill="1"/>
    <xf numFmtId="0" fontId="21" fillId="24" borderId="0" xfId="0" applyFont="1" applyFill="1" applyAlignment="1">
      <alignment vertical="center"/>
    </xf>
    <xf numFmtId="0" fontId="22" fillId="24" borderId="0" xfId="0" applyFont="1" applyFill="1" applyAlignment="1">
      <alignment vertical="center"/>
    </xf>
    <xf numFmtId="0" fontId="22" fillId="24" borderId="0" xfId="0" applyFont="1" applyFill="1"/>
    <xf numFmtId="0" fontId="23" fillId="24" borderId="0" xfId="0" applyFont="1" applyFill="1"/>
    <xf numFmtId="0" fontId="25" fillId="24" borderId="0" xfId="0" applyFont="1" applyFill="1" applyAlignment="1">
      <alignment horizontal="justify" vertical="center" wrapText="1"/>
    </xf>
    <xf numFmtId="0" fontId="25" fillId="24" borderId="0" xfId="0" applyFont="1" applyFill="1"/>
    <xf numFmtId="0" fontId="27" fillId="24" borderId="0" xfId="0" applyFont="1" applyFill="1"/>
    <xf numFmtId="166" fontId="21" fillId="24" borderId="16" xfId="31" applyNumberFormat="1" applyFont="1" applyFill="1" applyBorder="1"/>
    <xf numFmtId="166" fontId="21" fillId="24" borderId="11" xfId="31" applyNumberFormat="1" applyFont="1" applyFill="1" applyBorder="1"/>
    <xf numFmtId="166" fontId="21" fillId="24" borderId="13" xfId="31" applyNumberFormat="1" applyFont="1" applyFill="1" applyBorder="1"/>
    <xf numFmtId="0" fontId="2" fillId="24" borderId="0" xfId="0" applyFont="1" applyFill="1"/>
    <xf numFmtId="166" fontId="21" fillId="24" borderId="10" xfId="31" applyNumberFormat="1" applyFont="1" applyFill="1" applyBorder="1"/>
    <xf numFmtId="166" fontId="21" fillId="26" borderId="14" xfId="31" applyNumberFormat="1" applyFont="1" applyFill="1" applyBorder="1"/>
    <xf numFmtId="0" fontId="2" fillId="24" borderId="0" xfId="0" applyFont="1" applyFill="1" applyAlignment="1">
      <alignment vertical="center"/>
    </xf>
    <xf numFmtId="165" fontId="2" fillId="24" borderId="12" xfId="0" applyNumberFormat="1" applyFont="1" applyFill="1" applyBorder="1"/>
    <xf numFmtId="3" fontId="2" fillId="24" borderId="28" xfId="0" applyNumberFormat="1" applyFont="1" applyFill="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24" borderId="0" xfId="0" applyFont="1" applyFill="1" applyAlignment="1">
      <alignment horizontal="justify" vertical="center" wrapText="1"/>
    </xf>
    <xf numFmtId="0" fontId="2" fillId="24" borderId="10" xfId="0" applyFont="1" applyFill="1" applyBorder="1"/>
    <xf numFmtId="0" fontId="21" fillId="24" borderId="0" xfId="0" applyFont="1" applyFill="1" applyAlignment="1">
      <alignment horizontal="center"/>
    </xf>
    <xf numFmtId="0" fontId="21" fillId="28" borderId="0" xfId="0" applyFont="1" applyFill="1"/>
    <xf numFmtId="3" fontId="2" fillId="24" borderId="18" xfId="0" applyNumberFormat="1" applyFont="1" applyFill="1" applyBorder="1" applyAlignment="1">
      <alignment horizontal="center"/>
    </xf>
    <xf numFmtId="0" fontId="23" fillId="24" borderId="24" xfId="0" applyFont="1" applyFill="1" applyBorder="1"/>
    <xf numFmtId="166" fontId="21" fillId="28" borderId="0" xfId="31" applyNumberFormat="1" applyFont="1" applyFill="1" applyAlignment="1">
      <alignment horizontal="center"/>
    </xf>
    <xf numFmtId="0" fontId="21" fillId="28" borderId="0" xfId="0" applyFont="1" applyFill="1" applyAlignment="1">
      <alignment horizontal="center"/>
    </xf>
    <xf numFmtId="0" fontId="21" fillId="29" borderId="0" xfId="0" applyFont="1" applyFill="1" applyAlignment="1">
      <alignment horizontal="center"/>
    </xf>
    <xf numFmtId="3" fontId="22" fillId="24" borderId="24" xfId="0" applyNumberFormat="1" applyFont="1" applyFill="1" applyBorder="1" applyAlignment="1">
      <alignment horizontal="center" vertical="center" wrapText="1"/>
    </xf>
    <xf numFmtId="0" fontId="22" fillId="0" borderId="24" xfId="0" applyFont="1" applyBorder="1" applyAlignment="1">
      <alignment horizontal="center" vertical="center" wrapText="1"/>
    </xf>
    <xf numFmtId="0" fontId="2" fillId="24" borderId="0" xfId="0" applyFont="1" applyFill="1" applyAlignment="1">
      <alignment horizontal="left"/>
    </xf>
    <xf numFmtId="166" fontId="22" fillId="24" borderId="24" xfId="31" quotePrefix="1" applyNumberFormat="1" applyFont="1" applyFill="1" applyBorder="1" applyAlignment="1">
      <alignment horizontal="center" vertical="center" wrapText="1"/>
    </xf>
    <xf numFmtId="0" fontId="21" fillId="24" borderId="43" xfId="0" applyFont="1" applyFill="1" applyBorder="1"/>
    <xf numFmtId="166" fontId="21" fillId="24" borderId="14" xfId="31" applyNumberFormat="1" applyFont="1" applyFill="1" applyBorder="1"/>
    <xf numFmtId="0" fontId="2" fillId="0" borderId="42" xfId="0" applyFont="1" applyBorder="1" applyAlignment="1">
      <alignment horizontal="center" vertical="center" wrapText="1"/>
    </xf>
    <xf numFmtId="0" fontId="2" fillId="0" borderId="26" xfId="0" applyFont="1" applyBorder="1" applyAlignment="1">
      <alignment horizontal="center" vertical="center" wrapText="1"/>
    </xf>
    <xf numFmtId="3" fontId="2" fillId="0" borderId="27" xfId="0" applyNumberFormat="1" applyFont="1" applyBorder="1" applyAlignment="1">
      <alignment horizontal="center" vertical="center" wrapText="1"/>
    </xf>
    <xf numFmtId="0" fontId="2" fillId="0" borderId="25" xfId="0" applyFont="1" applyBorder="1" applyAlignment="1">
      <alignment horizontal="center" vertical="center" wrapText="1"/>
    </xf>
    <xf numFmtId="3" fontId="2" fillId="0" borderId="26" xfId="0" applyNumberFormat="1" applyFont="1" applyBorder="1" applyAlignment="1">
      <alignment horizontal="center" vertical="center" wrapText="1"/>
    </xf>
    <xf numFmtId="166" fontId="21" fillId="24" borderId="0" xfId="31" applyNumberFormat="1" applyFont="1" applyFill="1"/>
    <xf numFmtId="0" fontId="2" fillId="0" borderId="33" xfId="0" applyFont="1" applyBorder="1" applyAlignment="1">
      <alignment horizontal="center" vertical="center" wrapText="1"/>
    </xf>
    <xf numFmtId="0" fontId="21" fillId="24" borderId="14" xfId="0" applyFont="1" applyFill="1" applyBorder="1" applyAlignment="1">
      <alignment horizontal="center"/>
    </xf>
    <xf numFmtId="3" fontId="2" fillId="24" borderId="24" xfId="0" applyNumberFormat="1" applyFont="1" applyFill="1" applyBorder="1" applyAlignment="1">
      <alignment horizontal="center" vertical="center" wrapText="1"/>
    </xf>
    <xf numFmtId="0" fontId="2" fillId="28" borderId="0" xfId="0" applyFont="1" applyFill="1"/>
    <xf numFmtId="0" fontId="2" fillId="0" borderId="24" xfId="0" applyFont="1" applyBorder="1"/>
    <xf numFmtId="3" fontId="2" fillId="24" borderId="30" xfId="0" applyNumberFormat="1" applyFont="1" applyFill="1" applyBorder="1" applyAlignment="1">
      <alignment horizontal="center" vertical="center" wrapText="1"/>
    </xf>
    <xf numFmtId="3" fontId="2" fillId="29" borderId="24" xfId="0" applyNumberFormat="1" applyFont="1" applyFill="1" applyBorder="1" applyAlignment="1">
      <alignment horizontal="center" wrapText="1"/>
    </xf>
    <xf numFmtId="165" fontId="2" fillId="28" borderId="12" xfId="0" applyNumberFormat="1" applyFont="1" applyFill="1" applyBorder="1"/>
    <xf numFmtId="165" fontId="2" fillId="30" borderId="12" xfId="0" applyNumberFormat="1" applyFont="1" applyFill="1" applyBorder="1"/>
    <xf numFmtId="0" fontId="2" fillId="0" borderId="24" xfId="0" applyFont="1" applyBorder="1" applyAlignment="1">
      <alignment horizontal="center" vertical="center" wrapText="1"/>
    </xf>
    <xf numFmtId="166" fontId="2" fillId="24" borderId="18" xfId="31" applyNumberFormat="1" applyFont="1" applyFill="1" applyBorder="1"/>
    <xf numFmtId="166" fontId="2" fillId="24" borderId="19" xfId="31" applyNumberFormat="1" applyFont="1" applyFill="1" applyBorder="1"/>
    <xf numFmtId="166" fontId="2" fillId="24" borderId="20" xfId="31" applyNumberFormat="1" applyFont="1" applyFill="1" applyBorder="1"/>
    <xf numFmtId="166" fontId="2" fillId="29" borderId="14" xfId="31" applyNumberFormat="1" applyFont="1" applyFill="1" applyBorder="1"/>
    <xf numFmtId="166" fontId="2" fillId="30" borderId="18" xfId="31" applyNumberFormat="1" applyFont="1" applyFill="1" applyBorder="1"/>
    <xf numFmtId="166" fontId="2" fillId="30" borderId="19" xfId="31" applyNumberFormat="1" applyFont="1" applyFill="1" applyBorder="1"/>
    <xf numFmtId="166" fontId="2" fillId="30" borderId="20" xfId="31" applyNumberFormat="1" applyFont="1" applyFill="1" applyBorder="1"/>
    <xf numFmtId="166" fontId="2" fillId="31" borderId="14" xfId="31" applyNumberFormat="1" applyFont="1" applyFill="1" applyBorder="1"/>
    <xf numFmtId="166" fontId="2" fillId="28" borderId="0" xfId="31" applyNumberFormat="1" applyFont="1" applyFill="1"/>
    <xf numFmtId="3" fontId="2" fillId="24" borderId="17" xfId="0" applyNumberFormat="1" applyFont="1" applyFill="1" applyBorder="1" applyAlignment="1">
      <alignment horizontal="center" vertical="center" wrapText="1"/>
    </xf>
    <xf numFmtId="3" fontId="2" fillId="0" borderId="42" xfId="0" applyNumberFormat="1" applyFont="1" applyBorder="1" applyAlignment="1">
      <alignment horizontal="center" vertical="center" wrapText="1"/>
    </xf>
    <xf numFmtId="0" fontId="21" fillId="28" borderId="0" xfId="0" applyFont="1" applyFill="1" applyAlignment="1">
      <alignment vertical="center"/>
    </xf>
    <xf numFmtId="166" fontId="2" fillId="24" borderId="47" xfId="31" applyNumberFormat="1" applyFont="1" applyFill="1" applyBorder="1"/>
    <xf numFmtId="166" fontId="2" fillId="24" borderId="31" xfId="31" applyNumberFormat="1" applyFont="1" applyFill="1" applyBorder="1"/>
    <xf numFmtId="166" fontId="2" fillId="24" borderId="32" xfId="31" applyNumberFormat="1" applyFont="1" applyFill="1" applyBorder="1"/>
    <xf numFmtId="166" fontId="21" fillId="24" borderId="18" xfId="31" applyNumberFormat="1" applyFont="1" applyFill="1" applyBorder="1"/>
    <xf numFmtId="166" fontId="21" fillId="24" borderId="19" xfId="31" applyNumberFormat="1" applyFont="1" applyFill="1" applyBorder="1"/>
    <xf numFmtId="166" fontId="21" fillId="24" borderId="20" xfId="31" applyNumberFormat="1" applyFont="1" applyFill="1" applyBorder="1"/>
    <xf numFmtId="165" fontId="2" fillId="32" borderId="12" xfId="0" applyNumberFormat="1" applyFont="1" applyFill="1" applyBorder="1"/>
    <xf numFmtId="166" fontId="2" fillId="24" borderId="13" xfId="31" applyNumberFormat="1" applyFont="1" applyFill="1" applyBorder="1"/>
    <xf numFmtId="166" fontId="2" fillId="32" borderId="13" xfId="31" applyNumberFormat="1" applyFont="1" applyFill="1" applyBorder="1"/>
    <xf numFmtId="166" fontId="2" fillId="24" borderId="18" xfId="31" applyNumberFormat="1" applyFont="1" applyFill="1" applyBorder="1" applyAlignment="1">
      <alignment horizontal="center"/>
    </xf>
    <xf numFmtId="166" fontId="21" fillId="29" borderId="0" xfId="31" applyNumberFormat="1" applyFont="1" applyFill="1" applyAlignment="1">
      <alignment horizontal="center"/>
    </xf>
    <xf numFmtId="0" fontId="30" fillId="24" borderId="0" xfId="45" applyFont="1" applyFill="1" applyAlignment="1">
      <alignment vertical="top"/>
    </xf>
    <xf numFmtId="166" fontId="2" fillId="30" borderId="18" xfId="31" applyNumberFormat="1" applyFont="1" applyFill="1" applyBorder="1" applyAlignment="1">
      <alignment horizontal="center"/>
    </xf>
    <xf numFmtId="3" fontId="2" fillId="30" borderId="18" xfId="0" applyNumberFormat="1" applyFont="1" applyFill="1" applyBorder="1" applyAlignment="1">
      <alignment horizontal="center"/>
    </xf>
    <xf numFmtId="3" fontId="2" fillId="24" borderId="29" xfId="0" applyNumberFormat="1" applyFont="1" applyFill="1" applyBorder="1" applyAlignment="1">
      <alignment horizontal="center" vertical="center" wrapText="1"/>
    </xf>
    <xf numFmtId="3" fontId="2" fillId="28" borderId="0" xfId="0" applyNumberFormat="1" applyFont="1" applyFill="1" applyAlignment="1">
      <alignment horizontal="left"/>
    </xf>
    <xf numFmtId="3" fontId="2" fillId="28" borderId="0" xfId="0" applyNumberFormat="1" applyFont="1" applyFill="1" applyAlignment="1">
      <alignment horizontal="centerContinuous"/>
    </xf>
    <xf numFmtId="3" fontId="2" fillId="24" borderId="21" xfId="0" applyNumberFormat="1" applyFont="1" applyFill="1" applyBorder="1" applyAlignment="1">
      <alignment horizontal="center"/>
    </xf>
    <xf numFmtId="3" fontId="2" fillId="24" borderId="22" xfId="0" applyNumberFormat="1" applyFont="1" applyFill="1" applyBorder="1" applyAlignment="1">
      <alignment horizontal="center"/>
    </xf>
    <xf numFmtId="3" fontId="2" fillId="24" borderId="15" xfId="0" applyNumberFormat="1" applyFont="1" applyFill="1" applyBorder="1" applyAlignment="1">
      <alignment horizontal="center"/>
    </xf>
    <xf numFmtId="3" fontId="2" fillId="28" borderId="0" xfId="0" applyNumberFormat="1" applyFont="1" applyFill="1" applyAlignment="1">
      <alignment horizontal="center"/>
    </xf>
    <xf numFmtId="166" fontId="2" fillId="24" borderId="16" xfId="31" applyNumberFormat="1" applyFont="1" applyFill="1" applyBorder="1"/>
    <xf numFmtId="166" fontId="2" fillId="24" borderId="11" xfId="31" applyNumberFormat="1" applyFont="1" applyFill="1" applyBorder="1"/>
    <xf numFmtId="166" fontId="2" fillId="32" borderId="16" xfId="31" applyNumberFormat="1" applyFont="1" applyFill="1" applyBorder="1"/>
    <xf numFmtId="166" fontId="2" fillId="32" borderId="11" xfId="31" applyNumberFormat="1" applyFont="1" applyFill="1" applyBorder="1"/>
    <xf numFmtId="165" fontId="2" fillId="25" borderId="12" xfId="0" applyNumberFormat="1" applyFont="1" applyFill="1" applyBorder="1"/>
    <xf numFmtId="166" fontId="2" fillId="25" borderId="16" xfId="31" applyNumberFormat="1" applyFont="1" applyFill="1" applyBorder="1"/>
    <xf numFmtId="166" fontId="2" fillId="25" borderId="11" xfId="31" applyNumberFormat="1" applyFont="1" applyFill="1" applyBorder="1"/>
    <xf numFmtId="166" fontId="2" fillId="25" borderId="13" xfId="31" applyNumberFormat="1" applyFont="1" applyFill="1" applyBorder="1"/>
    <xf numFmtId="3" fontId="2" fillId="28" borderId="0" xfId="0" applyNumberFormat="1" applyFont="1" applyFill="1"/>
    <xf numFmtId="17" fontId="2" fillId="24" borderId="12" xfId="0" applyNumberFormat="1" applyFont="1" applyFill="1" applyBorder="1"/>
    <xf numFmtId="166" fontId="2" fillId="24" borderId="48" xfId="31" applyNumberFormat="1" applyFont="1" applyFill="1" applyBorder="1"/>
    <xf numFmtId="166" fontId="2" fillId="24" borderId="49" xfId="31" applyNumberFormat="1" applyFont="1" applyFill="1" applyBorder="1"/>
    <xf numFmtId="166" fontId="2" fillId="24" borderId="50" xfId="31" applyNumberFormat="1" applyFont="1" applyFill="1" applyBorder="1"/>
    <xf numFmtId="3" fontId="2" fillId="24" borderId="51" xfId="0" applyNumberFormat="1" applyFont="1" applyFill="1" applyBorder="1" applyAlignment="1">
      <alignment horizontal="center"/>
    </xf>
    <xf numFmtId="3" fontId="2" fillId="24" borderId="52" xfId="0" applyNumberFormat="1" applyFont="1" applyFill="1" applyBorder="1" applyAlignment="1">
      <alignment horizontal="center"/>
    </xf>
    <xf numFmtId="3" fontId="2" fillId="24" borderId="53" xfId="0" applyNumberFormat="1" applyFont="1" applyFill="1" applyBorder="1" applyAlignment="1">
      <alignment horizontal="center"/>
    </xf>
    <xf numFmtId="0" fontId="2" fillId="24" borderId="0" xfId="0" applyFont="1" applyFill="1" applyAlignment="1">
      <alignment horizontal="center"/>
    </xf>
    <xf numFmtId="166" fontId="2" fillId="24" borderId="0" xfId="31" applyNumberFormat="1" applyFont="1" applyFill="1" applyBorder="1" applyAlignment="1">
      <alignment horizontal="center"/>
    </xf>
    <xf numFmtId="165" fontId="2" fillId="24" borderId="24" xfId="0" applyNumberFormat="1" applyFont="1" applyFill="1" applyBorder="1" applyAlignment="1">
      <alignment horizontal="center" vertical="center"/>
    </xf>
    <xf numFmtId="166" fontId="2" fillId="24" borderId="37" xfId="31" applyNumberFormat="1" applyFont="1" applyFill="1" applyBorder="1" applyAlignment="1">
      <alignment horizontal="center"/>
    </xf>
    <xf numFmtId="166" fontId="2" fillId="24" borderId="12" xfId="31" applyNumberFormat="1" applyFont="1" applyFill="1" applyBorder="1" applyAlignment="1">
      <alignment horizontal="center"/>
    </xf>
    <xf numFmtId="166" fontId="2" fillId="30" borderId="12" xfId="31" applyNumberFormat="1" applyFont="1" applyFill="1" applyBorder="1" applyAlignment="1">
      <alignment horizontal="center"/>
    </xf>
    <xf numFmtId="165" fontId="2" fillId="24" borderId="10" xfId="0" applyNumberFormat="1" applyFont="1" applyFill="1" applyBorder="1"/>
    <xf numFmtId="165" fontId="2" fillId="25" borderId="10" xfId="0" applyNumberFormat="1" applyFont="1" applyFill="1" applyBorder="1"/>
    <xf numFmtId="166" fontId="2" fillId="25" borderId="18" xfId="31" applyNumberFormat="1" applyFont="1" applyFill="1" applyBorder="1" applyAlignment="1">
      <alignment horizontal="center"/>
    </xf>
    <xf numFmtId="166" fontId="2" fillId="25" borderId="12" xfId="31" applyNumberFormat="1" applyFont="1" applyFill="1" applyBorder="1" applyAlignment="1">
      <alignment horizontal="center"/>
    </xf>
    <xf numFmtId="166" fontId="2" fillId="24" borderId="19" xfId="31" applyNumberFormat="1" applyFont="1" applyFill="1" applyBorder="1" applyAlignment="1">
      <alignment horizontal="center"/>
    </xf>
    <xf numFmtId="166" fontId="2" fillId="24" borderId="0" xfId="31" applyNumberFormat="1" applyFont="1" applyFill="1" applyAlignment="1">
      <alignment horizontal="center"/>
    </xf>
    <xf numFmtId="166" fontId="2" fillId="28" borderId="0" xfId="31" applyNumberFormat="1" applyFont="1" applyFill="1" applyAlignment="1">
      <alignment horizontal="center"/>
    </xf>
    <xf numFmtId="166" fontId="2" fillId="28" borderId="0" xfId="31" applyNumberFormat="1" applyFont="1" applyFill="1" applyBorder="1" applyAlignment="1">
      <alignment horizontal="center"/>
    </xf>
    <xf numFmtId="3" fontId="2" fillId="24" borderId="21" xfId="0" applyNumberFormat="1" applyFont="1" applyFill="1" applyBorder="1" applyAlignment="1">
      <alignment horizontal="center" vertical="center"/>
    </xf>
    <xf numFmtId="3" fontId="2" fillId="24" borderId="22" xfId="0" applyNumberFormat="1" applyFont="1" applyFill="1" applyBorder="1" applyAlignment="1">
      <alignment horizontal="center" vertical="center"/>
    </xf>
    <xf numFmtId="3" fontId="2" fillId="24" borderId="15" xfId="0" applyNumberFormat="1" applyFont="1" applyFill="1" applyBorder="1" applyAlignment="1">
      <alignment horizontal="center" vertical="center"/>
    </xf>
    <xf numFmtId="3" fontId="2" fillId="26" borderId="27" xfId="0" applyNumberFormat="1" applyFont="1" applyFill="1" applyBorder="1" applyAlignment="1">
      <alignment horizontal="center" wrapText="1"/>
    </xf>
    <xf numFmtId="0" fontId="2" fillId="0" borderId="27" xfId="0" applyFont="1" applyBorder="1" applyAlignment="1">
      <alignment horizontal="center" vertical="center" wrapText="1"/>
    </xf>
    <xf numFmtId="0" fontId="2" fillId="0" borderId="46" xfId="0" applyFont="1" applyBorder="1" applyAlignment="1">
      <alignment horizontal="center" vertical="center" wrapText="1"/>
    </xf>
    <xf numFmtId="166" fontId="2" fillId="26" borderId="14" xfId="31" applyNumberFormat="1" applyFont="1" applyFill="1" applyBorder="1"/>
    <xf numFmtId="166" fontId="2" fillId="24" borderId="0" xfId="31" applyNumberFormat="1" applyFont="1" applyFill="1"/>
    <xf numFmtId="166" fontId="2" fillId="24" borderId="0" xfId="31" applyNumberFormat="1" applyFont="1" applyFill="1" applyBorder="1"/>
    <xf numFmtId="9" fontId="2" fillId="24" borderId="48" xfId="44" applyFont="1" applyFill="1" applyBorder="1" applyAlignment="1">
      <alignment horizontal="center"/>
    </xf>
    <xf numFmtId="9" fontId="2" fillId="24" borderId="49" xfId="44" applyFont="1" applyFill="1" applyBorder="1" applyAlignment="1">
      <alignment horizontal="center"/>
    </xf>
    <xf numFmtId="9" fontId="2" fillId="24" borderId="50" xfId="44" applyFont="1" applyFill="1" applyBorder="1" applyAlignment="1">
      <alignment horizontal="center"/>
    </xf>
    <xf numFmtId="9" fontId="2" fillId="24" borderId="16" xfId="44" applyFont="1" applyFill="1" applyBorder="1" applyAlignment="1">
      <alignment horizontal="center"/>
    </xf>
    <xf numFmtId="9" fontId="2" fillId="24" borderId="11" xfId="44" applyFont="1" applyFill="1" applyBorder="1" applyAlignment="1">
      <alignment horizontal="center"/>
    </xf>
    <xf numFmtId="9" fontId="2" fillId="24" borderId="13" xfId="44" applyFont="1" applyFill="1" applyBorder="1" applyAlignment="1">
      <alignment horizontal="center"/>
    </xf>
    <xf numFmtId="166" fontId="2" fillId="33" borderId="14" xfId="31" applyNumberFormat="1" applyFont="1" applyFill="1" applyBorder="1"/>
    <xf numFmtId="166" fontId="2" fillId="32" borderId="0" xfId="31" applyNumberFormat="1" applyFont="1" applyFill="1"/>
    <xf numFmtId="166" fontId="2" fillId="32" borderId="0" xfId="31" applyNumberFormat="1" applyFont="1" applyFill="1" applyBorder="1"/>
    <xf numFmtId="9" fontId="2" fillId="32" borderId="16" xfId="44" applyFont="1" applyFill="1" applyBorder="1" applyAlignment="1">
      <alignment horizontal="center"/>
    </xf>
    <xf numFmtId="9" fontId="2" fillId="32" borderId="11" xfId="44" applyFont="1" applyFill="1" applyBorder="1" applyAlignment="1">
      <alignment horizontal="center"/>
    </xf>
    <xf numFmtId="9" fontId="2" fillId="32" borderId="13" xfId="44" applyFont="1" applyFill="1" applyBorder="1" applyAlignment="1">
      <alignment horizontal="center"/>
    </xf>
    <xf numFmtId="0" fontId="2" fillId="24" borderId="16" xfId="0" applyFont="1" applyFill="1" applyBorder="1"/>
    <xf numFmtId="0" fontId="2" fillId="24" borderId="11" xfId="0" applyFont="1" applyFill="1" applyBorder="1"/>
    <xf numFmtId="0" fontId="2" fillId="24" borderId="13" xfId="0" applyFont="1" applyFill="1" applyBorder="1"/>
    <xf numFmtId="166" fontId="2" fillId="27" borderId="14" xfId="31" applyNumberFormat="1" applyFont="1" applyFill="1" applyBorder="1"/>
    <xf numFmtId="166" fontId="2" fillId="25" borderId="0" xfId="31" applyNumberFormat="1" applyFont="1" applyFill="1"/>
    <xf numFmtId="0" fontId="2" fillId="25" borderId="16" xfId="0" applyFont="1" applyFill="1" applyBorder="1"/>
    <xf numFmtId="0" fontId="2" fillId="25" borderId="11" xfId="0" applyFont="1" applyFill="1" applyBorder="1"/>
    <xf numFmtId="0" fontId="2" fillId="25" borderId="13" xfId="0" applyFont="1" applyFill="1" applyBorder="1"/>
    <xf numFmtId="3" fontId="2" fillId="24" borderId="12" xfId="0" applyNumberFormat="1" applyFont="1" applyFill="1" applyBorder="1" applyAlignment="1">
      <alignment horizontal="center"/>
    </xf>
    <xf numFmtId="166" fontId="2" fillId="24" borderId="14" xfId="31" applyNumberFormat="1" applyFont="1" applyFill="1" applyBorder="1" applyAlignment="1">
      <alignment horizontal="center"/>
    </xf>
    <xf numFmtId="3" fontId="2" fillId="25" borderId="18" xfId="0" applyNumberFormat="1" applyFont="1" applyFill="1" applyBorder="1" applyAlignment="1">
      <alignment horizontal="center"/>
    </xf>
    <xf numFmtId="3" fontId="2" fillId="25" borderId="12" xfId="0" applyNumberFormat="1" applyFont="1" applyFill="1" applyBorder="1" applyAlignment="1">
      <alignment horizontal="center"/>
    </xf>
    <xf numFmtId="166" fontId="2" fillId="25" borderId="14" xfId="31" applyNumberFormat="1" applyFont="1" applyFill="1" applyBorder="1" applyAlignment="1">
      <alignment horizontal="center"/>
    </xf>
    <xf numFmtId="0" fontId="2" fillId="24" borderId="18" xfId="0" applyFont="1" applyFill="1" applyBorder="1" applyAlignment="1">
      <alignment horizontal="center"/>
    </xf>
    <xf numFmtId="0" fontId="2" fillId="24" borderId="19" xfId="0" applyFont="1" applyFill="1" applyBorder="1" applyAlignment="1">
      <alignment horizontal="center"/>
    </xf>
    <xf numFmtId="0" fontId="2" fillId="28" borderId="0" xfId="0" applyFont="1" applyFill="1" applyAlignment="1">
      <alignment horizontal="center"/>
    </xf>
    <xf numFmtId="165" fontId="2" fillId="24" borderId="17" xfId="0" applyNumberFormat="1" applyFont="1" applyFill="1" applyBorder="1" applyAlignment="1">
      <alignment horizontal="center" vertical="center"/>
    </xf>
    <xf numFmtId="3" fontId="2" fillId="24" borderId="18" xfId="0" applyNumberFormat="1" applyFont="1" applyFill="1" applyBorder="1"/>
    <xf numFmtId="3" fontId="2" fillId="24" borderId="19" xfId="0" applyNumberFormat="1" applyFont="1" applyFill="1" applyBorder="1"/>
    <xf numFmtId="3" fontId="2" fillId="24" borderId="32" xfId="0" applyNumberFormat="1" applyFont="1" applyFill="1" applyBorder="1"/>
    <xf numFmtId="9" fontId="2" fillId="24" borderId="19" xfId="44" applyFont="1" applyFill="1" applyBorder="1" applyAlignment="1">
      <alignment horizontal="center"/>
    </xf>
    <xf numFmtId="3" fontId="2" fillId="24" borderId="20" xfId="0" applyNumberFormat="1" applyFont="1" applyFill="1" applyBorder="1"/>
    <xf numFmtId="166" fontId="2" fillId="24" borderId="54" xfId="31" applyNumberFormat="1" applyFont="1" applyFill="1" applyBorder="1"/>
    <xf numFmtId="166" fontId="2" fillId="24" borderId="18" xfId="0" applyNumberFormat="1" applyFont="1" applyFill="1" applyBorder="1"/>
    <xf numFmtId="166" fontId="2" fillId="24" borderId="19" xfId="0" applyNumberFormat="1" applyFont="1" applyFill="1" applyBorder="1"/>
    <xf numFmtId="166" fontId="2" fillId="24" borderId="54" xfId="0" applyNumberFormat="1" applyFont="1" applyFill="1" applyBorder="1"/>
    <xf numFmtId="166" fontId="2" fillId="24" borderId="12" xfId="0" applyNumberFormat="1" applyFont="1" applyFill="1" applyBorder="1"/>
    <xf numFmtId="0" fontId="2" fillId="24" borderId="18" xfId="0" applyFont="1" applyFill="1" applyBorder="1"/>
    <xf numFmtId="0" fontId="2" fillId="24" borderId="19" xfId="0" applyFont="1" applyFill="1" applyBorder="1"/>
    <xf numFmtId="0" fontId="2" fillId="24" borderId="54" xfId="0" applyFont="1" applyFill="1" applyBorder="1"/>
    <xf numFmtId="0" fontId="2" fillId="24" borderId="12" xfId="0" applyFont="1" applyFill="1" applyBorder="1"/>
    <xf numFmtId="0" fontId="2" fillId="24" borderId="20" xfId="0" applyFont="1" applyFill="1" applyBorder="1" applyAlignment="1">
      <alignment horizontal="center"/>
    </xf>
    <xf numFmtId="0" fontId="2" fillId="24" borderId="12" xfId="0" applyFont="1" applyFill="1" applyBorder="1" applyAlignment="1">
      <alignment horizontal="center"/>
    </xf>
    <xf numFmtId="167" fontId="2" fillId="24" borderId="18" xfId="44" applyNumberFormat="1" applyFont="1" applyFill="1" applyBorder="1" applyAlignment="1">
      <alignment horizontal="center"/>
    </xf>
    <xf numFmtId="167" fontId="2" fillId="24" borderId="19" xfId="44" applyNumberFormat="1" applyFont="1" applyFill="1" applyBorder="1" applyAlignment="1">
      <alignment horizontal="center"/>
    </xf>
    <xf numFmtId="167" fontId="2" fillId="24" borderId="54" xfId="44" applyNumberFormat="1" applyFont="1" applyFill="1" applyBorder="1" applyAlignment="1">
      <alignment horizontal="center"/>
    </xf>
    <xf numFmtId="167" fontId="2" fillId="24" borderId="12" xfId="44" applyNumberFormat="1" applyFont="1" applyFill="1" applyBorder="1" applyAlignment="1">
      <alignment horizontal="center"/>
    </xf>
    <xf numFmtId="3" fontId="2" fillId="30" borderId="18" xfId="0" applyNumberFormat="1" applyFont="1" applyFill="1" applyBorder="1"/>
    <xf numFmtId="3" fontId="2" fillId="30" borderId="19" xfId="0" applyNumberFormat="1" applyFont="1" applyFill="1" applyBorder="1"/>
    <xf numFmtId="3" fontId="2" fillId="30" borderId="20" xfId="0" applyNumberFormat="1" applyFont="1" applyFill="1" applyBorder="1"/>
    <xf numFmtId="9" fontId="2" fillId="30" borderId="19" xfId="44" applyFont="1" applyFill="1" applyBorder="1" applyAlignment="1">
      <alignment horizontal="center"/>
    </xf>
    <xf numFmtId="166" fontId="2" fillId="30" borderId="54" xfId="31" applyNumberFormat="1" applyFont="1" applyFill="1" applyBorder="1"/>
    <xf numFmtId="166" fontId="2" fillId="30" borderId="18" xfId="0" applyNumberFormat="1" applyFont="1" applyFill="1" applyBorder="1"/>
    <xf numFmtId="166" fontId="2" fillId="30" borderId="19" xfId="0" applyNumberFormat="1" applyFont="1" applyFill="1" applyBorder="1"/>
    <xf numFmtId="166" fontId="2" fillId="30" borderId="54" xfId="0" applyNumberFormat="1" applyFont="1" applyFill="1" applyBorder="1"/>
    <xf numFmtId="166" fontId="2" fillId="30" borderId="12" xfId="0" applyNumberFormat="1" applyFont="1" applyFill="1" applyBorder="1"/>
    <xf numFmtId="167" fontId="2" fillId="30" borderId="18" xfId="44" applyNumberFormat="1" applyFont="1" applyFill="1" applyBorder="1" applyAlignment="1">
      <alignment horizontal="center"/>
    </xf>
    <xf numFmtId="167" fontId="2" fillId="30" borderId="19" xfId="44" applyNumberFormat="1" applyFont="1" applyFill="1" applyBorder="1" applyAlignment="1">
      <alignment horizontal="center"/>
    </xf>
    <xf numFmtId="167" fontId="2" fillId="30" borderId="54" xfId="44" applyNumberFormat="1" applyFont="1" applyFill="1" applyBorder="1" applyAlignment="1">
      <alignment horizontal="center"/>
    </xf>
    <xf numFmtId="167" fontId="2" fillId="30" borderId="12" xfId="44" applyNumberFormat="1" applyFont="1" applyFill="1" applyBorder="1" applyAlignment="1">
      <alignment horizontal="center"/>
    </xf>
    <xf numFmtId="0" fontId="2" fillId="30" borderId="18" xfId="0" applyFont="1" applyFill="1" applyBorder="1" applyAlignment="1">
      <alignment horizontal="center"/>
    </xf>
    <xf numFmtId="0" fontId="2" fillId="30" borderId="19" xfId="0" applyFont="1" applyFill="1" applyBorder="1" applyAlignment="1">
      <alignment horizontal="center"/>
    </xf>
    <xf numFmtId="0" fontId="2" fillId="30" borderId="20" xfId="0" applyFont="1" applyFill="1" applyBorder="1" applyAlignment="1">
      <alignment horizontal="center"/>
    </xf>
    <xf numFmtId="0" fontId="2" fillId="30" borderId="12" xfId="0" applyFont="1" applyFill="1" applyBorder="1" applyAlignment="1">
      <alignment horizontal="center"/>
    </xf>
    <xf numFmtId="9" fontId="2" fillId="24" borderId="18" xfId="44" applyFont="1" applyFill="1" applyBorder="1" applyAlignment="1">
      <alignment horizontal="center"/>
    </xf>
    <xf numFmtId="9" fontId="2" fillId="24" borderId="20" xfId="44" applyFont="1" applyFill="1" applyBorder="1" applyAlignment="1">
      <alignment horizontal="center"/>
    </xf>
    <xf numFmtId="9" fontId="2" fillId="24" borderId="12" xfId="44" applyFont="1" applyFill="1" applyBorder="1" applyAlignment="1">
      <alignment horizontal="center"/>
    </xf>
    <xf numFmtId="9" fontId="2" fillId="30" borderId="18" xfId="44" applyFont="1" applyFill="1" applyBorder="1" applyAlignment="1">
      <alignment horizontal="center"/>
    </xf>
    <xf numFmtId="9" fontId="2" fillId="30" borderId="20" xfId="44" applyFont="1" applyFill="1" applyBorder="1" applyAlignment="1">
      <alignment horizontal="center"/>
    </xf>
    <xf numFmtId="9" fontId="2" fillId="30" borderId="12" xfId="44" applyFont="1" applyFill="1" applyBorder="1" applyAlignment="1">
      <alignment horizontal="center"/>
    </xf>
    <xf numFmtId="3" fontId="2" fillId="24" borderId="0" xfId="0" applyNumberFormat="1" applyFont="1" applyFill="1"/>
    <xf numFmtId="3" fontId="2" fillId="24" borderId="0" xfId="0" applyNumberFormat="1" applyFont="1" applyFill="1" applyAlignment="1">
      <alignment horizontal="center"/>
    </xf>
    <xf numFmtId="3" fontId="2" fillId="24" borderId="14" xfId="0" applyNumberFormat="1" applyFont="1" applyFill="1" applyBorder="1"/>
    <xf numFmtId="3" fontId="2" fillId="25" borderId="18" xfId="0" applyNumberFormat="1" applyFont="1" applyFill="1" applyBorder="1"/>
    <xf numFmtId="3" fontId="2" fillId="25" borderId="19" xfId="0" applyNumberFormat="1" applyFont="1" applyFill="1" applyBorder="1"/>
    <xf numFmtId="3" fontId="2" fillId="25" borderId="20" xfId="0" applyNumberFormat="1" applyFont="1" applyFill="1" applyBorder="1"/>
    <xf numFmtId="3" fontId="2" fillId="25" borderId="0" xfId="0" applyNumberFormat="1" applyFont="1" applyFill="1"/>
    <xf numFmtId="3" fontId="2" fillId="25" borderId="0" xfId="0" applyNumberFormat="1" applyFont="1" applyFill="1" applyAlignment="1">
      <alignment horizontal="center"/>
    </xf>
    <xf numFmtId="3" fontId="2" fillId="25" borderId="14" xfId="0" applyNumberFormat="1" applyFont="1" applyFill="1" applyBorder="1"/>
    <xf numFmtId="0" fontId="2" fillId="25" borderId="0" xfId="0" applyFont="1" applyFill="1"/>
    <xf numFmtId="0" fontId="2" fillId="25" borderId="0" xfId="0" applyFont="1" applyFill="1" applyAlignment="1">
      <alignment horizontal="center"/>
    </xf>
    <xf numFmtId="0" fontId="2" fillId="0" borderId="28" xfId="0" applyFont="1" applyBorder="1" applyAlignment="1">
      <alignment horizontal="center" vertical="center" wrapText="1"/>
    </xf>
    <xf numFmtId="3" fontId="2" fillId="24" borderId="27" xfId="0" applyNumberFormat="1" applyFont="1" applyFill="1" applyBorder="1" applyAlignment="1">
      <alignment horizontal="center" vertical="center" wrapText="1"/>
    </xf>
    <xf numFmtId="166" fontId="2" fillId="24" borderId="14" xfId="31" applyNumberFormat="1" applyFont="1" applyFill="1" applyBorder="1"/>
    <xf numFmtId="166" fontId="2" fillId="32" borderId="18" xfId="31" applyNumberFormat="1" applyFont="1" applyFill="1" applyBorder="1"/>
    <xf numFmtId="166" fontId="2" fillId="32" borderId="19" xfId="31" applyNumberFormat="1" applyFont="1" applyFill="1" applyBorder="1"/>
    <xf numFmtId="166" fontId="2" fillId="32" borderId="20" xfId="31" applyNumberFormat="1" applyFont="1" applyFill="1" applyBorder="1"/>
    <xf numFmtId="166" fontId="2" fillId="32" borderId="14" xfId="31" applyNumberFormat="1" applyFont="1" applyFill="1" applyBorder="1"/>
    <xf numFmtId="166" fontId="2" fillId="25" borderId="18" xfId="31" applyNumberFormat="1" applyFont="1" applyFill="1" applyBorder="1"/>
    <xf numFmtId="166" fontId="2" fillId="25" borderId="19" xfId="31" applyNumberFormat="1" applyFont="1" applyFill="1" applyBorder="1"/>
    <xf numFmtId="166" fontId="2" fillId="25" borderId="20" xfId="31" applyNumberFormat="1" applyFont="1" applyFill="1" applyBorder="1"/>
    <xf numFmtId="166" fontId="2" fillId="25" borderId="14" xfId="31" applyNumberFormat="1" applyFont="1" applyFill="1" applyBorder="1"/>
    <xf numFmtId="0" fontId="2" fillId="0" borderId="21" xfId="33" applyFont="1" applyBorder="1" applyAlignment="1">
      <alignment horizontal="center" vertical="center" wrapText="1"/>
    </xf>
    <xf numFmtId="0" fontId="2" fillId="0" borderId="22" xfId="33" applyFont="1" applyBorder="1" applyAlignment="1">
      <alignment horizontal="center" vertical="center" wrapText="1"/>
    </xf>
    <xf numFmtId="0" fontId="2" fillId="0" borderId="15" xfId="33" applyFont="1" applyBorder="1" applyAlignment="1">
      <alignment horizontal="center" vertical="center" wrapText="1"/>
    </xf>
    <xf numFmtId="0" fontId="2" fillId="0" borderId="23" xfId="33" applyFont="1" applyBorder="1" applyAlignment="1">
      <alignment horizontal="center" vertical="center" wrapText="1"/>
    </xf>
    <xf numFmtId="166" fontId="2" fillId="30" borderId="16" xfId="31" applyNumberFormat="1" applyFont="1" applyFill="1" applyBorder="1"/>
    <xf numFmtId="166" fontId="2" fillId="30" borderId="11" xfId="31" applyNumberFormat="1" applyFont="1" applyFill="1" applyBorder="1"/>
    <xf numFmtId="166" fontId="2" fillId="30" borderId="13" xfId="31" applyNumberFormat="1" applyFont="1" applyFill="1" applyBorder="1"/>
    <xf numFmtId="166" fontId="2" fillId="30" borderId="14" xfId="31" applyNumberFormat="1" applyFont="1" applyFill="1" applyBorder="1"/>
    <xf numFmtId="3" fontId="2" fillId="24" borderId="10" xfId="0" applyNumberFormat="1" applyFont="1" applyFill="1" applyBorder="1"/>
    <xf numFmtId="0" fontId="2" fillId="24" borderId="43" xfId="0" applyFont="1" applyFill="1" applyBorder="1"/>
    <xf numFmtId="0" fontId="2" fillId="24" borderId="14" xfId="0" applyFont="1" applyFill="1" applyBorder="1"/>
    <xf numFmtId="166" fontId="2" fillId="24" borderId="43" xfId="31" applyNumberFormat="1" applyFont="1" applyFill="1" applyBorder="1"/>
    <xf numFmtId="3" fontId="2" fillId="25" borderId="10" xfId="0" applyNumberFormat="1" applyFont="1" applyFill="1" applyBorder="1"/>
    <xf numFmtId="166" fontId="2" fillId="25" borderId="43" xfId="31" applyNumberFormat="1" applyFont="1" applyFill="1" applyBorder="1"/>
    <xf numFmtId="166" fontId="2" fillId="24" borderId="10" xfId="31" applyNumberFormat="1" applyFont="1" applyFill="1" applyBorder="1"/>
    <xf numFmtId="166" fontId="2" fillId="28" borderId="0" xfId="0" applyNumberFormat="1" applyFont="1" applyFill="1"/>
    <xf numFmtId="166" fontId="2" fillId="30" borderId="10" xfId="31" applyNumberFormat="1" applyFont="1" applyFill="1" applyBorder="1"/>
    <xf numFmtId="166" fontId="2" fillId="30" borderId="43" xfId="31" applyNumberFormat="1" applyFont="1" applyFill="1" applyBorder="1"/>
    <xf numFmtId="166" fontId="2" fillId="25" borderId="10" xfId="31" applyNumberFormat="1" applyFont="1" applyFill="1" applyBorder="1"/>
    <xf numFmtId="166" fontId="2" fillId="24" borderId="10" xfId="31" applyNumberFormat="1" applyFont="1" applyFill="1" applyBorder="1" applyAlignment="1"/>
    <xf numFmtId="166" fontId="2" fillId="25" borderId="10" xfId="31" applyNumberFormat="1" applyFont="1" applyFill="1" applyBorder="1" applyAlignment="1"/>
    <xf numFmtId="0" fontId="31" fillId="0" borderId="0" xfId="0" applyFont="1" applyAlignment="1">
      <alignment vertical="center"/>
    </xf>
    <xf numFmtId="0" fontId="2" fillId="0" borderId="0" xfId="0" applyFont="1" applyAlignment="1">
      <alignment horizontal="left" vertical="top" wrapText="1"/>
    </xf>
    <xf numFmtId="0" fontId="26" fillId="24" borderId="0" xfId="0" applyFont="1" applyFill="1" applyAlignment="1">
      <alignment horizontal="left" vertical="center"/>
    </xf>
    <xf numFmtId="0" fontId="2" fillId="24" borderId="0" xfId="0" applyFont="1" applyFill="1" applyAlignment="1">
      <alignment horizontal="left" wrapText="1"/>
    </xf>
    <xf numFmtId="0" fontId="2" fillId="24" borderId="0" xfId="0" applyFont="1" applyFill="1" applyAlignment="1">
      <alignment horizontal="left" vertical="top" wrapText="1"/>
    </xf>
    <xf numFmtId="3" fontId="2" fillId="24" borderId="34" xfId="0" applyNumberFormat="1" applyFont="1" applyFill="1"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165" fontId="2" fillId="24" borderId="37" xfId="0" applyNumberFormat="1" applyFont="1" applyFill="1" applyBorder="1" applyAlignment="1">
      <alignment horizontal="center" vertical="center"/>
    </xf>
    <xf numFmtId="0" fontId="0" fillId="0" borderId="38" xfId="0" applyBorder="1" applyAlignment="1">
      <alignment horizontal="center" vertical="center"/>
    </xf>
    <xf numFmtId="0" fontId="22" fillId="24" borderId="24" xfId="0" applyFont="1" applyFill="1" applyBorder="1" applyAlignment="1">
      <alignment horizontal="center"/>
    </xf>
    <xf numFmtId="0" fontId="2" fillId="24" borderId="17" xfId="0" applyFont="1" applyFill="1" applyBorder="1" applyAlignment="1">
      <alignment horizontal="center"/>
    </xf>
    <xf numFmtId="0" fontId="2" fillId="24" borderId="39" xfId="0" applyFont="1" applyFill="1" applyBorder="1" applyAlignment="1">
      <alignment horizontal="center"/>
    </xf>
    <xf numFmtId="0" fontId="2" fillId="24" borderId="24" xfId="0" applyFont="1" applyFill="1" applyBorder="1" applyAlignment="1">
      <alignment horizontal="center"/>
    </xf>
    <xf numFmtId="0" fontId="2" fillId="24" borderId="38" xfId="0" applyFont="1" applyFill="1" applyBorder="1" applyAlignment="1">
      <alignment horizontal="center"/>
    </xf>
    <xf numFmtId="0" fontId="2" fillId="24" borderId="41" xfId="0" applyFont="1" applyFill="1" applyBorder="1" applyAlignment="1">
      <alignment horizontal="center"/>
    </xf>
    <xf numFmtId="0" fontId="2" fillId="24" borderId="44" xfId="0" applyFont="1" applyFill="1" applyBorder="1" applyAlignment="1">
      <alignment horizontal="center"/>
    </xf>
    <xf numFmtId="0" fontId="2" fillId="24" borderId="45" xfId="0" applyFont="1" applyFill="1" applyBorder="1" applyAlignment="1">
      <alignment horizontal="center"/>
    </xf>
    <xf numFmtId="0" fontId="2" fillId="24" borderId="27" xfId="0" applyFont="1" applyFill="1" applyBorder="1" applyAlignment="1">
      <alignment horizontal="center"/>
    </xf>
    <xf numFmtId="165" fontId="2" fillId="24" borderId="40" xfId="0" applyNumberFormat="1" applyFont="1" applyFill="1" applyBorder="1" applyAlignment="1">
      <alignment horizontal="center" vertical="center"/>
    </xf>
    <xf numFmtId="0" fontId="0" fillId="0" borderId="41" xfId="0" applyBorder="1" applyAlignment="1">
      <alignment horizontal="center" vertical="center"/>
    </xf>
    <xf numFmtId="3" fontId="2" fillId="24" borderId="34" xfId="0" applyNumberFormat="1" applyFont="1" applyFill="1" applyBorder="1" applyAlignment="1">
      <alignment horizontal="center" vertical="center"/>
    </xf>
    <xf numFmtId="0" fontId="0" fillId="0" borderId="35" xfId="0" applyBorder="1" applyAlignment="1">
      <alignment vertical="center"/>
    </xf>
    <xf numFmtId="0" fontId="0" fillId="0" borderId="36" xfId="0" applyBorder="1" applyAlignment="1">
      <alignment vertical="center"/>
    </xf>
    <xf numFmtId="0" fontId="2" fillId="28" borderId="17" xfId="0" applyFont="1" applyFill="1" applyBorder="1" applyAlignment="1">
      <alignment horizontal="center"/>
    </xf>
    <xf numFmtId="0" fontId="2" fillId="28" borderId="39" xfId="0" applyFont="1" applyFill="1" applyBorder="1" applyAlignment="1">
      <alignment horizontal="center"/>
    </xf>
    <xf numFmtId="0" fontId="2" fillId="28" borderId="27" xfId="0" applyFont="1" applyFill="1" applyBorder="1" applyAlignment="1">
      <alignment horizontal="center"/>
    </xf>
    <xf numFmtId="0" fontId="2" fillId="0" borderId="12" xfId="0" applyFont="1" applyBorder="1" applyAlignment="1">
      <alignment horizontal="center" vertical="center"/>
    </xf>
    <xf numFmtId="3" fontId="2" fillId="24" borderId="10" xfId="0" applyNumberFormat="1" applyFont="1" applyFill="1" applyBorder="1" applyAlignment="1">
      <alignment horizontal="center" vertical="center" wrapText="1"/>
    </xf>
    <xf numFmtId="0" fontId="2" fillId="0" borderId="16" xfId="0" applyFont="1" applyBorder="1" applyAlignment="1">
      <alignment horizontal="center" vertical="center" wrapText="1"/>
    </xf>
    <xf numFmtId="0" fontId="2" fillId="0" borderId="11" xfId="0" applyFont="1" applyBorder="1" applyAlignment="1">
      <alignment horizontal="center" vertical="center" wrapText="1"/>
    </xf>
    <xf numFmtId="3" fontId="2" fillId="0" borderId="11" xfId="0" applyNumberFormat="1" applyFont="1" applyBorder="1" applyAlignment="1">
      <alignment horizontal="center" vertical="center" wrapText="1"/>
    </xf>
    <xf numFmtId="0" fontId="2" fillId="0" borderId="43" xfId="0" applyFont="1" applyBorder="1" applyAlignment="1">
      <alignment horizontal="center" vertical="center" wrapText="1"/>
    </xf>
    <xf numFmtId="3" fontId="2" fillId="0" borderId="14" xfId="0" applyNumberFormat="1" applyFont="1" applyBorder="1" applyAlignment="1">
      <alignment horizontal="center" vertical="center" wrapText="1"/>
    </xf>
  </cellXfs>
  <cellStyles count="46">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Commentaire" xfId="28" builtinId="10" customBuiltin="1"/>
    <cellStyle name="Entrée" xfId="29" builtinId="20" customBuiltin="1"/>
    <cellStyle name="Insatisfaisant" xfId="30" builtinId="27" customBuiltin="1"/>
    <cellStyle name="Lien hypertexte" xfId="45" builtinId="8"/>
    <cellStyle name="Milliers" xfId="31" builtinId="3"/>
    <cellStyle name="Neutre" xfId="32" builtinId="28" customBuiltin="1"/>
    <cellStyle name="Normal" xfId="0" builtinId="0"/>
    <cellStyle name="Normal_Demandes - Lot 2" xfId="33" xr:uid="{00000000-0005-0000-0000-000022000000}"/>
    <cellStyle name="Pourcentage" xfId="44" builtinId="5"/>
    <cellStyle name="Satisfaisant" xfId="34" builtinId="26" customBuiltin="1"/>
    <cellStyle name="Sortie" xfId="35" builtinId="21" customBuiltin="1"/>
    <cellStyle name="Texte explicatif" xfId="36" builtinId="53" customBuiltin="1"/>
    <cellStyle name="Titre" xfId="37" builtinId="15" customBuiltin="1"/>
    <cellStyle name="Titre 1" xfId="38" builtinId="16" customBuiltin="1"/>
    <cellStyle name="Titre 2" xfId="39" builtinId="17" customBuiltin="1"/>
    <cellStyle name="Titre 3" xfId="40" builtinId="18" customBuiltin="1"/>
    <cellStyle name="Titre 4" xfId="41" builtinId="19" customBuiltin="1"/>
    <cellStyle name="Total" xfId="42" builtinId="25" customBuiltin="1"/>
    <cellStyle name="Vérification" xfId="43" builtinId="23" customBuiltin="1"/>
  </cellStyles>
  <dxfs count="0"/>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ares.travail-emploi.gouv.fr/enquete-source/les-statistiques-du-marche-du-travai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2:E37"/>
  <sheetViews>
    <sheetView workbookViewId="0"/>
  </sheetViews>
  <sheetFormatPr defaultColWidth="11.42578125" defaultRowHeight="14.85" customHeight="1"/>
  <cols>
    <col min="1" max="1" width="35.28515625" style="1" customWidth="1"/>
    <col min="2" max="2" width="130.42578125" style="1" bestFit="1" customWidth="1"/>
    <col min="3" max="16384" width="11.42578125" style="1"/>
  </cols>
  <sheetData>
    <row r="2" spans="1:2" s="13" customFormat="1" ht="14.85" customHeight="1">
      <c r="A2" s="251" t="s">
        <v>0</v>
      </c>
      <c r="B2" s="251"/>
    </row>
    <row r="4" spans="1:2" s="14" customFormat="1" ht="14.85" customHeight="1">
      <c r="A4" s="17" t="s">
        <v>1</v>
      </c>
      <c r="B4" s="17" t="s">
        <v>2</v>
      </c>
    </row>
    <row r="5" spans="1:2" s="13" customFormat="1" ht="14.85" customHeight="1">
      <c r="A5" s="31" t="s">
        <v>3</v>
      </c>
      <c r="B5" s="31" t="s">
        <v>4</v>
      </c>
    </row>
    <row r="6" spans="1:2" s="13" customFormat="1" ht="14.85" customHeight="1">
      <c r="A6" s="31" t="s">
        <v>5</v>
      </c>
      <c r="B6" s="31" t="s">
        <v>6</v>
      </c>
    </row>
    <row r="7" spans="1:2" s="13" customFormat="1" ht="14.85" customHeight="1">
      <c r="A7" s="31" t="s">
        <v>7</v>
      </c>
      <c r="B7" s="31" t="s">
        <v>8</v>
      </c>
    </row>
    <row r="8" spans="1:2" s="13" customFormat="1" ht="14.85" customHeight="1">
      <c r="A8" s="31" t="s">
        <v>9</v>
      </c>
      <c r="B8" s="31" t="s">
        <v>10</v>
      </c>
    </row>
    <row r="9" spans="1:2" s="13" customFormat="1" ht="14.85" customHeight="1">
      <c r="A9" s="31" t="s">
        <v>11</v>
      </c>
      <c r="B9" s="31" t="s">
        <v>12</v>
      </c>
    </row>
    <row r="10" spans="1:2" s="13" customFormat="1" ht="14.85" customHeight="1">
      <c r="A10" s="31" t="s">
        <v>13</v>
      </c>
      <c r="B10" s="31" t="s">
        <v>14</v>
      </c>
    </row>
    <row r="11" spans="1:2" s="13" customFormat="1" ht="27" customHeight="1">
      <c r="A11" s="31" t="s">
        <v>15</v>
      </c>
      <c r="B11" s="31" t="s">
        <v>16</v>
      </c>
    </row>
    <row r="12" spans="1:2" s="13" customFormat="1" ht="14.85" customHeight="1">
      <c r="A12" s="31" t="s">
        <v>17</v>
      </c>
      <c r="B12" s="31" t="s">
        <v>18</v>
      </c>
    </row>
    <row r="13" spans="1:2" s="13" customFormat="1" ht="14.85" customHeight="1">
      <c r="A13" s="31" t="s">
        <v>19</v>
      </c>
      <c r="B13" s="31" t="s">
        <v>20</v>
      </c>
    </row>
    <row r="14" spans="1:2" s="13" customFormat="1" ht="14.85" customHeight="1">
      <c r="A14" s="31" t="s">
        <v>21</v>
      </c>
      <c r="B14" s="26" t="s">
        <v>22</v>
      </c>
    </row>
    <row r="15" spans="1:2" s="13" customFormat="1" ht="14.85" customHeight="1">
      <c r="A15" s="31" t="s">
        <v>23</v>
      </c>
      <c r="B15" s="31" t="s">
        <v>24</v>
      </c>
    </row>
    <row r="16" spans="1:2" s="13" customFormat="1" ht="14.85" customHeight="1">
      <c r="A16" s="31"/>
      <c r="B16" s="31"/>
    </row>
    <row r="17" spans="1:5" s="13" customFormat="1" ht="14.85" customHeight="1">
      <c r="A17" s="31"/>
      <c r="B17" s="31"/>
      <c r="C17" s="26"/>
      <c r="D17" s="26"/>
      <c r="E17" s="26"/>
    </row>
    <row r="18" spans="1:5" s="13" customFormat="1" ht="14.85" customHeight="1">
      <c r="A18" s="31"/>
      <c r="B18" s="31"/>
      <c r="C18" s="26"/>
      <c r="D18" s="26"/>
      <c r="E18" s="26"/>
    </row>
    <row r="19" spans="1:5" ht="14.85" customHeight="1">
      <c r="A19" s="18" t="s">
        <v>25</v>
      </c>
      <c r="B19" s="18" t="s">
        <v>26</v>
      </c>
      <c r="C19" s="23"/>
      <c r="D19" s="23"/>
      <c r="E19" s="23"/>
    </row>
    <row r="20" spans="1:5" ht="14.85" customHeight="1">
      <c r="A20" s="23" t="s">
        <v>27</v>
      </c>
      <c r="B20" s="23" t="s">
        <v>28</v>
      </c>
      <c r="C20" s="23"/>
      <c r="D20" s="23"/>
      <c r="E20" s="23"/>
    </row>
    <row r="21" spans="1:5" ht="14.85" customHeight="1">
      <c r="A21" s="23" t="s">
        <v>29</v>
      </c>
      <c r="B21" s="23" t="s">
        <v>30</v>
      </c>
      <c r="C21" s="23"/>
      <c r="D21" s="23"/>
      <c r="E21" s="23"/>
    </row>
    <row r="22" spans="1:5" ht="14.85" customHeight="1">
      <c r="A22" s="23" t="s">
        <v>31</v>
      </c>
      <c r="B22" s="23" t="s">
        <v>32</v>
      </c>
      <c r="C22" s="23"/>
      <c r="D22" s="23"/>
      <c r="E22" s="23"/>
    </row>
    <row r="23" spans="1:5" ht="14.85" customHeight="1">
      <c r="A23" s="23" t="s">
        <v>33</v>
      </c>
      <c r="B23" s="23" t="s">
        <v>34</v>
      </c>
      <c r="C23" s="23"/>
      <c r="D23" s="23"/>
      <c r="E23" s="23"/>
    </row>
    <row r="24" spans="1:5" ht="14.85" customHeight="1">
      <c r="A24" s="23" t="s">
        <v>35</v>
      </c>
      <c r="B24" s="23" t="s">
        <v>36</v>
      </c>
      <c r="C24" s="23"/>
      <c r="D24" s="23"/>
      <c r="E24" s="23"/>
    </row>
    <row r="25" spans="1:5" ht="14.85" customHeight="1">
      <c r="A25" s="15"/>
      <c r="B25" s="23"/>
      <c r="C25" s="23"/>
      <c r="D25" s="23"/>
      <c r="E25" s="23"/>
    </row>
    <row r="27" spans="1:5" ht="14.85" customHeight="1">
      <c r="A27" s="23" t="s">
        <v>37</v>
      </c>
      <c r="B27" s="23"/>
      <c r="C27" s="23"/>
      <c r="D27" s="23"/>
      <c r="E27" s="23"/>
    </row>
    <row r="29" spans="1:5" ht="47.45" customHeight="1">
      <c r="A29" s="252" t="s">
        <v>38</v>
      </c>
      <c r="B29" s="252"/>
      <c r="C29" s="252"/>
      <c r="D29" s="252"/>
      <c r="E29" s="252"/>
    </row>
    <row r="30" spans="1:5" ht="43.9" customHeight="1">
      <c r="A30" s="252" t="s">
        <v>39</v>
      </c>
      <c r="B30" s="252"/>
      <c r="C30" s="252"/>
      <c r="D30" s="252"/>
      <c r="E30" s="252"/>
    </row>
    <row r="31" spans="1:5" ht="34.15" customHeight="1">
      <c r="A31" s="252" t="s">
        <v>40</v>
      </c>
      <c r="B31" s="252"/>
      <c r="C31" s="252"/>
      <c r="D31" s="252"/>
      <c r="E31" s="252"/>
    </row>
    <row r="32" spans="1:5" ht="14.85" customHeight="1">
      <c r="A32" s="85" t="s">
        <v>41</v>
      </c>
      <c r="B32" s="23"/>
      <c r="C32" s="23"/>
      <c r="D32" s="23"/>
      <c r="E32" s="23"/>
    </row>
    <row r="33" spans="1:5" ht="14.85" customHeight="1">
      <c r="A33" s="252"/>
      <c r="B33" s="252"/>
      <c r="C33" s="252"/>
      <c r="D33" s="252"/>
      <c r="E33" s="252"/>
    </row>
    <row r="34" spans="1:5" ht="22.9" customHeight="1">
      <c r="A34" s="253" t="s">
        <v>42</v>
      </c>
      <c r="B34" s="253"/>
      <c r="C34" s="253"/>
      <c r="D34" s="253"/>
      <c r="E34" s="253"/>
    </row>
    <row r="35" spans="1:5" ht="47.45" customHeight="1">
      <c r="A35" s="250" t="s">
        <v>43</v>
      </c>
      <c r="B35" s="250"/>
      <c r="C35" s="250"/>
      <c r="D35" s="250"/>
      <c r="E35" s="250"/>
    </row>
    <row r="37" spans="1:5" ht="14.85" customHeight="1">
      <c r="A37" s="249"/>
      <c r="B37" s="23"/>
      <c r="C37" s="23"/>
      <c r="D37" s="23"/>
      <c r="E37" s="23"/>
    </row>
  </sheetData>
  <mergeCells count="7">
    <mergeCell ref="A35:E35"/>
    <mergeCell ref="A2:B2"/>
    <mergeCell ref="A29:E29"/>
    <mergeCell ref="A30:E30"/>
    <mergeCell ref="A31:E31"/>
    <mergeCell ref="A34:E34"/>
    <mergeCell ref="A33:E33"/>
  </mergeCells>
  <phoneticPr fontId="2" type="noConversion"/>
  <hyperlinks>
    <hyperlink ref="A32" r:id="rId1" xr:uid="{00000000-0004-0000-0000-000000000000}"/>
  </hyperlinks>
  <pageMargins left="0.78740157499999996" right="0.78740157499999996" top="0.984251969" bottom="0.984251969" header="0.4921259845" footer="0.4921259845"/>
  <pageSetup paperSize="9" orientation="portrait" verticalDpi="0"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4">
    <tabColor rgb="FF92D050"/>
  </sheetPr>
  <dimension ref="A1:O273"/>
  <sheetViews>
    <sheetView workbookViewId="0">
      <pane xSplit="1" ySplit="7" topLeftCell="B8" activePane="bottomRight" state="frozen"/>
      <selection pane="bottomRight" activeCell="F32" sqref="F32"/>
      <selection pane="bottomLeft" activeCell="A259" sqref="A259"/>
      <selection pane="topRight" activeCell="A259" sqref="A259"/>
    </sheetView>
  </sheetViews>
  <sheetFormatPr defaultColWidth="11.42578125" defaultRowHeight="10.15"/>
  <cols>
    <col min="1" max="1" width="15.5703125" style="3" bestFit="1" customWidth="1"/>
    <col min="2" max="2" width="12.7109375" style="20" customWidth="1"/>
    <col min="3" max="4" width="11.28515625" style="21" bestFit="1" customWidth="1"/>
    <col min="5" max="5" width="9.5703125" style="22" customWidth="1"/>
    <col min="6" max="6" width="12.42578125" style="20" bestFit="1" customWidth="1"/>
    <col min="7" max="8" width="11.28515625" style="21" bestFit="1" customWidth="1"/>
    <col min="9" max="9" width="9.140625" style="22" customWidth="1"/>
    <col min="10" max="10" width="12.42578125" style="20" bestFit="1" customWidth="1"/>
    <col min="11" max="12" width="11.28515625" style="21" bestFit="1" customWidth="1"/>
    <col min="13" max="13" width="9.42578125" style="22" customWidth="1"/>
    <col min="14" max="16384" width="11.42578125" style="34"/>
  </cols>
  <sheetData>
    <row r="1" spans="1:15">
      <c r="A1" s="23" t="s">
        <v>44</v>
      </c>
      <c r="B1" s="23" t="s">
        <v>45</v>
      </c>
      <c r="C1" s="23"/>
      <c r="D1" s="23"/>
      <c r="E1" s="23"/>
      <c r="F1" s="23"/>
      <c r="G1" s="23"/>
      <c r="H1" s="23"/>
      <c r="I1" s="23"/>
      <c r="J1" s="23"/>
      <c r="K1" s="23"/>
      <c r="L1" s="23"/>
      <c r="M1" s="23"/>
      <c r="N1" s="55"/>
      <c r="O1" s="55"/>
    </row>
    <row r="2" spans="1:15">
      <c r="A2" s="23" t="s">
        <v>46</v>
      </c>
      <c r="B2" s="23" t="s">
        <v>47</v>
      </c>
      <c r="C2" s="23"/>
      <c r="D2" s="23"/>
      <c r="E2" s="23"/>
      <c r="F2" s="23"/>
      <c r="G2" s="23"/>
      <c r="H2" s="23"/>
      <c r="I2" s="23"/>
      <c r="J2" s="23"/>
      <c r="K2" s="23"/>
      <c r="L2" s="23"/>
      <c r="M2" s="23"/>
      <c r="N2" s="55"/>
      <c r="O2" s="55"/>
    </row>
    <row r="3" spans="1:15">
      <c r="A3" s="23" t="s">
        <v>48</v>
      </c>
      <c r="B3" s="23" t="s">
        <v>49</v>
      </c>
      <c r="C3" s="23"/>
      <c r="D3" s="23"/>
      <c r="E3" s="23"/>
      <c r="F3" s="23"/>
      <c r="G3" s="23"/>
      <c r="H3" s="23"/>
      <c r="I3" s="23"/>
      <c r="J3" s="23"/>
      <c r="K3" s="23"/>
      <c r="L3" s="23"/>
      <c r="M3" s="23"/>
      <c r="N3" s="55"/>
      <c r="O3" s="55"/>
    </row>
    <row r="4" spans="1:15">
      <c r="A4" s="23" t="s">
        <v>50</v>
      </c>
      <c r="B4" s="23" t="s">
        <v>51</v>
      </c>
      <c r="C4" s="23"/>
      <c r="D4" s="23"/>
      <c r="E4" s="23"/>
      <c r="F4" s="23"/>
      <c r="G4" s="23"/>
      <c r="H4" s="23"/>
      <c r="I4" s="23"/>
      <c r="J4" s="23"/>
      <c r="K4" s="23"/>
      <c r="L4" s="23"/>
      <c r="M4" s="23"/>
      <c r="N4" s="55"/>
      <c r="O4" s="55"/>
    </row>
    <row r="5" spans="1:15">
      <c r="A5" s="23" t="s">
        <v>52</v>
      </c>
      <c r="B5" s="23"/>
      <c r="C5" s="23"/>
      <c r="D5" s="23"/>
      <c r="E5" s="23"/>
      <c r="F5" s="23"/>
      <c r="G5" s="23"/>
      <c r="H5" s="23"/>
      <c r="I5" s="23"/>
      <c r="J5" s="23"/>
      <c r="K5" s="23"/>
      <c r="L5" s="23"/>
      <c r="M5" s="23"/>
      <c r="N5" s="55"/>
      <c r="O5" s="55"/>
    </row>
    <row r="6" spans="1:15" ht="13.15">
      <c r="A6" s="257" t="s">
        <v>53</v>
      </c>
      <c r="B6" s="254" t="s">
        <v>54</v>
      </c>
      <c r="C6" s="255"/>
      <c r="D6" s="255"/>
      <c r="E6" s="256"/>
      <c r="F6" s="254" t="s">
        <v>55</v>
      </c>
      <c r="G6" s="255"/>
      <c r="H6" s="255"/>
      <c r="I6" s="256"/>
      <c r="J6" s="254" t="s">
        <v>56</v>
      </c>
      <c r="K6" s="255"/>
      <c r="L6" s="255"/>
      <c r="M6" s="256"/>
      <c r="N6" s="89"/>
      <c r="O6" s="90"/>
    </row>
    <row r="7" spans="1:15">
      <c r="A7" s="258"/>
      <c r="B7" s="91" t="s">
        <v>57</v>
      </c>
      <c r="C7" s="92" t="s">
        <v>58</v>
      </c>
      <c r="D7" s="92" t="s">
        <v>59</v>
      </c>
      <c r="E7" s="93" t="s">
        <v>60</v>
      </c>
      <c r="F7" s="91" t="s">
        <v>57</v>
      </c>
      <c r="G7" s="92" t="s">
        <v>58</v>
      </c>
      <c r="H7" s="92" t="s">
        <v>59</v>
      </c>
      <c r="I7" s="93" t="s">
        <v>60</v>
      </c>
      <c r="J7" s="91" t="s">
        <v>57</v>
      </c>
      <c r="K7" s="92" t="s">
        <v>58</v>
      </c>
      <c r="L7" s="92" t="s">
        <v>59</v>
      </c>
      <c r="M7" s="93" t="s">
        <v>60</v>
      </c>
      <c r="N7" s="94"/>
      <c r="O7" s="94"/>
    </row>
    <row r="8" spans="1:15">
      <c r="A8" s="27" t="s">
        <v>61</v>
      </c>
      <c r="B8" s="95">
        <v>316200</v>
      </c>
      <c r="C8" s="96">
        <v>1042400</v>
      </c>
      <c r="D8" s="96">
        <v>204600</v>
      </c>
      <c r="E8" s="81">
        <v>1563300</v>
      </c>
      <c r="F8" s="95">
        <v>372600</v>
      </c>
      <c r="G8" s="96">
        <v>1215300</v>
      </c>
      <c r="H8" s="96">
        <v>173700</v>
      </c>
      <c r="I8" s="81">
        <v>1761600</v>
      </c>
      <c r="J8" s="95">
        <v>688800</v>
      </c>
      <c r="K8" s="96">
        <v>2257800</v>
      </c>
      <c r="L8" s="96">
        <v>378300</v>
      </c>
      <c r="M8" s="81">
        <v>3324900</v>
      </c>
      <c r="N8" s="55"/>
      <c r="O8" s="55"/>
    </row>
    <row r="9" spans="1:15">
      <c r="A9" s="27" t="s">
        <v>62</v>
      </c>
      <c r="B9" s="95">
        <v>314000</v>
      </c>
      <c r="C9" s="96">
        <v>1046800</v>
      </c>
      <c r="D9" s="96">
        <v>207400</v>
      </c>
      <c r="E9" s="81">
        <v>1568200</v>
      </c>
      <c r="F9" s="95">
        <v>370400</v>
      </c>
      <c r="G9" s="96">
        <v>1219000</v>
      </c>
      <c r="H9" s="96">
        <v>177000</v>
      </c>
      <c r="I9" s="81">
        <v>1766400</v>
      </c>
      <c r="J9" s="95">
        <v>684400</v>
      </c>
      <c r="K9" s="96">
        <v>2265800</v>
      </c>
      <c r="L9" s="96">
        <v>384400</v>
      </c>
      <c r="M9" s="81">
        <v>3334600</v>
      </c>
      <c r="N9" s="55"/>
      <c r="O9" s="55"/>
    </row>
    <row r="10" spans="1:15">
      <c r="A10" s="27" t="s">
        <v>63</v>
      </c>
      <c r="B10" s="95">
        <v>311700</v>
      </c>
      <c r="C10" s="96">
        <v>1051000</v>
      </c>
      <c r="D10" s="96">
        <v>210200</v>
      </c>
      <c r="E10" s="81">
        <v>1572800</v>
      </c>
      <c r="F10" s="95">
        <v>367000</v>
      </c>
      <c r="G10" s="96">
        <v>1222500</v>
      </c>
      <c r="H10" s="96">
        <v>181000</v>
      </c>
      <c r="I10" s="81">
        <v>1770500</v>
      </c>
      <c r="J10" s="95">
        <v>678800</v>
      </c>
      <c r="K10" s="96">
        <v>2273500</v>
      </c>
      <c r="L10" s="96">
        <v>391100</v>
      </c>
      <c r="M10" s="81">
        <v>3343400</v>
      </c>
      <c r="N10" s="55"/>
      <c r="O10" s="55"/>
    </row>
    <row r="11" spans="1:15">
      <c r="A11" s="80" t="s">
        <v>64</v>
      </c>
      <c r="B11" s="97">
        <v>315900</v>
      </c>
      <c r="C11" s="98">
        <v>1068200</v>
      </c>
      <c r="D11" s="98">
        <v>215500</v>
      </c>
      <c r="E11" s="82">
        <v>1599500</v>
      </c>
      <c r="F11" s="97">
        <v>362900</v>
      </c>
      <c r="G11" s="98">
        <v>1225100</v>
      </c>
      <c r="H11" s="98">
        <v>184600</v>
      </c>
      <c r="I11" s="82">
        <v>1772500</v>
      </c>
      <c r="J11" s="97">
        <v>678800</v>
      </c>
      <c r="K11" s="98">
        <v>2293300</v>
      </c>
      <c r="L11" s="98">
        <v>399900</v>
      </c>
      <c r="M11" s="82">
        <v>3372100</v>
      </c>
      <c r="N11" s="55"/>
      <c r="O11" s="55"/>
    </row>
    <row r="12" spans="1:15">
      <c r="A12" s="27" t="s">
        <v>65</v>
      </c>
      <c r="B12" s="95">
        <v>313100</v>
      </c>
      <c r="C12" s="96">
        <v>1077800</v>
      </c>
      <c r="D12" s="96">
        <v>221000</v>
      </c>
      <c r="E12" s="81">
        <v>1611900</v>
      </c>
      <c r="F12" s="95">
        <v>359400</v>
      </c>
      <c r="G12" s="96">
        <v>1231300</v>
      </c>
      <c r="H12" s="96">
        <v>188900</v>
      </c>
      <c r="I12" s="81">
        <v>1779700</v>
      </c>
      <c r="J12" s="95">
        <v>672400</v>
      </c>
      <c r="K12" s="96">
        <v>2309100</v>
      </c>
      <c r="L12" s="96">
        <v>410000</v>
      </c>
      <c r="M12" s="81">
        <v>3391500</v>
      </c>
      <c r="N12" s="55"/>
      <c r="O12" s="55"/>
    </row>
    <row r="13" spans="1:15">
      <c r="A13" s="27" t="s">
        <v>66</v>
      </c>
      <c r="B13" s="95">
        <v>303600</v>
      </c>
      <c r="C13" s="96">
        <v>1083500</v>
      </c>
      <c r="D13" s="96">
        <v>226400</v>
      </c>
      <c r="E13" s="81">
        <v>1613400</v>
      </c>
      <c r="F13" s="95">
        <v>350900</v>
      </c>
      <c r="G13" s="96">
        <v>1242600</v>
      </c>
      <c r="H13" s="96">
        <v>194500</v>
      </c>
      <c r="I13" s="81">
        <v>1788000</v>
      </c>
      <c r="J13" s="95">
        <v>654500</v>
      </c>
      <c r="K13" s="96">
        <v>2326100</v>
      </c>
      <c r="L13" s="96">
        <v>420900</v>
      </c>
      <c r="M13" s="81">
        <v>3401400</v>
      </c>
      <c r="N13" s="55"/>
      <c r="O13" s="55"/>
    </row>
    <row r="14" spans="1:15">
      <c r="A14" s="27" t="s">
        <v>67</v>
      </c>
      <c r="B14" s="95">
        <v>289200</v>
      </c>
      <c r="C14" s="96">
        <v>1074500</v>
      </c>
      <c r="D14" s="96">
        <v>229800</v>
      </c>
      <c r="E14" s="81">
        <v>1593500</v>
      </c>
      <c r="F14" s="95">
        <v>339800</v>
      </c>
      <c r="G14" s="96">
        <v>1243200</v>
      </c>
      <c r="H14" s="96">
        <v>199300</v>
      </c>
      <c r="I14" s="81">
        <v>1782300</v>
      </c>
      <c r="J14" s="95">
        <v>629000</v>
      </c>
      <c r="K14" s="96">
        <v>2317800</v>
      </c>
      <c r="L14" s="96">
        <v>429000</v>
      </c>
      <c r="M14" s="81">
        <v>3375800</v>
      </c>
      <c r="N14" s="55"/>
      <c r="O14" s="55"/>
    </row>
    <row r="15" spans="1:15">
      <c r="A15" s="80" t="s">
        <v>68</v>
      </c>
      <c r="B15" s="97">
        <v>282700</v>
      </c>
      <c r="C15" s="98">
        <v>1067700</v>
      </c>
      <c r="D15" s="98">
        <v>233200</v>
      </c>
      <c r="E15" s="82">
        <v>1583600</v>
      </c>
      <c r="F15" s="97">
        <v>334700</v>
      </c>
      <c r="G15" s="98">
        <v>1245000</v>
      </c>
      <c r="H15" s="98">
        <v>203000</v>
      </c>
      <c r="I15" s="82">
        <v>1782700</v>
      </c>
      <c r="J15" s="97">
        <v>617400</v>
      </c>
      <c r="K15" s="98">
        <v>2312700</v>
      </c>
      <c r="L15" s="98">
        <v>436200</v>
      </c>
      <c r="M15" s="82">
        <v>3366200</v>
      </c>
      <c r="N15" s="55"/>
      <c r="O15" s="55"/>
    </row>
    <row r="16" spans="1:15">
      <c r="A16" s="27" t="s">
        <v>69</v>
      </c>
      <c r="B16" s="95">
        <v>271100</v>
      </c>
      <c r="C16" s="96">
        <v>1053800</v>
      </c>
      <c r="D16" s="96">
        <v>237500</v>
      </c>
      <c r="E16" s="81">
        <v>1562400</v>
      </c>
      <c r="F16" s="95">
        <v>322800</v>
      </c>
      <c r="G16" s="96">
        <v>1245100</v>
      </c>
      <c r="H16" s="96">
        <v>208800</v>
      </c>
      <c r="I16" s="81">
        <v>1776700</v>
      </c>
      <c r="J16" s="95">
        <v>593800</v>
      </c>
      <c r="K16" s="96">
        <v>2298900</v>
      </c>
      <c r="L16" s="96">
        <v>446400</v>
      </c>
      <c r="M16" s="81">
        <v>3339000</v>
      </c>
      <c r="N16" s="55"/>
      <c r="O16" s="55"/>
    </row>
    <row r="17" spans="1:13">
      <c r="A17" s="27" t="s">
        <v>70</v>
      </c>
      <c r="B17" s="95">
        <v>262200</v>
      </c>
      <c r="C17" s="96">
        <v>1040800</v>
      </c>
      <c r="D17" s="96">
        <v>240800</v>
      </c>
      <c r="E17" s="81">
        <v>1543900</v>
      </c>
      <c r="F17" s="95">
        <v>313600</v>
      </c>
      <c r="G17" s="96">
        <v>1245000</v>
      </c>
      <c r="H17" s="96">
        <v>214100</v>
      </c>
      <c r="I17" s="81">
        <v>1772700</v>
      </c>
      <c r="J17" s="95">
        <v>575800</v>
      </c>
      <c r="K17" s="96">
        <v>2285800</v>
      </c>
      <c r="L17" s="96">
        <v>454900</v>
      </c>
      <c r="M17" s="81">
        <v>3316600</v>
      </c>
    </row>
    <row r="18" spans="1:13">
      <c r="A18" s="27" t="s">
        <v>71</v>
      </c>
      <c r="B18" s="95">
        <v>259500</v>
      </c>
      <c r="C18" s="96">
        <v>1027700</v>
      </c>
      <c r="D18" s="96">
        <v>243900</v>
      </c>
      <c r="E18" s="81">
        <v>1531100</v>
      </c>
      <c r="F18" s="95">
        <v>308800</v>
      </c>
      <c r="G18" s="96">
        <v>1242500</v>
      </c>
      <c r="H18" s="96">
        <v>219400</v>
      </c>
      <c r="I18" s="81">
        <v>1770700</v>
      </c>
      <c r="J18" s="95">
        <v>568300</v>
      </c>
      <c r="K18" s="96">
        <v>2270200</v>
      </c>
      <c r="L18" s="96">
        <v>463300</v>
      </c>
      <c r="M18" s="81">
        <v>3301800</v>
      </c>
    </row>
    <row r="19" spans="1:13">
      <c r="A19" s="80" t="s">
        <v>72</v>
      </c>
      <c r="B19" s="97">
        <v>260000</v>
      </c>
      <c r="C19" s="98">
        <v>1022200</v>
      </c>
      <c r="D19" s="98">
        <v>247000</v>
      </c>
      <c r="E19" s="82">
        <v>1529300</v>
      </c>
      <c r="F19" s="97">
        <v>306100</v>
      </c>
      <c r="G19" s="98">
        <v>1243600</v>
      </c>
      <c r="H19" s="98">
        <v>224200</v>
      </c>
      <c r="I19" s="82">
        <v>1773900</v>
      </c>
      <c r="J19" s="97">
        <v>566100</v>
      </c>
      <c r="K19" s="98">
        <v>2265800</v>
      </c>
      <c r="L19" s="98">
        <v>471200</v>
      </c>
      <c r="M19" s="82">
        <v>3303200</v>
      </c>
    </row>
    <row r="20" spans="1:13">
      <c r="A20" s="27" t="s">
        <v>73</v>
      </c>
      <c r="B20" s="95">
        <v>261600</v>
      </c>
      <c r="C20" s="96">
        <v>1014000</v>
      </c>
      <c r="D20" s="96">
        <v>249600</v>
      </c>
      <c r="E20" s="81">
        <v>1525100</v>
      </c>
      <c r="F20" s="95">
        <v>302200</v>
      </c>
      <c r="G20" s="96">
        <v>1236800</v>
      </c>
      <c r="H20" s="96">
        <v>229000</v>
      </c>
      <c r="I20" s="81">
        <v>1768000</v>
      </c>
      <c r="J20" s="95">
        <v>563800</v>
      </c>
      <c r="K20" s="96">
        <v>2250800</v>
      </c>
      <c r="L20" s="96">
        <v>478600</v>
      </c>
      <c r="M20" s="81">
        <v>3293100</v>
      </c>
    </row>
    <row r="21" spans="1:13">
      <c r="A21" s="27" t="s">
        <v>74</v>
      </c>
      <c r="B21" s="95">
        <v>258100</v>
      </c>
      <c r="C21" s="96">
        <v>1000000</v>
      </c>
      <c r="D21" s="96">
        <v>250400</v>
      </c>
      <c r="E21" s="81">
        <v>1508500</v>
      </c>
      <c r="F21" s="95">
        <v>296900</v>
      </c>
      <c r="G21" s="96">
        <v>1231200</v>
      </c>
      <c r="H21" s="96">
        <v>233600</v>
      </c>
      <c r="I21" s="81">
        <v>1761800</v>
      </c>
      <c r="J21" s="95">
        <v>555000</v>
      </c>
      <c r="K21" s="96">
        <v>2231300</v>
      </c>
      <c r="L21" s="96">
        <v>484000</v>
      </c>
      <c r="M21" s="81">
        <v>3270200</v>
      </c>
    </row>
    <row r="22" spans="1:13">
      <c r="A22" s="27" t="s">
        <v>75</v>
      </c>
      <c r="B22" s="95">
        <v>242800</v>
      </c>
      <c r="C22" s="96">
        <v>966800</v>
      </c>
      <c r="D22" s="96">
        <v>237300</v>
      </c>
      <c r="E22" s="81">
        <v>1446800</v>
      </c>
      <c r="F22" s="95">
        <v>281600</v>
      </c>
      <c r="G22" s="96">
        <v>1204600</v>
      </c>
      <c r="H22" s="96">
        <v>227000</v>
      </c>
      <c r="I22" s="81">
        <v>1713200</v>
      </c>
      <c r="J22" s="95">
        <v>524400</v>
      </c>
      <c r="K22" s="96">
        <v>2171400</v>
      </c>
      <c r="L22" s="96">
        <v>464300</v>
      </c>
      <c r="M22" s="81">
        <v>3160000</v>
      </c>
    </row>
    <row r="23" spans="1:13">
      <c r="A23" s="80" t="s">
        <v>76</v>
      </c>
      <c r="B23" s="97">
        <v>224300</v>
      </c>
      <c r="C23" s="98">
        <v>935300</v>
      </c>
      <c r="D23" s="98">
        <v>235100</v>
      </c>
      <c r="E23" s="82">
        <v>1394700</v>
      </c>
      <c r="F23" s="97">
        <v>268100</v>
      </c>
      <c r="G23" s="98">
        <v>1182700</v>
      </c>
      <c r="H23" s="98">
        <v>228600</v>
      </c>
      <c r="I23" s="82">
        <v>1679400</v>
      </c>
      <c r="J23" s="97">
        <v>492400</v>
      </c>
      <c r="K23" s="98">
        <v>2118000</v>
      </c>
      <c r="L23" s="98">
        <v>463700</v>
      </c>
      <c r="M23" s="82">
        <v>3074000</v>
      </c>
    </row>
    <row r="24" spans="1:13">
      <c r="A24" s="27" t="s">
        <v>77</v>
      </c>
      <c r="B24" s="95">
        <v>213100</v>
      </c>
      <c r="C24" s="96">
        <v>904900</v>
      </c>
      <c r="D24" s="96">
        <v>230000</v>
      </c>
      <c r="E24" s="81">
        <v>1348000</v>
      </c>
      <c r="F24" s="95">
        <v>258200</v>
      </c>
      <c r="G24" s="96">
        <v>1161900</v>
      </c>
      <c r="H24" s="96">
        <v>228300</v>
      </c>
      <c r="I24" s="81">
        <v>1648400</v>
      </c>
      <c r="J24" s="95">
        <v>471300</v>
      </c>
      <c r="K24" s="96">
        <v>2066800</v>
      </c>
      <c r="L24" s="96">
        <v>458300</v>
      </c>
      <c r="M24" s="81">
        <v>2996400</v>
      </c>
    </row>
    <row r="25" spans="1:13">
      <c r="A25" s="27" t="s">
        <v>78</v>
      </c>
      <c r="B25" s="95">
        <v>202500</v>
      </c>
      <c r="C25" s="96">
        <v>867500</v>
      </c>
      <c r="D25" s="96">
        <v>226100</v>
      </c>
      <c r="E25" s="81">
        <v>1296000</v>
      </c>
      <c r="F25" s="95">
        <v>245100</v>
      </c>
      <c r="G25" s="96">
        <v>1125200</v>
      </c>
      <c r="H25" s="96">
        <v>227500</v>
      </c>
      <c r="I25" s="81">
        <v>1597800</v>
      </c>
      <c r="J25" s="95">
        <v>447500</v>
      </c>
      <c r="K25" s="96">
        <v>1992600</v>
      </c>
      <c r="L25" s="96">
        <v>453600</v>
      </c>
      <c r="M25" s="81">
        <v>2893800</v>
      </c>
    </row>
    <row r="26" spans="1:13">
      <c r="A26" s="27" t="s">
        <v>79</v>
      </c>
      <c r="B26" s="95">
        <v>195500</v>
      </c>
      <c r="C26" s="96">
        <v>839100</v>
      </c>
      <c r="D26" s="96">
        <v>222900</v>
      </c>
      <c r="E26" s="81">
        <v>1257400</v>
      </c>
      <c r="F26" s="95">
        <v>235000</v>
      </c>
      <c r="G26" s="96">
        <v>1090600</v>
      </c>
      <c r="H26" s="96">
        <v>225700</v>
      </c>
      <c r="I26" s="81">
        <v>1551200</v>
      </c>
      <c r="J26" s="95">
        <v>430500</v>
      </c>
      <c r="K26" s="96">
        <v>1929600</v>
      </c>
      <c r="L26" s="96">
        <v>448600</v>
      </c>
      <c r="M26" s="81">
        <v>2808700</v>
      </c>
    </row>
    <row r="27" spans="1:13">
      <c r="A27" s="80" t="s">
        <v>80</v>
      </c>
      <c r="B27" s="97">
        <v>182300</v>
      </c>
      <c r="C27" s="98">
        <v>793500</v>
      </c>
      <c r="D27" s="98">
        <v>216400</v>
      </c>
      <c r="E27" s="82">
        <v>1192100</v>
      </c>
      <c r="F27" s="97">
        <v>223700</v>
      </c>
      <c r="G27" s="98">
        <v>1045400</v>
      </c>
      <c r="H27" s="98">
        <v>222400</v>
      </c>
      <c r="I27" s="82">
        <v>1491400</v>
      </c>
      <c r="J27" s="97">
        <v>405900</v>
      </c>
      <c r="K27" s="98">
        <v>1839000</v>
      </c>
      <c r="L27" s="98">
        <v>438700</v>
      </c>
      <c r="M27" s="82">
        <v>2683600</v>
      </c>
    </row>
    <row r="28" spans="1:13">
      <c r="A28" s="27" t="s">
        <v>81</v>
      </c>
      <c r="B28" s="95">
        <v>177500</v>
      </c>
      <c r="C28" s="96">
        <v>761600</v>
      </c>
      <c r="D28" s="96">
        <v>211600</v>
      </c>
      <c r="E28" s="81">
        <v>1150700</v>
      </c>
      <c r="F28" s="95">
        <v>217200</v>
      </c>
      <c r="G28" s="96">
        <v>1009700</v>
      </c>
      <c r="H28" s="96">
        <v>218400</v>
      </c>
      <c r="I28" s="81">
        <v>1445200</v>
      </c>
      <c r="J28" s="95">
        <v>394700</v>
      </c>
      <c r="K28" s="96">
        <v>1771300</v>
      </c>
      <c r="L28" s="96">
        <v>430000</v>
      </c>
      <c r="M28" s="81">
        <v>2595900</v>
      </c>
    </row>
    <row r="29" spans="1:13">
      <c r="A29" s="27" t="s">
        <v>82</v>
      </c>
      <c r="B29" s="95">
        <v>182700</v>
      </c>
      <c r="C29" s="96">
        <v>755800</v>
      </c>
      <c r="D29" s="96">
        <v>209400</v>
      </c>
      <c r="E29" s="81">
        <v>1148000</v>
      </c>
      <c r="F29" s="95">
        <v>214800</v>
      </c>
      <c r="G29" s="96">
        <v>990800</v>
      </c>
      <c r="H29" s="96">
        <v>214600</v>
      </c>
      <c r="I29" s="81">
        <v>1420200</v>
      </c>
      <c r="J29" s="95">
        <v>397600</v>
      </c>
      <c r="K29" s="96">
        <v>1746600</v>
      </c>
      <c r="L29" s="96">
        <v>424000</v>
      </c>
      <c r="M29" s="81">
        <v>2568200</v>
      </c>
    </row>
    <row r="30" spans="1:13">
      <c r="A30" s="27" t="s">
        <v>83</v>
      </c>
      <c r="B30" s="95">
        <v>197700</v>
      </c>
      <c r="C30" s="96">
        <v>773400</v>
      </c>
      <c r="D30" s="96">
        <v>209600</v>
      </c>
      <c r="E30" s="81">
        <v>1180600</v>
      </c>
      <c r="F30" s="95">
        <v>219600</v>
      </c>
      <c r="G30" s="96">
        <v>992900</v>
      </c>
      <c r="H30" s="96">
        <v>214100</v>
      </c>
      <c r="I30" s="81">
        <v>1426700</v>
      </c>
      <c r="J30" s="95">
        <v>417400</v>
      </c>
      <c r="K30" s="96">
        <v>1766300</v>
      </c>
      <c r="L30" s="96">
        <v>423700</v>
      </c>
      <c r="M30" s="81">
        <v>2607300</v>
      </c>
    </row>
    <row r="31" spans="1:13">
      <c r="A31" s="80" t="s">
        <v>84</v>
      </c>
      <c r="B31" s="97">
        <v>212400</v>
      </c>
      <c r="C31" s="98">
        <v>802500</v>
      </c>
      <c r="D31" s="98">
        <v>214100</v>
      </c>
      <c r="E31" s="82">
        <v>1229000</v>
      </c>
      <c r="F31" s="97">
        <v>224800</v>
      </c>
      <c r="G31" s="98">
        <v>999800</v>
      </c>
      <c r="H31" s="98">
        <v>216300</v>
      </c>
      <c r="I31" s="82">
        <v>1441000</v>
      </c>
      <c r="J31" s="97">
        <v>437200</v>
      </c>
      <c r="K31" s="98">
        <v>1802300</v>
      </c>
      <c r="L31" s="98">
        <v>430500</v>
      </c>
      <c r="M31" s="82">
        <v>2670000</v>
      </c>
    </row>
    <row r="32" spans="1:13">
      <c r="A32" s="27" t="s">
        <v>85</v>
      </c>
      <c r="B32" s="95">
        <v>218600</v>
      </c>
      <c r="C32" s="96">
        <v>822600</v>
      </c>
      <c r="D32" s="96">
        <v>217400</v>
      </c>
      <c r="E32" s="81">
        <v>1258600</v>
      </c>
      <c r="F32" s="95">
        <v>224600</v>
      </c>
      <c r="G32" s="96">
        <v>996200</v>
      </c>
      <c r="H32" s="96">
        <v>217500</v>
      </c>
      <c r="I32" s="81">
        <v>1438200</v>
      </c>
      <c r="J32" s="95">
        <v>443200</v>
      </c>
      <c r="K32" s="96">
        <v>1818700</v>
      </c>
      <c r="L32" s="96">
        <v>434900</v>
      </c>
      <c r="M32" s="81">
        <v>2696800</v>
      </c>
    </row>
    <row r="33" spans="1:13">
      <c r="A33" s="27" t="s">
        <v>86</v>
      </c>
      <c r="B33" s="95">
        <v>223200</v>
      </c>
      <c r="C33" s="96">
        <v>840500</v>
      </c>
      <c r="D33" s="96">
        <v>221700</v>
      </c>
      <c r="E33" s="81">
        <v>1285400</v>
      </c>
      <c r="F33" s="95">
        <v>228200</v>
      </c>
      <c r="G33" s="96">
        <v>997700</v>
      </c>
      <c r="H33" s="96">
        <v>218600</v>
      </c>
      <c r="I33" s="81">
        <v>1444500</v>
      </c>
      <c r="J33" s="95">
        <v>451300</v>
      </c>
      <c r="K33" s="96">
        <v>1838300</v>
      </c>
      <c r="L33" s="96">
        <v>440300</v>
      </c>
      <c r="M33" s="81">
        <v>2730000</v>
      </c>
    </row>
    <row r="34" spans="1:13">
      <c r="A34" s="27" t="s">
        <v>87</v>
      </c>
      <c r="B34" s="95">
        <v>229800</v>
      </c>
      <c r="C34" s="96">
        <v>852300</v>
      </c>
      <c r="D34" s="96">
        <v>225700</v>
      </c>
      <c r="E34" s="81">
        <v>1307900</v>
      </c>
      <c r="F34" s="95">
        <v>231800</v>
      </c>
      <c r="G34" s="96">
        <v>999100</v>
      </c>
      <c r="H34" s="96">
        <v>218800</v>
      </c>
      <c r="I34" s="81">
        <v>1449700</v>
      </c>
      <c r="J34" s="95">
        <v>461600</v>
      </c>
      <c r="K34" s="96">
        <v>1851500</v>
      </c>
      <c r="L34" s="96">
        <v>444500</v>
      </c>
      <c r="M34" s="81">
        <v>2757500</v>
      </c>
    </row>
    <row r="35" spans="1:13">
      <c r="A35" s="80" t="s">
        <v>88</v>
      </c>
      <c r="B35" s="97">
        <v>233900</v>
      </c>
      <c r="C35" s="98">
        <v>866700</v>
      </c>
      <c r="D35" s="98">
        <v>228300</v>
      </c>
      <c r="E35" s="82">
        <v>1328900</v>
      </c>
      <c r="F35" s="97">
        <v>232200</v>
      </c>
      <c r="G35" s="98">
        <v>997000</v>
      </c>
      <c r="H35" s="98">
        <v>217800</v>
      </c>
      <c r="I35" s="82">
        <v>1447000</v>
      </c>
      <c r="J35" s="97">
        <v>466100</v>
      </c>
      <c r="K35" s="98">
        <v>1863700</v>
      </c>
      <c r="L35" s="98">
        <v>446100</v>
      </c>
      <c r="M35" s="82">
        <v>2775900</v>
      </c>
    </row>
    <row r="36" spans="1:13">
      <c r="A36" s="27" t="s">
        <v>89</v>
      </c>
      <c r="B36" s="95">
        <v>241100</v>
      </c>
      <c r="C36" s="96">
        <v>888900</v>
      </c>
      <c r="D36" s="96">
        <v>231900</v>
      </c>
      <c r="E36" s="81">
        <v>1361800</v>
      </c>
      <c r="F36" s="95">
        <v>236800</v>
      </c>
      <c r="G36" s="96">
        <v>1006900</v>
      </c>
      <c r="H36" s="96">
        <v>218900</v>
      </c>
      <c r="I36" s="81">
        <v>1462600</v>
      </c>
      <c r="J36" s="95">
        <v>477800</v>
      </c>
      <c r="K36" s="96">
        <v>1895800</v>
      </c>
      <c r="L36" s="96">
        <v>450800</v>
      </c>
      <c r="M36" s="81">
        <v>2824400</v>
      </c>
    </row>
    <row r="37" spans="1:13">
      <c r="A37" s="27" t="s">
        <v>90</v>
      </c>
      <c r="B37" s="95">
        <v>241200</v>
      </c>
      <c r="C37" s="96">
        <v>905200</v>
      </c>
      <c r="D37" s="96">
        <v>233900</v>
      </c>
      <c r="E37" s="81">
        <v>1380200</v>
      </c>
      <c r="F37" s="95">
        <v>236500</v>
      </c>
      <c r="G37" s="96">
        <v>1015200</v>
      </c>
      <c r="H37" s="96">
        <v>219100</v>
      </c>
      <c r="I37" s="81">
        <v>1470800</v>
      </c>
      <c r="J37" s="95">
        <v>477600</v>
      </c>
      <c r="K37" s="96">
        <v>1920300</v>
      </c>
      <c r="L37" s="96">
        <v>453000</v>
      </c>
      <c r="M37" s="81">
        <v>2851000</v>
      </c>
    </row>
    <row r="38" spans="1:13">
      <c r="A38" s="27" t="s">
        <v>91</v>
      </c>
      <c r="B38" s="95">
        <v>244400</v>
      </c>
      <c r="C38" s="96">
        <v>915400</v>
      </c>
      <c r="D38" s="96">
        <v>233900</v>
      </c>
      <c r="E38" s="81">
        <v>1393700</v>
      </c>
      <c r="F38" s="95">
        <v>240300</v>
      </c>
      <c r="G38" s="96">
        <v>1028500</v>
      </c>
      <c r="H38" s="96">
        <v>219100</v>
      </c>
      <c r="I38" s="81">
        <v>1487900</v>
      </c>
      <c r="J38" s="95">
        <v>484600</v>
      </c>
      <c r="K38" s="96">
        <v>1944000</v>
      </c>
      <c r="L38" s="96">
        <v>453000</v>
      </c>
      <c r="M38" s="81">
        <v>2881600</v>
      </c>
    </row>
    <row r="39" spans="1:13">
      <c r="A39" s="80" t="s">
        <v>92</v>
      </c>
      <c r="B39" s="97">
        <v>252100</v>
      </c>
      <c r="C39" s="98">
        <v>925000</v>
      </c>
      <c r="D39" s="98">
        <v>233700</v>
      </c>
      <c r="E39" s="82">
        <v>1410700</v>
      </c>
      <c r="F39" s="97">
        <v>247100</v>
      </c>
      <c r="G39" s="98">
        <v>1030000</v>
      </c>
      <c r="H39" s="98">
        <v>218600</v>
      </c>
      <c r="I39" s="82">
        <v>1495700</v>
      </c>
      <c r="J39" s="97">
        <v>499200</v>
      </c>
      <c r="K39" s="98">
        <v>1955000</v>
      </c>
      <c r="L39" s="98">
        <v>452300</v>
      </c>
      <c r="M39" s="82">
        <v>2906500</v>
      </c>
    </row>
    <row r="40" spans="1:13">
      <c r="A40" s="27" t="s">
        <v>93</v>
      </c>
      <c r="B40" s="95">
        <v>249000</v>
      </c>
      <c r="C40" s="96">
        <v>908600</v>
      </c>
      <c r="D40" s="96">
        <v>227900</v>
      </c>
      <c r="E40" s="81">
        <v>1385600</v>
      </c>
      <c r="F40" s="95">
        <v>246400</v>
      </c>
      <c r="G40" s="96">
        <v>1013400</v>
      </c>
      <c r="H40" s="96">
        <v>215800</v>
      </c>
      <c r="I40" s="81">
        <v>1475600</v>
      </c>
      <c r="J40" s="95">
        <v>495500</v>
      </c>
      <c r="K40" s="96">
        <v>1922000</v>
      </c>
      <c r="L40" s="96">
        <v>443700</v>
      </c>
      <c r="M40" s="81">
        <v>2861200</v>
      </c>
    </row>
    <row r="41" spans="1:13">
      <c r="A41" s="27" t="s">
        <v>94</v>
      </c>
      <c r="B41" s="95">
        <v>249200</v>
      </c>
      <c r="C41" s="96">
        <v>910200</v>
      </c>
      <c r="D41" s="96">
        <v>226200</v>
      </c>
      <c r="E41" s="81">
        <v>1385600</v>
      </c>
      <c r="F41" s="95">
        <v>246700</v>
      </c>
      <c r="G41" s="96">
        <v>1013000</v>
      </c>
      <c r="H41" s="96">
        <v>215200</v>
      </c>
      <c r="I41" s="81">
        <v>1474900</v>
      </c>
      <c r="J41" s="95">
        <v>495900</v>
      </c>
      <c r="K41" s="96">
        <v>1923200</v>
      </c>
      <c r="L41" s="96">
        <v>441500</v>
      </c>
      <c r="M41" s="81">
        <v>2860500</v>
      </c>
    </row>
    <row r="42" spans="1:13">
      <c r="A42" s="27" t="s">
        <v>95</v>
      </c>
      <c r="B42" s="95">
        <v>251100</v>
      </c>
      <c r="C42" s="96">
        <v>919600</v>
      </c>
      <c r="D42" s="96">
        <v>226400</v>
      </c>
      <c r="E42" s="81">
        <v>1397200</v>
      </c>
      <c r="F42" s="95">
        <v>249800</v>
      </c>
      <c r="G42" s="96">
        <v>1019300</v>
      </c>
      <c r="H42" s="96">
        <v>216300</v>
      </c>
      <c r="I42" s="81">
        <v>1485500</v>
      </c>
      <c r="J42" s="95">
        <v>501000</v>
      </c>
      <c r="K42" s="96">
        <v>1939000</v>
      </c>
      <c r="L42" s="96">
        <v>442700</v>
      </c>
      <c r="M42" s="81">
        <v>2882600</v>
      </c>
    </row>
    <row r="43" spans="1:13">
      <c r="A43" s="80" t="s">
        <v>96</v>
      </c>
      <c r="B43" s="97">
        <v>253400</v>
      </c>
      <c r="C43" s="98">
        <v>922100</v>
      </c>
      <c r="D43" s="98">
        <v>226400</v>
      </c>
      <c r="E43" s="82">
        <v>1402000</v>
      </c>
      <c r="F43" s="97">
        <v>252100</v>
      </c>
      <c r="G43" s="98">
        <v>1020600</v>
      </c>
      <c r="H43" s="98">
        <v>216700</v>
      </c>
      <c r="I43" s="82">
        <v>1489300</v>
      </c>
      <c r="J43" s="97">
        <v>505500</v>
      </c>
      <c r="K43" s="98">
        <v>1942700</v>
      </c>
      <c r="L43" s="98">
        <v>443100</v>
      </c>
      <c r="M43" s="82">
        <v>2891300</v>
      </c>
    </row>
    <row r="44" spans="1:13">
      <c r="A44" s="27" t="s">
        <v>97</v>
      </c>
      <c r="B44" s="95">
        <v>256300</v>
      </c>
      <c r="C44" s="96">
        <v>922800</v>
      </c>
      <c r="D44" s="96">
        <v>225400</v>
      </c>
      <c r="E44" s="81">
        <v>1404500</v>
      </c>
      <c r="F44" s="95">
        <v>253900</v>
      </c>
      <c r="G44" s="96">
        <v>1019100</v>
      </c>
      <c r="H44" s="96">
        <v>216900</v>
      </c>
      <c r="I44" s="81">
        <v>1489800</v>
      </c>
      <c r="J44" s="95">
        <v>510100</v>
      </c>
      <c r="K44" s="96">
        <v>1941900</v>
      </c>
      <c r="L44" s="96">
        <v>442300</v>
      </c>
      <c r="M44" s="81">
        <v>2894300</v>
      </c>
    </row>
    <row r="45" spans="1:13">
      <c r="A45" s="27" t="s">
        <v>98</v>
      </c>
      <c r="B45" s="95">
        <v>258700</v>
      </c>
      <c r="C45" s="96">
        <v>921400</v>
      </c>
      <c r="D45" s="96">
        <v>224100</v>
      </c>
      <c r="E45" s="81">
        <v>1404200</v>
      </c>
      <c r="F45" s="95">
        <v>255100</v>
      </c>
      <c r="G45" s="96">
        <v>1017200</v>
      </c>
      <c r="H45" s="96">
        <v>216900</v>
      </c>
      <c r="I45" s="81">
        <v>1489300</v>
      </c>
      <c r="J45" s="95">
        <v>513800</v>
      </c>
      <c r="K45" s="96">
        <v>1938600</v>
      </c>
      <c r="L45" s="96">
        <v>441100</v>
      </c>
      <c r="M45" s="81">
        <v>2893400</v>
      </c>
    </row>
    <row r="46" spans="1:13">
      <c r="A46" s="27" t="s">
        <v>99</v>
      </c>
      <c r="B46" s="95">
        <v>250300</v>
      </c>
      <c r="C46" s="96">
        <v>901400</v>
      </c>
      <c r="D46" s="96">
        <v>221200</v>
      </c>
      <c r="E46" s="81">
        <v>1372900</v>
      </c>
      <c r="F46" s="95">
        <v>250100</v>
      </c>
      <c r="G46" s="96">
        <v>1000000</v>
      </c>
      <c r="H46" s="96">
        <v>216000</v>
      </c>
      <c r="I46" s="81">
        <v>1466000</v>
      </c>
      <c r="J46" s="95">
        <v>500300</v>
      </c>
      <c r="K46" s="96">
        <v>1901400</v>
      </c>
      <c r="L46" s="96">
        <v>437200</v>
      </c>
      <c r="M46" s="81">
        <v>2838900</v>
      </c>
    </row>
    <row r="47" spans="1:13">
      <c r="A47" s="80" t="s">
        <v>100</v>
      </c>
      <c r="B47" s="97">
        <v>242200</v>
      </c>
      <c r="C47" s="98">
        <v>877600</v>
      </c>
      <c r="D47" s="98">
        <v>216000</v>
      </c>
      <c r="E47" s="82">
        <v>1335800</v>
      </c>
      <c r="F47" s="97">
        <v>246100</v>
      </c>
      <c r="G47" s="98">
        <v>980500</v>
      </c>
      <c r="H47" s="98">
        <v>212500</v>
      </c>
      <c r="I47" s="82">
        <v>1439100</v>
      </c>
      <c r="J47" s="97">
        <v>488300</v>
      </c>
      <c r="K47" s="98">
        <v>1858200</v>
      </c>
      <c r="L47" s="98">
        <v>428500</v>
      </c>
      <c r="M47" s="82">
        <v>2774900</v>
      </c>
    </row>
    <row r="48" spans="1:13">
      <c r="A48" s="27" t="s">
        <v>101</v>
      </c>
      <c r="B48" s="95">
        <v>236800</v>
      </c>
      <c r="C48" s="96">
        <v>858300</v>
      </c>
      <c r="D48" s="96">
        <v>210400</v>
      </c>
      <c r="E48" s="81">
        <v>1305400</v>
      </c>
      <c r="F48" s="95">
        <v>239500</v>
      </c>
      <c r="G48" s="96">
        <v>955600</v>
      </c>
      <c r="H48" s="96">
        <v>208400</v>
      </c>
      <c r="I48" s="81">
        <v>1403500</v>
      </c>
      <c r="J48" s="95">
        <v>476300</v>
      </c>
      <c r="K48" s="96">
        <v>1813900</v>
      </c>
      <c r="L48" s="96">
        <v>418800</v>
      </c>
      <c r="M48" s="81">
        <v>2708900</v>
      </c>
    </row>
    <row r="49" spans="1:13">
      <c r="A49" s="27" t="s">
        <v>102</v>
      </c>
      <c r="B49" s="95">
        <v>223300</v>
      </c>
      <c r="C49" s="96">
        <v>825500</v>
      </c>
      <c r="D49" s="96">
        <v>203300</v>
      </c>
      <c r="E49" s="81">
        <v>1252100</v>
      </c>
      <c r="F49" s="95">
        <v>229300</v>
      </c>
      <c r="G49" s="96">
        <v>921400</v>
      </c>
      <c r="H49" s="96">
        <v>203300</v>
      </c>
      <c r="I49" s="81">
        <v>1354000</v>
      </c>
      <c r="J49" s="95">
        <v>452600</v>
      </c>
      <c r="K49" s="96">
        <v>1746900</v>
      </c>
      <c r="L49" s="96">
        <v>406600</v>
      </c>
      <c r="M49" s="81">
        <v>2606100</v>
      </c>
    </row>
    <row r="50" spans="1:13">
      <c r="A50" s="27" t="s">
        <v>103</v>
      </c>
      <c r="B50" s="95">
        <v>216400</v>
      </c>
      <c r="C50" s="96">
        <v>802700</v>
      </c>
      <c r="D50" s="96">
        <v>197500</v>
      </c>
      <c r="E50" s="81">
        <v>1216600</v>
      </c>
      <c r="F50" s="95">
        <v>223900</v>
      </c>
      <c r="G50" s="96">
        <v>887200</v>
      </c>
      <c r="H50" s="96">
        <v>196000</v>
      </c>
      <c r="I50" s="81">
        <v>1307100</v>
      </c>
      <c r="J50" s="95">
        <v>440300</v>
      </c>
      <c r="K50" s="96">
        <v>1689900</v>
      </c>
      <c r="L50" s="96">
        <v>393500</v>
      </c>
      <c r="M50" s="81">
        <v>2523800</v>
      </c>
    </row>
    <row r="51" spans="1:13">
      <c r="A51" s="80" t="s">
        <v>104</v>
      </c>
      <c r="B51" s="97">
        <v>214900</v>
      </c>
      <c r="C51" s="98">
        <v>784300</v>
      </c>
      <c r="D51" s="98">
        <v>191600</v>
      </c>
      <c r="E51" s="82">
        <v>1190800</v>
      </c>
      <c r="F51" s="97">
        <v>223300</v>
      </c>
      <c r="G51" s="98">
        <v>862700</v>
      </c>
      <c r="H51" s="98">
        <v>189500</v>
      </c>
      <c r="I51" s="82">
        <v>1275500</v>
      </c>
      <c r="J51" s="97">
        <v>438200</v>
      </c>
      <c r="K51" s="98">
        <v>1646900</v>
      </c>
      <c r="L51" s="98">
        <v>381100</v>
      </c>
      <c r="M51" s="82">
        <v>2466300</v>
      </c>
    </row>
    <row r="52" spans="1:13">
      <c r="A52" s="27" t="s">
        <v>105</v>
      </c>
      <c r="B52" s="95">
        <v>204500</v>
      </c>
      <c r="C52" s="96">
        <v>755800</v>
      </c>
      <c r="D52" s="96">
        <v>184800</v>
      </c>
      <c r="E52" s="81">
        <v>1145100</v>
      </c>
      <c r="F52" s="95">
        <v>216700</v>
      </c>
      <c r="G52" s="96">
        <v>832200</v>
      </c>
      <c r="H52" s="96">
        <v>182400</v>
      </c>
      <c r="I52" s="81">
        <v>1231300</v>
      </c>
      <c r="J52" s="95">
        <v>421200</v>
      </c>
      <c r="K52" s="96">
        <v>1588000</v>
      </c>
      <c r="L52" s="96">
        <v>367100</v>
      </c>
      <c r="M52" s="81">
        <v>2376400</v>
      </c>
    </row>
    <row r="53" spans="1:13">
      <c r="A53" s="27" t="s">
        <v>106</v>
      </c>
      <c r="B53" s="95">
        <v>197200</v>
      </c>
      <c r="C53" s="96">
        <v>734900</v>
      </c>
      <c r="D53" s="96">
        <v>177500</v>
      </c>
      <c r="E53" s="81">
        <v>1109700</v>
      </c>
      <c r="F53" s="95">
        <v>210000</v>
      </c>
      <c r="G53" s="96">
        <v>809200</v>
      </c>
      <c r="H53" s="96">
        <v>175300</v>
      </c>
      <c r="I53" s="81">
        <v>1194500</v>
      </c>
      <c r="J53" s="95">
        <v>407200</v>
      </c>
      <c r="K53" s="96">
        <v>1544100</v>
      </c>
      <c r="L53" s="96">
        <v>352900</v>
      </c>
      <c r="M53" s="81">
        <v>2304200</v>
      </c>
    </row>
    <row r="54" spans="1:13">
      <c r="A54" s="27" t="s">
        <v>107</v>
      </c>
      <c r="B54" s="95">
        <v>197400</v>
      </c>
      <c r="C54" s="96">
        <v>724100</v>
      </c>
      <c r="D54" s="96">
        <v>173900</v>
      </c>
      <c r="E54" s="81">
        <v>1095400</v>
      </c>
      <c r="F54" s="95">
        <v>208300</v>
      </c>
      <c r="G54" s="96">
        <v>794200</v>
      </c>
      <c r="H54" s="96">
        <v>171500</v>
      </c>
      <c r="I54" s="81">
        <v>1173900</v>
      </c>
      <c r="J54" s="95">
        <v>405700</v>
      </c>
      <c r="K54" s="96">
        <v>1518300</v>
      </c>
      <c r="L54" s="96">
        <v>345300</v>
      </c>
      <c r="M54" s="81">
        <v>2269300</v>
      </c>
    </row>
    <row r="55" spans="1:13">
      <c r="A55" s="80" t="s">
        <v>108</v>
      </c>
      <c r="B55" s="97">
        <v>188900</v>
      </c>
      <c r="C55" s="98">
        <v>704000</v>
      </c>
      <c r="D55" s="98">
        <v>169900</v>
      </c>
      <c r="E55" s="82">
        <v>1062800</v>
      </c>
      <c r="F55" s="97">
        <v>200100</v>
      </c>
      <c r="G55" s="98">
        <v>775100</v>
      </c>
      <c r="H55" s="98">
        <v>168200</v>
      </c>
      <c r="I55" s="82">
        <v>1143400</v>
      </c>
      <c r="J55" s="97">
        <v>389000</v>
      </c>
      <c r="K55" s="98">
        <v>1479200</v>
      </c>
      <c r="L55" s="98">
        <v>338100</v>
      </c>
      <c r="M55" s="82">
        <v>2206200</v>
      </c>
    </row>
    <row r="56" spans="1:13">
      <c r="A56" s="27" t="s">
        <v>109</v>
      </c>
      <c r="B56" s="95">
        <v>184800</v>
      </c>
      <c r="C56" s="96">
        <v>684700</v>
      </c>
      <c r="D56" s="96">
        <v>166100</v>
      </c>
      <c r="E56" s="81">
        <v>1035600</v>
      </c>
      <c r="F56" s="95">
        <v>198800</v>
      </c>
      <c r="G56" s="96">
        <v>760400</v>
      </c>
      <c r="H56" s="96">
        <v>165500</v>
      </c>
      <c r="I56" s="81">
        <v>1124700</v>
      </c>
      <c r="J56" s="95">
        <v>383600</v>
      </c>
      <c r="K56" s="96">
        <v>1445000</v>
      </c>
      <c r="L56" s="96">
        <v>331600</v>
      </c>
      <c r="M56" s="81">
        <v>2160200</v>
      </c>
    </row>
    <row r="57" spans="1:13">
      <c r="A57" s="27" t="s">
        <v>110</v>
      </c>
      <c r="B57" s="95">
        <v>191000</v>
      </c>
      <c r="C57" s="96">
        <v>686900</v>
      </c>
      <c r="D57" s="96">
        <v>167700</v>
      </c>
      <c r="E57" s="81">
        <v>1045400</v>
      </c>
      <c r="F57" s="95">
        <v>200300</v>
      </c>
      <c r="G57" s="96">
        <v>752400</v>
      </c>
      <c r="H57" s="96">
        <v>165300</v>
      </c>
      <c r="I57" s="81">
        <v>1118100</v>
      </c>
      <c r="J57" s="95">
        <v>391300</v>
      </c>
      <c r="K57" s="96">
        <v>1439300</v>
      </c>
      <c r="L57" s="96">
        <v>332900</v>
      </c>
      <c r="M57" s="81">
        <v>2163500</v>
      </c>
    </row>
    <row r="58" spans="1:13">
      <c r="A58" s="27" t="s">
        <v>111</v>
      </c>
      <c r="B58" s="95">
        <v>202100</v>
      </c>
      <c r="C58" s="96">
        <v>711300</v>
      </c>
      <c r="D58" s="96">
        <v>171700</v>
      </c>
      <c r="E58" s="81">
        <v>1085100</v>
      </c>
      <c r="F58" s="95">
        <v>205000</v>
      </c>
      <c r="G58" s="96">
        <v>761100</v>
      </c>
      <c r="H58" s="96">
        <v>167200</v>
      </c>
      <c r="I58" s="81">
        <v>1133300</v>
      </c>
      <c r="J58" s="95">
        <v>407000</v>
      </c>
      <c r="K58" s="96">
        <v>1472500</v>
      </c>
      <c r="L58" s="96">
        <v>338900</v>
      </c>
      <c r="M58" s="81">
        <v>2218400</v>
      </c>
    </row>
    <row r="59" spans="1:13">
      <c r="A59" s="80" t="s">
        <v>112</v>
      </c>
      <c r="B59" s="97">
        <v>227500</v>
      </c>
      <c r="C59" s="98">
        <v>762600</v>
      </c>
      <c r="D59" s="98">
        <v>181200</v>
      </c>
      <c r="E59" s="82">
        <v>1171300</v>
      </c>
      <c r="F59" s="97">
        <v>216300</v>
      </c>
      <c r="G59" s="98">
        <v>780700</v>
      </c>
      <c r="H59" s="98">
        <v>171100</v>
      </c>
      <c r="I59" s="82">
        <v>1168100</v>
      </c>
      <c r="J59" s="97">
        <v>443900</v>
      </c>
      <c r="K59" s="98">
        <v>1543200</v>
      </c>
      <c r="L59" s="98">
        <v>352300</v>
      </c>
      <c r="M59" s="82">
        <v>2339400</v>
      </c>
    </row>
    <row r="60" spans="1:13">
      <c r="A60" s="27" t="s">
        <v>113</v>
      </c>
      <c r="B60" s="95">
        <v>263400</v>
      </c>
      <c r="C60" s="96">
        <v>843900</v>
      </c>
      <c r="D60" s="96">
        <v>197900</v>
      </c>
      <c r="E60" s="81">
        <v>1305100</v>
      </c>
      <c r="F60" s="95">
        <v>233600</v>
      </c>
      <c r="G60" s="96">
        <v>818400</v>
      </c>
      <c r="H60" s="96">
        <v>180500</v>
      </c>
      <c r="I60" s="81">
        <v>1232500</v>
      </c>
      <c r="J60" s="95">
        <v>497000</v>
      </c>
      <c r="K60" s="96">
        <v>1662300</v>
      </c>
      <c r="L60" s="96">
        <v>378300</v>
      </c>
      <c r="M60" s="81">
        <v>2537600</v>
      </c>
    </row>
    <row r="61" spans="1:13">
      <c r="A61" s="27" t="s">
        <v>114</v>
      </c>
      <c r="B61" s="95">
        <v>287300</v>
      </c>
      <c r="C61" s="96">
        <v>906600</v>
      </c>
      <c r="D61" s="96">
        <v>214400</v>
      </c>
      <c r="E61" s="81">
        <v>1408400</v>
      </c>
      <c r="F61" s="95">
        <v>245600</v>
      </c>
      <c r="G61" s="96">
        <v>850800</v>
      </c>
      <c r="H61" s="96">
        <v>191100</v>
      </c>
      <c r="I61" s="81">
        <v>1287400</v>
      </c>
      <c r="J61" s="95">
        <v>532900</v>
      </c>
      <c r="K61" s="96">
        <v>1757400</v>
      </c>
      <c r="L61" s="96">
        <v>405500</v>
      </c>
      <c r="M61" s="81">
        <v>2695800</v>
      </c>
    </row>
    <row r="62" spans="1:13">
      <c r="A62" s="27" t="s">
        <v>115</v>
      </c>
      <c r="B62" s="95">
        <v>289000</v>
      </c>
      <c r="C62" s="96">
        <v>936600</v>
      </c>
      <c r="D62" s="96">
        <v>227600</v>
      </c>
      <c r="E62" s="81">
        <v>1453200</v>
      </c>
      <c r="F62" s="95">
        <v>248400</v>
      </c>
      <c r="G62" s="96">
        <v>868900</v>
      </c>
      <c r="H62" s="96">
        <v>201000</v>
      </c>
      <c r="I62" s="81">
        <v>1318300</v>
      </c>
      <c r="J62" s="95">
        <v>537400</v>
      </c>
      <c r="K62" s="96">
        <v>1805500</v>
      </c>
      <c r="L62" s="96">
        <v>428500</v>
      </c>
      <c r="M62" s="81">
        <v>2771500</v>
      </c>
    </row>
    <row r="63" spans="1:13">
      <c r="A63" s="80" t="s">
        <v>116</v>
      </c>
      <c r="B63" s="97">
        <v>294000</v>
      </c>
      <c r="C63" s="98">
        <v>963800</v>
      </c>
      <c r="D63" s="98">
        <v>240000</v>
      </c>
      <c r="E63" s="82">
        <v>1497800</v>
      </c>
      <c r="F63" s="97">
        <v>252400</v>
      </c>
      <c r="G63" s="98">
        <v>885400</v>
      </c>
      <c r="H63" s="98">
        <v>208700</v>
      </c>
      <c r="I63" s="82">
        <v>1346600</v>
      </c>
      <c r="J63" s="97">
        <v>546400</v>
      </c>
      <c r="K63" s="98">
        <v>1849200</v>
      </c>
      <c r="L63" s="98">
        <v>448700</v>
      </c>
      <c r="M63" s="82">
        <v>2844400</v>
      </c>
    </row>
    <row r="64" spans="1:13">
      <c r="A64" s="27" t="s">
        <v>117</v>
      </c>
      <c r="B64" s="95">
        <v>289100</v>
      </c>
      <c r="C64" s="96">
        <v>972500</v>
      </c>
      <c r="D64" s="96">
        <v>251000</v>
      </c>
      <c r="E64" s="81">
        <v>1512700</v>
      </c>
      <c r="F64" s="95">
        <v>251900</v>
      </c>
      <c r="G64" s="96">
        <v>892000</v>
      </c>
      <c r="H64" s="96">
        <v>216600</v>
      </c>
      <c r="I64" s="81">
        <v>1360500</v>
      </c>
      <c r="J64" s="95">
        <v>541000</v>
      </c>
      <c r="K64" s="96">
        <v>1864500</v>
      </c>
      <c r="L64" s="96">
        <v>467700</v>
      </c>
      <c r="M64" s="81">
        <v>2873200</v>
      </c>
    </row>
    <row r="65" spans="1:13">
      <c r="A65" s="27" t="s">
        <v>118</v>
      </c>
      <c r="B65" s="95">
        <v>284400</v>
      </c>
      <c r="C65" s="96">
        <v>974000</v>
      </c>
      <c r="D65" s="96">
        <v>260200</v>
      </c>
      <c r="E65" s="81">
        <v>1518500</v>
      </c>
      <c r="F65" s="95">
        <v>253200</v>
      </c>
      <c r="G65" s="96">
        <v>901600</v>
      </c>
      <c r="H65" s="96">
        <v>225500</v>
      </c>
      <c r="I65" s="81">
        <v>1380300</v>
      </c>
      <c r="J65" s="95">
        <v>537500</v>
      </c>
      <c r="K65" s="96">
        <v>1875600</v>
      </c>
      <c r="L65" s="96">
        <v>485700</v>
      </c>
      <c r="M65" s="81">
        <v>2898800</v>
      </c>
    </row>
    <row r="66" spans="1:13">
      <c r="A66" s="27" t="s">
        <v>119</v>
      </c>
      <c r="B66" s="95">
        <v>276200</v>
      </c>
      <c r="C66" s="96">
        <v>971500</v>
      </c>
      <c r="D66" s="96">
        <v>269000</v>
      </c>
      <c r="E66" s="81">
        <v>1516700</v>
      </c>
      <c r="F66" s="95">
        <v>250500</v>
      </c>
      <c r="G66" s="96">
        <v>905800</v>
      </c>
      <c r="H66" s="96">
        <v>233900</v>
      </c>
      <c r="I66" s="81">
        <v>1390200</v>
      </c>
      <c r="J66" s="95">
        <v>526600</v>
      </c>
      <c r="K66" s="96">
        <v>1877300</v>
      </c>
      <c r="L66" s="96">
        <v>503000</v>
      </c>
      <c r="M66" s="81">
        <v>2906900</v>
      </c>
    </row>
    <row r="67" spans="1:13">
      <c r="A67" s="80" t="s">
        <v>120</v>
      </c>
      <c r="B67" s="97">
        <v>266000</v>
      </c>
      <c r="C67" s="98">
        <v>962500</v>
      </c>
      <c r="D67" s="98">
        <v>277400</v>
      </c>
      <c r="E67" s="82">
        <v>1505900</v>
      </c>
      <c r="F67" s="97">
        <v>247800</v>
      </c>
      <c r="G67" s="98">
        <v>912600</v>
      </c>
      <c r="H67" s="98">
        <v>242800</v>
      </c>
      <c r="I67" s="82">
        <v>1403100</v>
      </c>
      <c r="J67" s="97">
        <v>513800</v>
      </c>
      <c r="K67" s="98">
        <v>1875100</v>
      </c>
      <c r="L67" s="98">
        <v>520200</v>
      </c>
      <c r="M67" s="82">
        <v>2909000</v>
      </c>
    </row>
    <row r="68" spans="1:13">
      <c r="A68" s="27" t="s">
        <v>121</v>
      </c>
      <c r="B68" s="95">
        <v>262700</v>
      </c>
      <c r="C68" s="96">
        <v>952100</v>
      </c>
      <c r="D68" s="96">
        <v>284300</v>
      </c>
      <c r="E68" s="81">
        <v>1499000</v>
      </c>
      <c r="F68" s="95">
        <v>250500</v>
      </c>
      <c r="G68" s="96">
        <v>922200</v>
      </c>
      <c r="H68" s="96">
        <v>252600</v>
      </c>
      <c r="I68" s="81">
        <v>1425300</v>
      </c>
      <c r="J68" s="95">
        <v>513200</v>
      </c>
      <c r="K68" s="96">
        <v>1874300</v>
      </c>
      <c r="L68" s="96">
        <v>536900</v>
      </c>
      <c r="M68" s="81">
        <v>2924300</v>
      </c>
    </row>
    <row r="69" spans="1:13">
      <c r="A69" s="27" t="s">
        <v>122</v>
      </c>
      <c r="B69" s="95">
        <v>260900</v>
      </c>
      <c r="C69" s="96">
        <v>948900</v>
      </c>
      <c r="D69" s="96">
        <v>292200</v>
      </c>
      <c r="E69" s="81">
        <v>1502000</v>
      </c>
      <c r="F69" s="95">
        <v>250200</v>
      </c>
      <c r="G69" s="96">
        <v>924400</v>
      </c>
      <c r="H69" s="96">
        <v>261000</v>
      </c>
      <c r="I69" s="81">
        <v>1435700</v>
      </c>
      <c r="J69" s="95">
        <v>511100</v>
      </c>
      <c r="K69" s="96">
        <v>1873300</v>
      </c>
      <c r="L69" s="96">
        <v>553200</v>
      </c>
      <c r="M69" s="81">
        <v>2937600</v>
      </c>
    </row>
    <row r="70" spans="1:13">
      <c r="A70" s="27" t="s">
        <v>123</v>
      </c>
      <c r="B70" s="95">
        <v>262300</v>
      </c>
      <c r="C70" s="96">
        <v>960800</v>
      </c>
      <c r="D70" s="96">
        <v>303000</v>
      </c>
      <c r="E70" s="81">
        <v>1526100</v>
      </c>
      <c r="F70" s="95">
        <v>252700</v>
      </c>
      <c r="G70" s="96">
        <v>940800</v>
      </c>
      <c r="H70" s="96">
        <v>273300</v>
      </c>
      <c r="I70" s="81">
        <v>1466800</v>
      </c>
      <c r="J70" s="95">
        <v>515000</v>
      </c>
      <c r="K70" s="96">
        <v>1901700</v>
      </c>
      <c r="L70" s="96">
        <v>576300</v>
      </c>
      <c r="M70" s="81">
        <v>2992900</v>
      </c>
    </row>
    <row r="71" spans="1:13">
      <c r="A71" s="80" t="s">
        <v>124</v>
      </c>
      <c r="B71" s="97">
        <v>267100</v>
      </c>
      <c r="C71" s="98">
        <v>972900</v>
      </c>
      <c r="D71" s="98">
        <v>315100</v>
      </c>
      <c r="E71" s="82">
        <v>1555100</v>
      </c>
      <c r="F71" s="97">
        <v>256400</v>
      </c>
      <c r="G71" s="98">
        <v>956500</v>
      </c>
      <c r="H71" s="98">
        <v>285300</v>
      </c>
      <c r="I71" s="82">
        <v>1498200</v>
      </c>
      <c r="J71" s="97">
        <v>523400</v>
      </c>
      <c r="K71" s="98">
        <v>1929300</v>
      </c>
      <c r="L71" s="98">
        <v>600500</v>
      </c>
      <c r="M71" s="82">
        <v>3053300</v>
      </c>
    </row>
    <row r="72" spans="1:13">
      <c r="A72" s="27" t="s">
        <v>125</v>
      </c>
      <c r="B72" s="95">
        <v>273900</v>
      </c>
      <c r="C72" s="96">
        <v>990800</v>
      </c>
      <c r="D72" s="96">
        <v>327400</v>
      </c>
      <c r="E72" s="81">
        <v>1592100</v>
      </c>
      <c r="F72" s="95">
        <v>258500</v>
      </c>
      <c r="G72" s="96">
        <v>964500</v>
      </c>
      <c r="H72" s="96">
        <v>295200</v>
      </c>
      <c r="I72" s="81">
        <v>1518200</v>
      </c>
      <c r="J72" s="95">
        <v>532400</v>
      </c>
      <c r="K72" s="96">
        <v>1955200</v>
      </c>
      <c r="L72" s="96">
        <v>622600</v>
      </c>
      <c r="M72" s="81">
        <v>3110200</v>
      </c>
    </row>
    <row r="73" spans="1:13">
      <c r="A73" s="27" t="s">
        <v>126</v>
      </c>
      <c r="B73" s="95">
        <v>277800</v>
      </c>
      <c r="C73" s="96">
        <v>1005000</v>
      </c>
      <c r="D73" s="96">
        <v>338600</v>
      </c>
      <c r="E73" s="81">
        <v>1621400</v>
      </c>
      <c r="F73" s="95">
        <v>260300</v>
      </c>
      <c r="G73" s="96">
        <v>972800</v>
      </c>
      <c r="H73" s="96">
        <v>305200</v>
      </c>
      <c r="I73" s="81">
        <v>1538300</v>
      </c>
      <c r="J73" s="95">
        <v>538200</v>
      </c>
      <c r="K73" s="96">
        <v>1977800</v>
      </c>
      <c r="L73" s="96">
        <v>643800</v>
      </c>
      <c r="M73" s="81">
        <v>3159800</v>
      </c>
    </row>
    <row r="74" spans="1:13">
      <c r="A74" s="27" t="s">
        <v>127</v>
      </c>
      <c r="B74" s="95">
        <v>290200</v>
      </c>
      <c r="C74" s="96">
        <v>1033800</v>
      </c>
      <c r="D74" s="96">
        <v>354600</v>
      </c>
      <c r="E74" s="81">
        <v>1678500</v>
      </c>
      <c r="F74" s="95">
        <v>267600</v>
      </c>
      <c r="G74" s="96">
        <v>993000</v>
      </c>
      <c r="H74" s="96">
        <v>319100</v>
      </c>
      <c r="I74" s="81">
        <v>1579700</v>
      </c>
      <c r="J74" s="95">
        <v>557800</v>
      </c>
      <c r="K74" s="96">
        <v>2026800</v>
      </c>
      <c r="L74" s="96">
        <v>673700</v>
      </c>
      <c r="M74" s="81">
        <v>3258300</v>
      </c>
    </row>
    <row r="75" spans="1:13">
      <c r="A75" s="80" t="s">
        <v>128</v>
      </c>
      <c r="B75" s="97">
        <v>302200</v>
      </c>
      <c r="C75" s="98">
        <v>1065900</v>
      </c>
      <c r="D75" s="98">
        <v>370700</v>
      </c>
      <c r="E75" s="82">
        <v>1738800</v>
      </c>
      <c r="F75" s="97">
        <v>273300</v>
      </c>
      <c r="G75" s="98">
        <v>1016200</v>
      </c>
      <c r="H75" s="98">
        <v>333400</v>
      </c>
      <c r="I75" s="82">
        <v>1622800</v>
      </c>
      <c r="J75" s="97">
        <v>575400</v>
      </c>
      <c r="K75" s="98">
        <v>2082100</v>
      </c>
      <c r="L75" s="98">
        <v>704100</v>
      </c>
      <c r="M75" s="82">
        <v>3361600</v>
      </c>
    </row>
    <row r="76" spans="1:13">
      <c r="A76" s="27" t="s">
        <v>129</v>
      </c>
      <c r="B76" s="95">
        <v>309200</v>
      </c>
      <c r="C76" s="96">
        <v>1096300</v>
      </c>
      <c r="D76" s="96">
        <v>383300</v>
      </c>
      <c r="E76" s="81">
        <v>1788800</v>
      </c>
      <c r="F76" s="95">
        <v>278300</v>
      </c>
      <c r="G76" s="96">
        <v>1036800</v>
      </c>
      <c r="H76" s="96">
        <v>344700</v>
      </c>
      <c r="I76" s="81">
        <v>1659700</v>
      </c>
      <c r="J76" s="95">
        <v>587400</v>
      </c>
      <c r="K76" s="96">
        <v>2133100</v>
      </c>
      <c r="L76" s="96">
        <v>728000</v>
      </c>
      <c r="M76" s="81">
        <v>3448500</v>
      </c>
    </row>
    <row r="77" spans="1:13">
      <c r="A77" s="27" t="s">
        <v>130</v>
      </c>
      <c r="B77" s="95">
        <v>313300</v>
      </c>
      <c r="C77" s="96">
        <v>1118100</v>
      </c>
      <c r="D77" s="96">
        <v>395700</v>
      </c>
      <c r="E77" s="81">
        <v>1827100</v>
      </c>
      <c r="F77" s="95">
        <v>281800</v>
      </c>
      <c r="G77" s="96">
        <v>1055000</v>
      </c>
      <c r="H77" s="96">
        <v>356700</v>
      </c>
      <c r="I77" s="81">
        <v>1693500</v>
      </c>
      <c r="J77" s="95">
        <v>595100</v>
      </c>
      <c r="K77" s="96">
        <v>2173100</v>
      </c>
      <c r="L77" s="96">
        <v>752400</v>
      </c>
      <c r="M77" s="81">
        <v>3520600</v>
      </c>
    </row>
    <row r="78" spans="1:13">
      <c r="A78" s="27" t="s">
        <v>131</v>
      </c>
      <c r="B78" s="95">
        <v>307100</v>
      </c>
      <c r="C78" s="96">
        <v>1121400</v>
      </c>
      <c r="D78" s="96">
        <v>404000</v>
      </c>
      <c r="E78" s="81">
        <v>1832600</v>
      </c>
      <c r="F78" s="95">
        <v>275300</v>
      </c>
      <c r="G78" s="96">
        <v>1055000</v>
      </c>
      <c r="H78" s="96">
        <v>363900</v>
      </c>
      <c r="I78" s="81">
        <v>1694200</v>
      </c>
      <c r="J78" s="95">
        <v>582400</v>
      </c>
      <c r="K78" s="96">
        <v>2176400</v>
      </c>
      <c r="L78" s="96">
        <v>767900</v>
      </c>
      <c r="M78" s="81">
        <v>3526700</v>
      </c>
    </row>
    <row r="79" spans="1:13">
      <c r="A79" s="80" t="s">
        <v>132</v>
      </c>
      <c r="B79" s="97">
        <v>305900</v>
      </c>
      <c r="C79" s="98">
        <v>1125100</v>
      </c>
      <c r="D79" s="98">
        <v>414900</v>
      </c>
      <c r="E79" s="82">
        <v>1846000</v>
      </c>
      <c r="F79" s="97">
        <v>271900</v>
      </c>
      <c r="G79" s="98">
        <v>1058400</v>
      </c>
      <c r="H79" s="98">
        <v>372500</v>
      </c>
      <c r="I79" s="82">
        <v>1702900</v>
      </c>
      <c r="J79" s="97">
        <v>577800</v>
      </c>
      <c r="K79" s="98">
        <v>2183500</v>
      </c>
      <c r="L79" s="98">
        <v>787500</v>
      </c>
      <c r="M79" s="82">
        <v>3548800</v>
      </c>
    </row>
    <row r="80" spans="1:13">
      <c r="A80" s="27" t="s">
        <v>133</v>
      </c>
      <c r="B80" s="95">
        <v>307200</v>
      </c>
      <c r="C80" s="96">
        <v>1140000</v>
      </c>
      <c r="D80" s="96">
        <v>429700</v>
      </c>
      <c r="E80" s="81">
        <v>1876900</v>
      </c>
      <c r="F80" s="95">
        <v>270900</v>
      </c>
      <c r="G80" s="96">
        <v>1066500</v>
      </c>
      <c r="H80" s="96">
        <v>384800</v>
      </c>
      <c r="I80" s="81">
        <v>1722200</v>
      </c>
      <c r="J80" s="95">
        <v>578100</v>
      </c>
      <c r="K80" s="96">
        <v>2206500</v>
      </c>
      <c r="L80" s="96">
        <v>814500</v>
      </c>
      <c r="M80" s="81">
        <v>3599100</v>
      </c>
    </row>
    <row r="81" spans="1:13">
      <c r="A81" s="27" t="s">
        <v>134</v>
      </c>
      <c r="B81" s="95">
        <v>306100</v>
      </c>
      <c r="C81" s="96">
        <v>1157800</v>
      </c>
      <c r="D81" s="96">
        <v>444100</v>
      </c>
      <c r="E81" s="81">
        <v>1907900</v>
      </c>
      <c r="F81" s="95">
        <v>267700</v>
      </c>
      <c r="G81" s="96">
        <v>1074400</v>
      </c>
      <c r="H81" s="96">
        <v>396100</v>
      </c>
      <c r="I81" s="81">
        <v>1738200</v>
      </c>
      <c r="J81" s="95">
        <v>573800</v>
      </c>
      <c r="K81" s="96">
        <v>2232200</v>
      </c>
      <c r="L81" s="96">
        <v>840100</v>
      </c>
      <c r="M81" s="81">
        <v>3646200</v>
      </c>
    </row>
    <row r="82" spans="1:13">
      <c r="A82" s="27" t="s">
        <v>135</v>
      </c>
      <c r="B82" s="95">
        <v>305500</v>
      </c>
      <c r="C82" s="96">
        <v>1168700</v>
      </c>
      <c r="D82" s="96">
        <v>453800</v>
      </c>
      <c r="E82" s="81">
        <v>1928000</v>
      </c>
      <c r="F82" s="95">
        <v>267000</v>
      </c>
      <c r="G82" s="96">
        <v>1080800</v>
      </c>
      <c r="H82" s="96">
        <v>403900</v>
      </c>
      <c r="I82" s="81">
        <v>1751700</v>
      </c>
      <c r="J82" s="95">
        <v>572400</v>
      </c>
      <c r="K82" s="96">
        <v>2249500</v>
      </c>
      <c r="L82" s="96">
        <v>857700</v>
      </c>
      <c r="M82" s="81">
        <v>3679600</v>
      </c>
    </row>
    <row r="83" spans="1:13">
      <c r="A83" s="80" t="s">
        <v>136</v>
      </c>
      <c r="B83" s="97">
        <v>312400</v>
      </c>
      <c r="C83" s="98">
        <v>1184600</v>
      </c>
      <c r="D83" s="98">
        <v>462800</v>
      </c>
      <c r="E83" s="82">
        <v>1959700</v>
      </c>
      <c r="F83" s="97">
        <v>271700</v>
      </c>
      <c r="G83" s="98">
        <v>1091300</v>
      </c>
      <c r="H83" s="98">
        <v>411700</v>
      </c>
      <c r="I83" s="82">
        <v>1774700</v>
      </c>
      <c r="J83" s="97">
        <v>584100</v>
      </c>
      <c r="K83" s="98">
        <v>2275900</v>
      </c>
      <c r="L83" s="98">
        <v>874500</v>
      </c>
      <c r="M83" s="82">
        <v>3734500</v>
      </c>
    </row>
    <row r="84" spans="1:13">
      <c r="A84" s="27" t="s">
        <v>137</v>
      </c>
      <c r="B84" s="95">
        <v>311500</v>
      </c>
      <c r="C84" s="96">
        <v>1194100</v>
      </c>
      <c r="D84" s="96">
        <v>470700</v>
      </c>
      <c r="E84" s="81">
        <v>1976300</v>
      </c>
      <c r="F84" s="95">
        <v>271200</v>
      </c>
      <c r="G84" s="96">
        <v>1100100</v>
      </c>
      <c r="H84" s="96">
        <v>418700</v>
      </c>
      <c r="I84" s="81">
        <v>1790000</v>
      </c>
      <c r="J84" s="95">
        <v>582700</v>
      </c>
      <c r="K84" s="96">
        <v>2294200</v>
      </c>
      <c r="L84" s="96">
        <v>889400</v>
      </c>
      <c r="M84" s="81">
        <v>3766300</v>
      </c>
    </row>
    <row r="85" spans="1:13">
      <c r="A85" s="27" t="s">
        <v>138</v>
      </c>
      <c r="B85" s="95">
        <v>312600</v>
      </c>
      <c r="C85" s="96">
        <v>1207600</v>
      </c>
      <c r="D85" s="96">
        <v>483200</v>
      </c>
      <c r="E85" s="81">
        <v>2003300</v>
      </c>
      <c r="F85" s="95">
        <v>269900</v>
      </c>
      <c r="G85" s="96">
        <v>1112500</v>
      </c>
      <c r="H85" s="96">
        <v>430700</v>
      </c>
      <c r="I85" s="81">
        <v>1813100</v>
      </c>
      <c r="J85" s="95">
        <v>582400</v>
      </c>
      <c r="K85" s="96">
        <v>2320100</v>
      </c>
      <c r="L85" s="96">
        <v>913900</v>
      </c>
      <c r="M85" s="81">
        <v>3816400</v>
      </c>
    </row>
    <row r="86" spans="1:13">
      <c r="A86" s="27" t="s">
        <v>139</v>
      </c>
      <c r="B86" s="95">
        <v>302400</v>
      </c>
      <c r="C86" s="96">
        <v>1199300</v>
      </c>
      <c r="D86" s="96">
        <v>491900</v>
      </c>
      <c r="E86" s="81">
        <v>1993600</v>
      </c>
      <c r="F86" s="95">
        <v>262600</v>
      </c>
      <c r="G86" s="96">
        <v>1109700</v>
      </c>
      <c r="H86" s="96">
        <v>441600</v>
      </c>
      <c r="I86" s="81">
        <v>1813900</v>
      </c>
      <c r="J86" s="95">
        <v>565000</v>
      </c>
      <c r="K86" s="96">
        <v>2309100</v>
      </c>
      <c r="L86" s="96">
        <v>933500</v>
      </c>
      <c r="M86" s="81">
        <v>3807500</v>
      </c>
    </row>
    <row r="87" spans="1:13">
      <c r="A87" s="80" t="s">
        <v>140</v>
      </c>
      <c r="B87" s="97">
        <v>299900</v>
      </c>
      <c r="C87" s="98">
        <v>1202500</v>
      </c>
      <c r="D87" s="98">
        <v>499600</v>
      </c>
      <c r="E87" s="82">
        <v>2001900</v>
      </c>
      <c r="F87" s="97">
        <v>261100</v>
      </c>
      <c r="G87" s="98">
        <v>1122700</v>
      </c>
      <c r="H87" s="98">
        <v>450100</v>
      </c>
      <c r="I87" s="82">
        <v>1833800</v>
      </c>
      <c r="J87" s="97">
        <v>561000</v>
      </c>
      <c r="K87" s="98">
        <v>2325100</v>
      </c>
      <c r="L87" s="98">
        <v>949700</v>
      </c>
      <c r="M87" s="82">
        <v>3835800</v>
      </c>
    </row>
    <row r="88" spans="1:13">
      <c r="A88" s="27" t="s">
        <v>141</v>
      </c>
      <c r="B88" s="95">
        <v>294600</v>
      </c>
      <c r="C88" s="96">
        <v>1196600</v>
      </c>
      <c r="D88" s="96">
        <v>502500</v>
      </c>
      <c r="E88" s="81">
        <v>1993600</v>
      </c>
      <c r="F88" s="95">
        <v>257200</v>
      </c>
      <c r="G88" s="96">
        <v>1120400</v>
      </c>
      <c r="H88" s="96">
        <v>453200</v>
      </c>
      <c r="I88" s="81">
        <v>1830700</v>
      </c>
      <c r="J88" s="95">
        <v>551700</v>
      </c>
      <c r="K88" s="96">
        <v>2316900</v>
      </c>
      <c r="L88" s="96">
        <v>955700</v>
      </c>
      <c r="M88" s="81">
        <v>3824300</v>
      </c>
    </row>
    <row r="89" spans="1:13">
      <c r="A89" s="27" t="s">
        <v>142</v>
      </c>
      <c r="B89" s="95">
        <v>288800</v>
      </c>
      <c r="C89" s="96">
        <v>1180600</v>
      </c>
      <c r="D89" s="96">
        <v>503800</v>
      </c>
      <c r="E89" s="81">
        <v>1973200</v>
      </c>
      <c r="F89" s="95">
        <v>251600</v>
      </c>
      <c r="G89" s="96">
        <v>1102000</v>
      </c>
      <c r="H89" s="96">
        <v>452700</v>
      </c>
      <c r="I89" s="81">
        <v>1806200</v>
      </c>
      <c r="J89" s="95">
        <v>540400</v>
      </c>
      <c r="K89" s="96">
        <v>2282600</v>
      </c>
      <c r="L89" s="96">
        <v>956400</v>
      </c>
      <c r="M89" s="81">
        <v>3779400</v>
      </c>
    </row>
    <row r="90" spans="1:13">
      <c r="A90" s="27" t="s">
        <v>143</v>
      </c>
      <c r="B90" s="95">
        <v>282000</v>
      </c>
      <c r="C90" s="96">
        <v>1167400</v>
      </c>
      <c r="D90" s="96">
        <v>505200</v>
      </c>
      <c r="E90" s="81">
        <v>1954600</v>
      </c>
      <c r="F90" s="95">
        <v>248200</v>
      </c>
      <c r="G90" s="96">
        <v>1098500</v>
      </c>
      <c r="H90" s="96">
        <v>455400</v>
      </c>
      <c r="I90" s="81">
        <v>1802200</v>
      </c>
      <c r="J90" s="95">
        <v>530200</v>
      </c>
      <c r="K90" s="96">
        <v>2266000</v>
      </c>
      <c r="L90" s="96">
        <v>960700</v>
      </c>
      <c r="M90" s="81">
        <v>3756800</v>
      </c>
    </row>
    <row r="91" spans="1:13">
      <c r="A91" s="80" t="s">
        <v>144</v>
      </c>
      <c r="B91" s="97">
        <v>273400</v>
      </c>
      <c r="C91" s="98">
        <v>1151000</v>
      </c>
      <c r="D91" s="98">
        <v>507600</v>
      </c>
      <c r="E91" s="82">
        <v>1932000</v>
      </c>
      <c r="F91" s="97">
        <v>241700</v>
      </c>
      <c r="G91" s="98">
        <v>1091500</v>
      </c>
      <c r="H91" s="98">
        <v>461300</v>
      </c>
      <c r="I91" s="82">
        <v>1794400</v>
      </c>
      <c r="J91" s="97">
        <v>515100</v>
      </c>
      <c r="K91" s="98">
        <v>2242500</v>
      </c>
      <c r="L91" s="98">
        <v>968800</v>
      </c>
      <c r="M91" s="82">
        <v>3726300</v>
      </c>
    </row>
    <row r="92" spans="1:13">
      <c r="A92" s="27" t="s">
        <v>145</v>
      </c>
      <c r="B92" s="95">
        <v>272400</v>
      </c>
      <c r="C92" s="96">
        <v>1150600</v>
      </c>
      <c r="D92" s="96">
        <v>513500</v>
      </c>
      <c r="E92" s="81">
        <v>1936600</v>
      </c>
      <c r="F92" s="95">
        <v>242300</v>
      </c>
      <c r="G92" s="96">
        <v>1100500</v>
      </c>
      <c r="H92" s="96">
        <v>470400</v>
      </c>
      <c r="I92" s="81">
        <v>1813300</v>
      </c>
      <c r="J92" s="95">
        <v>514700</v>
      </c>
      <c r="K92" s="96">
        <v>2251200</v>
      </c>
      <c r="L92" s="96">
        <v>984000</v>
      </c>
      <c r="M92" s="81">
        <v>3749900</v>
      </c>
    </row>
    <row r="93" spans="1:13">
      <c r="A93" s="27" t="s">
        <v>146</v>
      </c>
      <c r="B93" s="95">
        <v>266700</v>
      </c>
      <c r="C93" s="96">
        <v>1142500</v>
      </c>
      <c r="D93" s="96">
        <v>514100</v>
      </c>
      <c r="E93" s="81">
        <v>1923400</v>
      </c>
      <c r="F93" s="95">
        <v>239900</v>
      </c>
      <c r="G93" s="96">
        <v>1107000</v>
      </c>
      <c r="H93" s="96">
        <v>473800</v>
      </c>
      <c r="I93" s="81">
        <v>1820800</v>
      </c>
      <c r="J93" s="95">
        <v>506700</v>
      </c>
      <c r="K93" s="96">
        <v>2249500</v>
      </c>
      <c r="L93" s="96">
        <v>987900</v>
      </c>
      <c r="M93" s="81">
        <v>3744200</v>
      </c>
    </row>
    <row r="94" spans="1:13">
      <c r="A94" s="27" t="s">
        <v>147</v>
      </c>
      <c r="B94" s="95">
        <v>263600</v>
      </c>
      <c r="C94" s="96">
        <v>1135100</v>
      </c>
      <c r="D94" s="96">
        <v>515200</v>
      </c>
      <c r="E94" s="81">
        <v>1913900</v>
      </c>
      <c r="F94" s="95">
        <v>239000</v>
      </c>
      <c r="G94" s="96">
        <v>1112900</v>
      </c>
      <c r="H94" s="96">
        <v>477000</v>
      </c>
      <c r="I94" s="81">
        <v>1828800</v>
      </c>
      <c r="J94" s="95">
        <v>502600</v>
      </c>
      <c r="K94" s="96">
        <v>2248000</v>
      </c>
      <c r="L94" s="96">
        <v>992100</v>
      </c>
      <c r="M94" s="81">
        <v>3742700</v>
      </c>
    </row>
    <row r="95" spans="1:13">
      <c r="A95" s="80" t="s">
        <v>148</v>
      </c>
      <c r="B95" s="97">
        <v>259400</v>
      </c>
      <c r="C95" s="98">
        <v>1120500</v>
      </c>
      <c r="D95" s="98">
        <v>514500</v>
      </c>
      <c r="E95" s="82">
        <v>1894300</v>
      </c>
      <c r="F95" s="97">
        <v>238700</v>
      </c>
      <c r="G95" s="98">
        <v>1114200</v>
      </c>
      <c r="H95" s="98">
        <v>480900</v>
      </c>
      <c r="I95" s="82">
        <v>1833800</v>
      </c>
      <c r="J95" s="97">
        <v>498100</v>
      </c>
      <c r="K95" s="98">
        <v>2234700</v>
      </c>
      <c r="L95" s="98">
        <v>995400</v>
      </c>
      <c r="M95" s="82">
        <v>3728200</v>
      </c>
    </row>
    <row r="96" spans="1:13">
      <c r="A96" s="27" t="s">
        <v>149</v>
      </c>
      <c r="B96" s="95">
        <v>257300</v>
      </c>
      <c r="C96" s="96">
        <v>1109300</v>
      </c>
      <c r="D96" s="96">
        <v>511700</v>
      </c>
      <c r="E96" s="81">
        <v>1878300</v>
      </c>
      <c r="F96" s="95">
        <v>239000</v>
      </c>
      <c r="G96" s="96">
        <v>1111000</v>
      </c>
      <c r="H96" s="96">
        <v>481400</v>
      </c>
      <c r="I96" s="81">
        <v>1831500</v>
      </c>
      <c r="J96" s="95">
        <v>496300</v>
      </c>
      <c r="K96" s="96">
        <v>2220300</v>
      </c>
      <c r="L96" s="96">
        <v>993100</v>
      </c>
      <c r="M96" s="81">
        <v>3709700</v>
      </c>
    </row>
    <row r="97" spans="1:13">
      <c r="A97" s="27" t="s">
        <v>150</v>
      </c>
      <c r="B97" s="95">
        <v>258100</v>
      </c>
      <c r="C97" s="96">
        <v>1102400</v>
      </c>
      <c r="D97" s="96">
        <v>511700</v>
      </c>
      <c r="E97" s="81">
        <v>1872100</v>
      </c>
      <c r="F97" s="95">
        <v>239400</v>
      </c>
      <c r="G97" s="96">
        <v>1108700</v>
      </c>
      <c r="H97" s="96">
        <v>483600</v>
      </c>
      <c r="I97" s="81">
        <v>1831600</v>
      </c>
      <c r="J97" s="95">
        <v>497400</v>
      </c>
      <c r="K97" s="96">
        <v>2211100</v>
      </c>
      <c r="L97" s="96">
        <v>995300</v>
      </c>
      <c r="M97" s="81">
        <v>3703800</v>
      </c>
    </row>
    <row r="98" spans="1:13">
      <c r="A98" s="27" t="s">
        <v>151</v>
      </c>
      <c r="B98" s="95">
        <v>258500</v>
      </c>
      <c r="C98" s="96">
        <v>1100300</v>
      </c>
      <c r="D98" s="96">
        <v>512900</v>
      </c>
      <c r="E98" s="81">
        <v>1871600</v>
      </c>
      <c r="F98" s="95">
        <v>237800</v>
      </c>
      <c r="G98" s="96">
        <v>1103100</v>
      </c>
      <c r="H98" s="96">
        <v>485700</v>
      </c>
      <c r="I98" s="81">
        <v>1826600</v>
      </c>
      <c r="J98" s="95">
        <v>496300</v>
      </c>
      <c r="K98" s="96">
        <v>2203400</v>
      </c>
      <c r="L98" s="96">
        <v>998500</v>
      </c>
      <c r="M98" s="81">
        <v>3698200</v>
      </c>
    </row>
    <row r="99" spans="1:13">
      <c r="A99" s="80" t="s">
        <v>152</v>
      </c>
      <c r="B99" s="97">
        <v>255900</v>
      </c>
      <c r="C99" s="98">
        <v>1092000</v>
      </c>
      <c r="D99" s="98">
        <v>511200</v>
      </c>
      <c r="E99" s="82">
        <v>1859200</v>
      </c>
      <c r="F99" s="97">
        <v>236500</v>
      </c>
      <c r="G99" s="98">
        <v>1099800</v>
      </c>
      <c r="H99" s="98">
        <v>487300</v>
      </c>
      <c r="I99" s="82">
        <v>1823600</v>
      </c>
      <c r="J99" s="97">
        <v>492400</v>
      </c>
      <c r="K99" s="98">
        <v>2191900</v>
      </c>
      <c r="L99" s="98">
        <v>998500</v>
      </c>
      <c r="M99" s="82">
        <v>3682700</v>
      </c>
    </row>
    <row r="100" spans="1:13" ht="12.75" customHeight="1">
      <c r="A100" s="27" t="s">
        <v>153</v>
      </c>
      <c r="B100" s="95">
        <v>254400</v>
      </c>
      <c r="C100" s="96">
        <v>1081000</v>
      </c>
      <c r="D100" s="96">
        <v>508700</v>
      </c>
      <c r="E100" s="81">
        <v>1844000</v>
      </c>
      <c r="F100" s="95">
        <v>236200</v>
      </c>
      <c r="G100" s="96">
        <v>1091400</v>
      </c>
      <c r="H100" s="96">
        <v>487000</v>
      </c>
      <c r="I100" s="81">
        <v>1814500</v>
      </c>
      <c r="J100" s="95">
        <v>490600</v>
      </c>
      <c r="K100" s="96">
        <v>2172400</v>
      </c>
      <c r="L100" s="96">
        <v>995600</v>
      </c>
      <c r="M100" s="81">
        <v>3658600</v>
      </c>
    </row>
    <row r="101" spans="1:13">
      <c r="A101" s="27" t="s">
        <v>154</v>
      </c>
      <c r="B101" s="95">
        <v>253600</v>
      </c>
      <c r="C101" s="96">
        <v>1069400</v>
      </c>
      <c r="D101" s="96">
        <v>506600</v>
      </c>
      <c r="E101" s="81">
        <v>1829500</v>
      </c>
      <c r="F101" s="95">
        <v>233800</v>
      </c>
      <c r="G101" s="96">
        <v>1077800</v>
      </c>
      <c r="H101" s="96">
        <v>483400</v>
      </c>
      <c r="I101" s="81">
        <v>1794900</v>
      </c>
      <c r="J101" s="95">
        <v>487400</v>
      </c>
      <c r="K101" s="96">
        <v>2147100</v>
      </c>
      <c r="L101" s="96">
        <v>989900</v>
      </c>
      <c r="M101" s="81">
        <v>3624400</v>
      </c>
    </row>
    <row r="102" spans="1:13">
      <c r="A102" s="27" t="s">
        <v>155</v>
      </c>
      <c r="B102" s="95">
        <v>255400</v>
      </c>
      <c r="C102" s="96">
        <v>1060500</v>
      </c>
      <c r="D102" s="96">
        <v>505300</v>
      </c>
      <c r="E102" s="81">
        <v>1821300</v>
      </c>
      <c r="F102" s="95">
        <v>234800</v>
      </c>
      <c r="G102" s="96">
        <v>1067300</v>
      </c>
      <c r="H102" s="96">
        <v>481500</v>
      </c>
      <c r="I102" s="81">
        <v>1783600</v>
      </c>
      <c r="J102" s="95">
        <v>490300</v>
      </c>
      <c r="K102" s="96">
        <v>2127700</v>
      </c>
      <c r="L102" s="96">
        <v>986800</v>
      </c>
      <c r="M102" s="81">
        <v>3604800</v>
      </c>
    </row>
    <row r="103" spans="1:13">
      <c r="A103" s="80" t="s">
        <v>156</v>
      </c>
      <c r="B103" s="97">
        <v>252000</v>
      </c>
      <c r="C103" s="98">
        <v>1044700</v>
      </c>
      <c r="D103" s="98">
        <v>500100</v>
      </c>
      <c r="E103" s="82">
        <v>1796800</v>
      </c>
      <c r="F103" s="97">
        <v>233500</v>
      </c>
      <c r="G103" s="98">
        <v>1055900</v>
      </c>
      <c r="H103" s="98">
        <v>478800</v>
      </c>
      <c r="I103" s="82">
        <v>1768300</v>
      </c>
      <c r="J103" s="97">
        <v>485500</v>
      </c>
      <c r="K103" s="98">
        <v>2100500</v>
      </c>
      <c r="L103" s="98">
        <v>978900</v>
      </c>
      <c r="M103" s="82">
        <v>3565000</v>
      </c>
    </row>
    <row r="104" spans="1:13">
      <c r="A104" s="27" t="s">
        <v>157</v>
      </c>
      <c r="B104" s="95">
        <v>252600</v>
      </c>
      <c r="C104" s="96">
        <v>1056600</v>
      </c>
      <c r="D104" s="96">
        <v>503400</v>
      </c>
      <c r="E104" s="81">
        <v>1812600</v>
      </c>
      <c r="F104" s="95">
        <v>232900</v>
      </c>
      <c r="G104" s="96">
        <v>1056900</v>
      </c>
      <c r="H104" s="96">
        <v>479400</v>
      </c>
      <c r="I104" s="81">
        <v>1769300</v>
      </c>
      <c r="J104" s="95">
        <v>485500</v>
      </c>
      <c r="K104" s="96">
        <v>2113500</v>
      </c>
      <c r="L104" s="96">
        <v>982800</v>
      </c>
      <c r="M104" s="81">
        <v>3581900</v>
      </c>
    </row>
    <row r="105" spans="1:13">
      <c r="A105" s="27" t="s">
        <v>158</v>
      </c>
      <c r="B105" s="95">
        <v>338200</v>
      </c>
      <c r="C105" s="96">
        <v>1344700</v>
      </c>
      <c r="D105" s="96">
        <v>584500</v>
      </c>
      <c r="E105" s="81">
        <v>2267500</v>
      </c>
      <c r="F105" s="95">
        <v>299800</v>
      </c>
      <c r="G105" s="96">
        <v>1278000</v>
      </c>
      <c r="H105" s="96">
        <v>546600</v>
      </c>
      <c r="I105" s="81">
        <v>2124400</v>
      </c>
      <c r="J105" s="95">
        <v>638000</v>
      </c>
      <c r="K105" s="96">
        <v>2622700</v>
      </c>
      <c r="L105" s="96">
        <v>1131100</v>
      </c>
      <c r="M105" s="81">
        <v>4391800</v>
      </c>
    </row>
    <row r="106" spans="1:13">
      <c r="A106" s="27" t="s">
        <v>159</v>
      </c>
      <c r="B106" s="95">
        <v>292200</v>
      </c>
      <c r="C106" s="96">
        <v>1166700</v>
      </c>
      <c r="D106" s="96">
        <v>538100</v>
      </c>
      <c r="E106" s="81">
        <v>1997000</v>
      </c>
      <c r="F106" s="95">
        <v>259200</v>
      </c>
      <c r="G106" s="96">
        <v>1150700</v>
      </c>
      <c r="H106" s="96">
        <v>510100</v>
      </c>
      <c r="I106" s="81">
        <v>1920100</v>
      </c>
      <c r="J106" s="95">
        <v>551500</v>
      </c>
      <c r="K106" s="96">
        <v>2317400</v>
      </c>
      <c r="L106" s="96">
        <v>1048200</v>
      </c>
      <c r="M106" s="81">
        <v>3917100</v>
      </c>
    </row>
    <row r="107" spans="1:13">
      <c r="A107" s="80" t="s">
        <v>160</v>
      </c>
      <c r="B107" s="97">
        <v>279400</v>
      </c>
      <c r="C107" s="98">
        <v>1143400</v>
      </c>
      <c r="D107" s="98">
        <v>537200</v>
      </c>
      <c r="E107" s="82">
        <v>1960000</v>
      </c>
      <c r="F107" s="97">
        <v>248500</v>
      </c>
      <c r="G107" s="98">
        <v>1120200</v>
      </c>
      <c r="H107" s="98">
        <v>507800</v>
      </c>
      <c r="I107" s="82">
        <v>1876500</v>
      </c>
      <c r="J107" s="97">
        <v>527900</v>
      </c>
      <c r="K107" s="98">
        <v>2263600</v>
      </c>
      <c r="L107" s="98">
        <v>1044900</v>
      </c>
      <c r="M107" s="82">
        <v>3836500</v>
      </c>
    </row>
    <row r="108" spans="1:13">
      <c r="A108" s="27" t="s">
        <v>161</v>
      </c>
      <c r="B108" s="95">
        <v>275700</v>
      </c>
      <c r="C108" s="96">
        <v>1131700</v>
      </c>
      <c r="D108" s="96">
        <v>536000</v>
      </c>
      <c r="E108" s="81">
        <v>1943400</v>
      </c>
      <c r="F108" s="95">
        <v>246600</v>
      </c>
      <c r="G108" s="96">
        <v>1109000</v>
      </c>
      <c r="H108" s="96">
        <v>506200</v>
      </c>
      <c r="I108" s="81">
        <v>1861700</v>
      </c>
      <c r="J108" s="95">
        <v>522400</v>
      </c>
      <c r="K108" s="96">
        <v>2240700</v>
      </c>
      <c r="L108" s="96">
        <v>1042100</v>
      </c>
      <c r="M108" s="81">
        <v>3805200</v>
      </c>
    </row>
    <row r="109" spans="1:13">
      <c r="A109" s="27" t="s">
        <v>162</v>
      </c>
      <c r="B109" s="95">
        <v>266000</v>
      </c>
      <c r="C109" s="96">
        <v>1100600</v>
      </c>
      <c r="D109" s="96">
        <v>532000</v>
      </c>
      <c r="E109" s="81">
        <v>1898600</v>
      </c>
      <c r="F109" s="95">
        <v>239600</v>
      </c>
      <c r="G109" s="96">
        <v>1085400</v>
      </c>
      <c r="H109" s="96">
        <v>504500</v>
      </c>
      <c r="I109" s="81">
        <v>1829500</v>
      </c>
      <c r="J109" s="95">
        <v>505500</v>
      </c>
      <c r="K109" s="96">
        <v>2186000</v>
      </c>
      <c r="L109" s="96">
        <v>1036500</v>
      </c>
      <c r="M109" s="81">
        <v>3728100</v>
      </c>
    </row>
    <row r="110" spans="1:13">
      <c r="A110" s="27" t="s">
        <v>163</v>
      </c>
      <c r="B110" s="95">
        <v>250500</v>
      </c>
      <c r="C110" s="96">
        <v>1035600</v>
      </c>
      <c r="D110" s="96">
        <v>513400</v>
      </c>
      <c r="E110" s="81">
        <v>1799600</v>
      </c>
      <c r="F110" s="95">
        <v>221300</v>
      </c>
      <c r="G110" s="96">
        <v>1028100</v>
      </c>
      <c r="H110" s="96">
        <v>485600</v>
      </c>
      <c r="I110" s="81">
        <v>1735000</v>
      </c>
      <c r="J110" s="95">
        <v>471800</v>
      </c>
      <c r="K110" s="96">
        <v>2063700</v>
      </c>
      <c r="L110" s="96">
        <v>999000</v>
      </c>
      <c r="M110" s="81">
        <v>3534500</v>
      </c>
    </row>
    <row r="111" spans="1:13">
      <c r="A111" s="80" t="s">
        <v>164</v>
      </c>
      <c r="B111" s="97">
        <v>231800</v>
      </c>
      <c r="C111" s="98">
        <v>978200</v>
      </c>
      <c r="D111" s="98">
        <v>495600</v>
      </c>
      <c r="E111" s="82">
        <v>1705500</v>
      </c>
      <c r="F111" s="97">
        <v>207800</v>
      </c>
      <c r="G111" s="98">
        <v>980400</v>
      </c>
      <c r="H111" s="98">
        <v>471000</v>
      </c>
      <c r="I111" s="82">
        <v>1659200</v>
      </c>
      <c r="J111" s="97">
        <v>439600</v>
      </c>
      <c r="K111" s="98">
        <v>1958600</v>
      </c>
      <c r="L111" s="98">
        <v>966600</v>
      </c>
      <c r="M111" s="82">
        <v>3364800</v>
      </c>
    </row>
    <row r="112" spans="1:13">
      <c r="A112" s="27" t="s">
        <v>165</v>
      </c>
      <c r="B112" s="95">
        <v>209000</v>
      </c>
      <c r="C112" s="96">
        <v>932500</v>
      </c>
      <c r="D112" s="96">
        <v>480200</v>
      </c>
      <c r="E112" s="81">
        <v>1621700</v>
      </c>
      <c r="F112" s="95">
        <v>187500</v>
      </c>
      <c r="G112" s="96">
        <v>944400</v>
      </c>
      <c r="H112" s="96">
        <v>456700</v>
      </c>
      <c r="I112" s="81">
        <v>1588600</v>
      </c>
      <c r="J112" s="95">
        <v>396500</v>
      </c>
      <c r="K112" s="96">
        <v>1876900</v>
      </c>
      <c r="L112" s="96">
        <v>937000</v>
      </c>
      <c r="M112" s="81">
        <v>3210300</v>
      </c>
    </row>
    <row r="113" spans="1:13">
      <c r="A113" s="27" t="s">
        <v>166</v>
      </c>
      <c r="B113" s="95">
        <v>208000</v>
      </c>
      <c r="C113" s="96">
        <v>916600</v>
      </c>
      <c r="D113" s="96">
        <v>473800</v>
      </c>
      <c r="E113" s="81">
        <v>1598400</v>
      </c>
      <c r="F113" s="95">
        <v>186600</v>
      </c>
      <c r="G113" s="96">
        <v>929700</v>
      </c>
      <c r="H113" s="96">
        <v>450400</v>
      </c>
      <c r="I113" s="81">
        <v>1566600</v>
      </c>
      <c r="J113" s="95">
        <v>394600</v>
      </c>
      <c r="K113" s="96">
        <v>1846200</v>
      </c>
      <c r="L113" s="96">
        <v>924300</v>
      </c>
      <c r="M113" s="81">
        <v>3164900</v>
      </c>
    </row>
    <row r="114" spans="1:13">
      <c r="A114" s="27" t="s">
        <v>167</v>
      </c>
      <c r="B114" s="95">
        <v>210800</v>
      </c>
      <c r="C114" s="96">
        <v>908500</v>
      </c>
      <c r="D114" s="96">
        <v>467900</v>
      </c>
      <c r="E114" s="81">
        <v>1587300</v>
      </c>
      <c r="F114" s="95">
        <v>188700</v>
      </c>
      <c r="G114" s="96">
        <v>927800</v>
      </c>
      <c r="H114" s="96">
        <v>443800</v>
      </c>
      <c r="I114" s="81">
        <v>1560400</v>
      </c>
      <c r="J114" s="95">
        <v>399600</v>
      </c>
      <c r="K114" s="96">
        <v>1836400</v>
      </c>
      <c r="L114" s="96">
        <v>911800</v>
      </c>
      <c r="M114" s="81">
        <v>3147700</v>
      </c>
    </row>
    <row r="115" spans="1:13">
      <c r="A115" s="80" t="s">
        <v>168</v>
      </c>
      <c r="B115" s="97">
        <v>209000</v>
      </c>
      <c r="C115" s="98">
        <v>874000</v>
      </c>
      <c r="D115" s="98">
        <v>451200</v>
      </c>
      <c r="E115" s="82">
        <v>1534200</v>
      </c>
      <c r="F115" s="97">
        <v>187600</v>
      </c>
      <c r="G115" s="98">
        <v>897600</v>
      </c>
      <c r="H115" s="98">
        <v>430400</v>
      </c>
      <c r="I115" s="82">
        <v>1515700</v>
      </c>
      <c r="J115" s="97">
        <v>396600</v>
      </c>
      <c r="K115" s="98">
        <v>1771600</v>
      </c>
      <c r="L115" s="98">
        <v>881700</v>
      </c>
      <c r="M115" s="82">
        <v>3049900</v>
      </c>
    </row>
    <row r="116" spans="1:13">
      <c r="A116" s="27" t="s">
        <v>169</v>
      </c>
      <c r="B116" s="95">
        <v>210200</v>
      </c>
      <c r="C116" s="96">
        <v>865800</v>
      </c>
      <c r="D116" s="96">
        <v>445100</v>
      </c>
      <c r="E116" s="81">
        <v>1521200</v>
      </c>
      <c r="F116" s="95">
        <v>188800</v>
      </c>
      <c r="G116" s="96">
        <v>888000</v>
      </c>
      <c r="H116" s="96">
        <v>423700</v>
      </c>
      <c r="I116" s="81">
        <v>1500500</v>
      </c>
      <c r="J116" s="95">
        <v>399000</v>
      </c>
      <c r="K116" s="96">
        <v>1753800</v>
      </c>
      <c r="L116" s="96">
        <v>868800</v>
      </c>
      <c r="M116" s="81">
        <v>3021700</v>
      </c>
    </row>
    <row r="117" spans="1:13">
      <c r="A117" s="27" t="s">
        <v>170</v>
      </c>
      <c r="B117" s="95">
        <v>212800</v>
      </c>
      <c r="C117" s="96">
        <v>865400</v>
      </c>
      <c r="D117" s="96">
        <v>440200</v>
      </c>
      <c r="E117" s="81">
        <v>1518300</v>
      </c>
      <c r="F117" s="95">
        <v>190500</v>
      </c>
      <c r="G117" s="96">
        <v>882400</v>
      </c>
      <c r="H117" s="96">
        <v>417100</v>
      </c>
      <c r="I117" s="81">
        <v>1490000</v>
      </c>
      <c r="J117" s="95">
        <v>403300</v>
      </c>
      <c r="K117" s="96">
        <v>1747800</v>
      </c>
      <c r="L117" s="96">
        <v>857300</v>
      </c>
      <c r="M117" s="81">
        <v>3008300</v>
      </c>
    </row>
    <row r="118" spans="1:13">
      <c r="A118" s="27" t="s">
        <v>171</v>
      </c>
      <c r="B118" s="95">
        <v>218300</v>
      </c>
      <c r="C118" s="96">
        <v>873900</v>
      </c>
      <c r="D118" s="96">
        <v>439600</v>
      </c>
      <c r="E118" s="81">
        <v>1531800</v>
      </c>
      <c r="F118" s="95">
        <v>194300</v>
      </c>
      <c r="G118" s="96">
        <v>889900</v>
      </c>
      <c r="H118" s="96">
        <v>413400</v>
      </c>
      <c r="I118" s="81">
        <v>1497600</v>
      </c>
      <c r="J118" s="95">
        <v>412600</v>
      </c>
      <c r="K118" s="96">
        <v>1763800</v>
      </c>
      <c r="L118" s="96">
        <v>853000</v>
      </c>
      <c r="M118" s="81">
        <v>3029400</v>
      </c>
    </row>
    <row r="119" spans="1:13">
      <c r="A119" s="80" t="s">
        <v>172</v>
      </c>
      <c r="B119" s="97">
        <v>221200</v>
      </c>
      <c r="C119" s="98">
        <v>873700</v>
      </c>
      <c r="D119" s="98">
        <v>440900</v>
      </c>
      <c r="E119" s="82">
        <v>1535900</v>
      </c>
      <c r="F119" s="97">
        <v>197200</v>
      </c>
      <c r="G119" s="98">
        <v>883800</v>
      </c>
      <c r="H119" s="98">
        <v>413400</v>
      </c>
      <c r="I119" s="82">
        <v>1494300</v>
      </c>
      <c r="J119" s="97">
        <v>418400</v>
      </c>
      <c r="K119" s="98">
        <v>1757500</v>
      </c>
      <c r="L119" s="98">
        <v>854200</v>
      </c>
      <c r="M119" s="82">
        <v>3030200</v>
      </c>
    </row>
    <row r="120" spans="1:13">
      <c r="A120" s="27" t="s">
        <v>173</v>
      </c>
      <c r="B120" s="95">
        <v>221400</v>
      </c>
      <c r="C120" s="96">
        <v>872900</v>
      </c>
      <c r="D120" s="96">
        <v>439700</v>
      </c>
      <c r="E120" s="81">
        <v>1534000</v>
      </c>
      <c r="F120" s="95">
        <v>196600</v>
      </c>
      <c r="G120" s="96">
        <v>880400</v>
      </c>
      <c r="H120" s="96">
        <v>411100</v>
      </c>
      <c r="I120" s="81">
        <v>1488100</v>
      </c>
      <c r="J120" s="95">
        <v>418000</v>
      </c>
      <c r="K120" s="96">
        <v>1753300</v>
      </c>
      <c r="L120" s="96">
        <v>850800</v>
      </c>
      <c r="M120" s="81">
        <v>3022100</v>
      </c>
    </row>
    <row r="121" spans="1:13">
      <c r="A121" s="27" t="s">
        <v>174</v>
      </c>
      <c r="B121" s="95">
        <v>221200</v>
      </c>
      <c r="C121" s="96">
        <v>872000</v>
      </c>
      <c r="D121" s="96">
        <v>439400</v>
      </c>
      <c r="E121" s="81">
        <v>1532500</v>
      </c>
      <c r="F121" s="95">
        <v>195500</v>
      </c>
      <c r="G121" s="96">
        <v>877600</v>
      </c>
      <c r="H121" s="96">
        <v>408600</v>
      </c>
      <c r="I121" s="81">
        <v>1481600</v>
      </c>
      <c r="J121" s="95">
        <v>416600</v>
      </c>
      <c r="K121" s="96">
        <v>1749500</v>
      </c>
      <c r="L121" s="96">
        <v>848000</v>
      </c>
      <c r="M121" s="81">
        <v>3014200</v>
      </c>
    </row>
    <row r="122" spans="1:13">
      <c r="A122" s="27" t="s">
        <v>175</v>
      </c>
      <c r="B122" s="95">
        <v>223100</v>
      </c>
      <c r="C122" s="96">
        <v>878000</v>
      </c>
      <c r="D122" s="96">
        <v>443600</v>
      </c>
      <c r="E122" s="81">
        <v>1544600</v>
      </c>
      <c r="F122" s="95">
        <v>194800</v>
      </c>
      <c r="G122" s="96">
        <v>883000</v>
      </c>
      <c r="H122" s="96">
        <v>410600</v>
      </c>
      <c r="I122" s="81">
        <v>1488300</v>
      </c>
      <c r="J122" s="95">
        <v>417800</v>
      </c>
      <c r="K122" s="96">
        <v>1760900</v>
      </c>
      <c r="L122" s="96">
        <v>854100</v>
      </c>
      <c r="M122" s="81">
        <v>3032800</v>
      </c>
    </row>
    <row r="123" spans="1:13">
      <c r="A123" s="80" t="s">
        <v>176</v>
      </c>
      <c r="B123" s="97">
        <v>236700</v>
      </c>
      <c r="C123" s="98">
        <v>908600</v>
      </c>
      <c r="D123" s="98">
        <v>451300</v>
      </c>
      <c r="E123" s="82">
        <v>1596600</v>
      </c>
      <c r="F123" s="97">
        <v>209400</v>
      </c>
      <c r="G123" s="98">
        <v>911800</v>
      </c>
      <c r="H123" s="98">
        <v>417200</v>
      </c>
      <c r="I123" s="82">
        <v>1538500</v>
      </c>
      <c r="J123" s="97">
        <v>446100</v>
      </c>
      <c r="K123" s="98">
        <v>1820300</v>
      </c>
      <c r="L123" s="98">
        <v>868500</v>
      </c>
      <c r="M123" s="82">
        <v>3135000</v>
      </c>
    </row>
    <row r="124" spans="1:13">
      <c r="A124" s="27" t="s">
        <v>177</v>
      </c>
      <c r="B124" s="95">
        <v>319400</v>
      </c>
      <c r="C124" s="96">
        <v>957600</v>
      </c>
      <c r="D124" s="96">
        <v>462900</v>
      </c>
      <c r="E124" s="81">
        <v>1739900</v>
      </c>
      <c r="F124" s="95">
        <v>279500</v>
      </c>
      <c r="G124" s="96">
        <v>960700</v>
      </c>
      <c r="H124" s="96">
        <v>427900</v>
      </c>
      <c r="I124" s="81">
        <v>1668100</v>
      </c>
      <c r="J124" s="95">
        <v>598900</v>
      </c>
      <c r="K124" s="96">
        <v>1918300</v>
      </c>
      <c r="L124" s="96">
        <v>890800</v>
      </c>
      <c r="M124" s="81">
        <v>3408100</v>
      </c>
    </row>
    <row r="125" spans="1:13">
      <c r="A125" s="27" t="s">
        <v>178</v>
      </c>
      <c r="B125" s="95">
        <v>269600</v>
      </c>
      <c r="C125" s="96">
        <v>921900</v>
      </c>
      <c r="D125" s="96">
        <v>450800</v>
      </c>
      <c r="E125" s="81">
        <v>1642300</v>
      </c>
      <c r="F125" s="95">
        <v>238300</v>
      </c>
      <c r="G125" s="96">
        <v>917700</v>
      </c>
      <c r="H125" s="96">
        <v>414100</v>
      </c>
      <c r="I125" s="81">
        <v>1570100</v>
      </c>
      <c r="J125" s="95">
        <v>507900</v>
      </c>
      <c r="K125" s="96">
        <v>1839600</v>
      </c>
      <c r="L125" s="96">
        <v>864900</v>
      </c>
      <c r="M125" s="81">
        <v>3212400</v>
      </c>
    </row>
    <row r="126" spans="1:13">
      <c r="A126" s="27"/>
      <c r="B126" s="95"/>
      <c r="C126" s="96"/>
      <c r="D126" s="96"/>
      <c r="E126" s="81"/>
      <c r="F126" s="95"/>
      <c r="G126" s="96"/>
      <c r="H126" s="96"/>
      <c r="I126" s="81"/>
      <c r="J126" s="95"/>
      <c r="K126" s="96"/>
      <c r="L126" s="96"/>
      <c r="M126" s="81"/>
    </row>
    <row r="127" spans="1:13">
      <c r="A127" s="99"/>
      <c r="B127" s="100"/>
      <c r="C127" s="101"/>
      <c r="D127" s="101"/>
      <c r="E127" s="102"/>
      <c r="F127" s="100"/>
      <c r="G127" s="101"/>
      <c r="H127" s="101"/>
      <c r="I127" s="102"/>
      <c r="J127" s="100"/>
      <c r="K127" s="101"/>
      <c r="L127" s="101"/>
      <c r="M127" s="102"/>
    </row>
    <row r="128" spans="1:13">
      <c r="A128" s="27"/>
      <c r="B128" s="95"/>
      <c r="C128" s="96"/>
      <c r="D128" s="96"/>
      <c r="E128" s="81"/>
      <c r="F128" s="95"/>
      <c r="G128" s="96"/>
      <c r="H128" s="96"/>
      <c r="I128" s="81"/>
      <c r="J128" s="95"/>
      <c r="K128" s="96"/>
      <c r="L128" s="96"/>
      <c r="M128" s="81"/>
    </row>
    <row r="129" spans="1:13">
      <c r="A129" s="27"/>
      <c r="B129" s="95"/>
      <c r="C129" s="96"/>
      <c r="D129" s="96"/>
      <c r="E129" s="81"/>
      <c r="F129" s="95"/>
      <c r="G129" s="96"/>
      <c r="H129" s="96"/>
      <c r="I129" s="81"/>
      <c r="J129" s="95"/>
      <c r="K129" s="96"/>
      <c r="L129" s="96"/>
      <c r="M129" s="81"/>
    </row>
    <row r="130" spans="1:13">
      <c r="A130" s="27"/>
      <c r="B130" s="95"/>
      <c r="C130" s="96"/>
      <c r="D130" s="96"/>
      <c r="E130" s="81"/>
      <c r="F130" s="95"/>
      <c r="G130" s="96"/>
      <c r="H130" s="96"/>
      <c r="I130" s="81"/>
      <c r="J130" s="95"/>
      <c r="K130" s="96"/>
      <c r="L130" s="96"/>
      <c r="M130" s="81"/>
    </row>
    <row r="131" spans="1:13">
      <c r="A131" s="27"/>
      <c r="B131" s="95"/>
      <c r="C131" s="96"/>
      <c r="D131" s="96"/>
      <c r="E131" s="81"/>
      <c r="F131" s="95"/>
      <c r="G131" s="96"/>
      <c r="H131" s="96"/>
      <c r="I131" s="81"/>
      <c r="J131" s="95"/>
      <c r="K131" s="96"/>
      <c r="L131" s="96"/>
      <c r="M131" s="81"/>
    </row>
    <row r="132" spans="1:13">
      <c r="A132" s="27"/>
      <c r="B132" s="95"/>
      <c r="C132" s="96"/>
      <c r="D132" s="96"/>
      <c r="E132" s="81"/>
      <c r="F132" s="95"/>
      <c r="G132" s="96"/>
      <c r="H132" s="96"/>
      <c r="I132" s="81"/>
      <c r="J132" s="95"/>
      <c r="K132" s="96"/>
      <c r="L132" s="96"/>
      <c r="M132" s="81"/>
    </row>
    <row r="133" spans="1:13">
      <c r="A133" s="27"/>
      <c r="B133" s="95"/>
      <c r="C133" s="96"/>
      <c r="D133" s="96"/>
      <c r="E133" s="81"/>
      <c r="F133" s="95"/>
      <c r="G133" s="96"/>
      <c r="H133" s="96"/>
      <c r="I133" s="81"/>
      <c r="J133" s="95"/>
      <c r="K133" s="96"/>
      <c r="L133" s="96"/>
      <c r="M133" s="81"/>
    </row>
    <row r="134" spans="1:13">
      <c r="A134" s="27"/>
      <c r="B134" s="95"/>
      <c r="C134" s="96"/>
      <c r="D134" s="96"/>
      <c r="E134" s="81"/>
      <c r="F134" s="95"/>
      <c r="G134" s="96"/>
      <c r="H134" s="96"/>
      <c r="I134" s="81"/>
      <c r="J134" s="95"/>
      <c r="K134" s="96"/>
      <c r="L134" s="96"/>
      <c r="M134" s="81"/>
    </row>
    <row r="135" spans="1:13">
      <c r="A135" s="27"/>
      <c r="B135" s="95"/>
      <c r="C135" s="96"/>
      <c r="D135" s="96"/>
      <c r="E135" s="81"/>
      <c r="F135" s="95"/>
      <c r="G135" s="96"/>
      <c r="H135" s="96"/>
      <c r="I135" s="81"/>
      <c r="J135" s="95"/>
      <c r="K135" s="96"/>
      <c r="L135" s="96"/>
      <c r="M135" s="81"/>
    </row>
    <row r="136" spans="1:13">
      <c r="A136" s="27"/>
      <c r="B136" s="95"/>
      <c r="C136" s="96"/>
      <c r="D136" s="96"/>
      <c r="E136" s="81"/>
      <c r="F136" s="95"/>
      <c r="G136" s="96"/>
      <c r="H136" s="96"/>
      <c r="I136" s="81"/>
      <c r="J136" s="95"/>
      <c r="K136" s="96"/>
      <c r="L136" s="96"/>
      <c r="M136" s="81"/>
    </row>
    <row r="137" spans="1:13">
      <c r="A137" s="27"/>
      <c r="B137" s="95"/>
      <c r="C137" s="96"/>
      <c r="D137" s="96"/>
      <c r="E137" s="81"/>
      <c r="F137" s="95"/>
      <c r="G137" s="96"/>
      <c r="H137" s="96"/>
      <c r="I137" s="81"/>
      <c r="J137" s="95"/>
      <c r="K137" s="96"/>
      <c r="L137" s="96"/>
      <c r="M137" s="81"/>
    </row>
    <row r="138" spans="1:13">
      <c r="A138" s="27"/>
      <c r="B138" s="95"/>
      <c r="C138" s="96"/>
      <c r="D138" s="96"/>
      <c r="E138" s="81"/>
      <c r="F138" s="95"/>
      <c r="G138" s="96"/>
      <c r="H138" s="96"/>
      <c r="I138" s="81"/>
      <c r="J138" s="95"/>
      <c r="K138" s="96"/>
      <c r="L138" s="96"/>
      <c r="M138" s="81"/>
    </row>
    <row r="139" spans="1:13">
      <c r="A139" s="99"/>
      <c r="B139" s="100"/>
      <c r="C139" s="101"/>
      <c r="D139" s="101"/>
      <c r="E139" s="102"/>
      <c r="F139" s="100"/>
      <c r="G139" s="101"/>
      <c r="H139" s="101"/>
      <c r="I139" s="102"/>
      <c r="J139" s="100"/>
      <c r="K139" s="101"/>
      <c r="L139" s="101"/>
      <c r="M139" s="102"/>
    </row>
    <row r="140" spans="1:13">
      <c r="A140" s="27"/>
      <c r="B140" s="95"/>
      <c r="C140" s="96"/>
      <c r="D140" s="96"/>
      <c r="E140" s="81"/>
      <c r="F140" s="95"/>
      <c r="G140" s="96"/>
      <c r="H140" s="96"/>
      <c r="I140" s="81"/>
      <c r="J140" s="95"/>
      <c r="K140" s="96"/>
      <c r="L140" s="96"/>
      <c r="M140" s="81"/>
    </row>
    <row r="141" spans="1:13">
      <c r="A141" s="27"/>
      <c r="B141" s="95"/>
      <c r="C141" s="96"/>
      <c r="D141" s="96"/>
      <c r="E141" s="81"/>
      <c r="F141" s="95"/>
      <c r="G141" s="96"/>
      <c r="H141" s="96"/>
      <c r="I141" s="81"/>
      <c r="J141" s="95"/>
      <c r="K141" s="96"/>
      <c r="L141" s="96"/>
      <c r="M141" s="81"/>
    </row>
    <row r="142" spans="1:13">
      <c r="A142" s="27"/>
      <c r="B142" s="95"/>
      <c r="C142" s="96"/>
      <c r="D142" s="96"/>
      <c r="E142" s="81"/>
      <c r="F142" s="95"/>
      <c r="G142" s="96"/>
      <c r="H142" s="96"/>
      <c r="I142" s="81"/>
      <c r="J142" s="95"/>
      <c r="K142" s="96"/>
      <c r="L142" s="96"/>
      <c r="M142" s="81"/>
    </row>
    <row r="143" spans="1:13">
      <c r="A143" s="27"/>
      <c r="B143" s="95"/>
      <c r="C143" s="96"/>
      <c r="D143" s="96"/>
      <c r="E143" s="81"/>
      <c r="F143" s="95"/>
      <c r="G143" s="96"/>
      <c r="H143" s="96"/>
      <c r="I143" s="81"/>
      <c r="J143" s="95"/>
      <c r="K143" s="96"/>
      <c r="L143" s="96"/>
      <c r="M143" s="81"/>
    </row>
    <row r="144" spans="1:13">
      <c r="A144" s="27"/>
      <c r="B144" s="95"/>
      <c r="C144" s="96"/>
      <c r="D144" s="96"/>
      <c r="E144" s="81"/>
      <c r="F144" s="95"/>
      <c r="G144" s="96"/>
      <c r="H144" s="96"/>
      <c r="I144" s="81"/>
      <c r="J144" s="95"/>
      <c r="K144" s="96"/>
      <c r="L144" s="96"/>
      <c r="M144" s="81"/>
    </row>
    <row r="145" spans="1:13">
      <c r="A145" s="27"/>
      <c r="B145" s="95"/>
      <c r="C145" s="96"/>
      <c r="D145" s="96"/>
      <c r="E145" s="81"/>
      <c r="F145" s="95"/>
      <c r="G145" s="96"/>
      <c r="H145" s="96"/>
      <c r="I145" s="81"/>
      <c r="J145" s="95"/>
      <c r="K145" s="96"/>
      <c r="L145" s="96"/>
      <c r="M145" s="81"/>
    </row>
    <row r="146" spans="1:13">
      <c r="A146" s="27"/>
      <c r="B146" s="95"/>
      <c r="C146" s="96"/>
      <c r="D146" s="96"/>
      <c r="E146" s="81"/>
      <c r="F146" s="95"/>
      <c r="G146" s="96"/>
      <c r="H146" s="96"/>
      <c r="I146" s="81"/>
      <c r="J146" s="95"/>
      <c r="K146" s="96"/>
      <c r="L146" s="96"/>
      <c r="M146" s="81"/>
    </row>
    <row r="147" spans="1:13">
      <c r="A147" s="27"/>
      <c r="B147" s="95"/>
      <c r="C147" s="96"/>
      <c r="D147" s="96"/>
      <c r="E147" s="81"/>
      <c r="F147" s="95"/>
      <c r="G147" s="96"/>
      <c r="H147" s="96"/>
      <c r="I147" s="81"/>
      <c r="J147" s="95"/>
      <c r="K147" s="96"/>
      <c r="L147" s="96"/>
      <c r="M147" s="81"/>
    </row>
    <row r="148" spans="1:13">
      <c r="A148" s="27"/>
      <c r="B148" s="95"/>
      <c r="C148" s="96"/>
      <c r="D148" s="96"/>
      <c r="E148" s="81"/>
      <c r="F148" s="95"/>
      <c r="G148" s="96"/>
      <c r="H148" s="96"/>
      <c r="I148" s="81"/>
      <c r="J148" s="95"/>
      <c r="K148" s="96"/>
      <c r="L148" s="96"/>
      <c r="M148" s="81"/>
    </row>
    <row r="149" spans="1:13">
      <c r="A149" s="27"/>
      <c r="B149" s="95"/>
      <c r="C149" s="96"/>
      <c r="D149" s="96"/>
      <c r="E149" s="81"/>
      <c r="F149" s="95"/>
      <c r="G149" s="96"/>
      <c r="H149" s="96"/>
      <c r="I149" s="81"/>
      <c r="J149" s="95"/>
      <c r="K149" s="96"/>
      <c r="L149" s="96"/>
      <c r="M149" s="81"/>
    </row>
    <row r="150" spans="1:13">
      <c r="A150" s="27"/>
      <c r="B150" s="95"/>
      <c r="C150" s="96"/>
      <c r="D150" s="96"/>
      <c r="E150" s="81"/>
      <c r="F150" s="95"/>
      <c r="G150" s="96"/>
      <c r="H150" s="96"/>
      <c r="I150" s="81"/>
      <c r="J150" s="95"/>
      <c r="K150" s="96"/>
      <c r="L150" s="96"/>
      <c r="M150" s="81"/>
    </row>
    <row r="151" spans="1:13">
      <c r="A151" s="99"/>
      <c r="B151" s="100"/>
      <c r="C151" s="101"/>
      <c r="D151" s="101"/>
      <c r="E151" s="102"/>
      <c r="F151" s="100"/>
      <c r="G151" s="101"/>
      <c r="H151" s="101"/>
      <c r="I151" s="102"/>
      <c r="J151" s="100"/>
      <c r="K151" s="101"/>
      <c r="L151" s="101"/>
      <c r="M151" s="102"/>
    </row>
    <row r="152" spans="1:13">
      <c r="A152" s="27"/>
      <c r="B152" s="95"/>
      <c r="C152" s="96"/>
      <c r="D152" s="96"/>
      <c r="E152" s="81"/>
      <c r="F152" s="95"/>
      <c r="G152" s="96"/>
      <c r="H152" s="96"/>
      <c r="I152" s="81"/>
      <c r="J152" s="95"/>
      <c r="K152" s="96"/>
      <c r="L152" s="96"/>
      <c r="M152" s="81"/>
    </row>
    <row r="153" spans="1:13">
      <c r="A153" s="27"/>
      <c r="B153" s="95"/>
      <c r="C153" s="96"/>
      <c r="D153" s="96"/>
      <c r="E153" s="81"/>
      <c r="F153" s="95"/>
      <c r="G153" s="96"/>
      <c r="H153" s="96"/>
      <c r="I153" s="81"/>
      <c r="J153" s="95"/>
      <c r="K153" s="96"/>
      <c r="L153" s="96"/>
      <c r="M153" s="81"/>
    </row>
    <row r="154" spans="1:13">
      <c r="A154" s="27"/>
      <c r="B154" s="95"/>
      <c r="C154" s="96"/>
      <c r="D154" s="96"/>
      <c r="E154" s="81"/>
      <c r="F154" s="95"/>
      <c r="G154" s="96"/>
      <c r="H154" s="96"/>
      <c r="I154" s="81"/>
      <c r="J154" s="95"/>
      <c r="K154" s="96"/>
      <c r="L154" s="96"/>
      <c r="M154" s="81"/>
    </row>
    <row r="155" spans="1:13">
      <c r="A155" s="27"/>
      <c r="B155" s="95"/>
      <c r="C155" s="96"/>
      <c r="D155" s="96"/>
      <c r="E155" s="81"/>
      <c r="F155" s="95"/>
      <c r="G155" s="96"/>
      <c r="H155" s="96"/>
      <c r="I155" s="81"/>
      <c r="J155" s="95"/>
      <c r="K155" s="96"/>
      <c r="L155" s="96"/>
      <c r="M155" s="81"/>
    </row>
    <row r="156" spans="1:13">
      <c r="A156" s="27"/>
      <c r="B156" s="95"/>
      <c r="C156" s="96"/>
      <c r="D156" s="96"/>
      <c r="E156" s="81"/>
      <c r="F156" s="95"/>
      <c r="G156" s="96"/>
      <c r="H156" s="96"/>
      <c r="I156" s="81"/>
      <c r="J156" s="95"/>
      <c r="K156" s="96"/>
      <c r="L156" s="96"/>
      <c r="M156" s="81"/>
    </row>
    <row r="157" spans="1:13">
      <c r="A157" s="27"/>
      <c r="B157" s="95"/>
      <c r="C157" s="96"/>
      <c r="D157" s="96"/>
      <c r="E157" s="81"/>
      <c r="F157" s="95"/>
      <c r="G157" s="96"/>
      <c r="H157" s="96"/>
      <c r="I157" s="81"/>
      <c r="J157" s="95"/>
      <c r="K157" s="96"/>
      <c r="L157" s="96"/>
      <c r="M157" s="81"/>
    </row>
    <row r="158" spans="1:13">
      <c r="A158" s="27"/>
      <c r="B158" s="95"/>
      <c r="C158" s="96"/>
      <c r="D158" s="96"/>
      <c r="E158" s="81"/>
      <c r="F158" s="95"/>
      <c r="G158" s="96"/>
      <c r="H158" s="96"/>
      <c r="I158" s="81"/>
      <c r="J158" s="95"/>
      <c r="K158" s="96"/>
      <c r="L158" s="96"/>
      <c r="M158" s="81"/>
    </row>
    <row r="159" spans="1:13">
      <c r="A159" s="27"/>
      <c r="B159" s="95"/>
      <c r="C159" s="96"/>
      <c r="D159" s="96"/>
      <c r="E159" s="81"/>
      <c r="F159" s="95"/>
      <c r="G159" s="96"/>
      <c r="H159" s="96"/>
      <c r="I159" s="81"/>
      <c r="J159" s="95"/>
      <c r="K159" s="96"/>
      <c r="L159" s="96"/>
      <c r="M159" s="81"/>
    </row>
    <row r="160" spans="1:13">
      <c r="A160" s="27"/>
      <c r="B160" s="95"/>
      <c r="C160" s="96"/>
      <c r="D160" s="96"/>
      <c r="E160" s="81"/>
      <c r="F160" s="95"/>
      <c r="G160" s="96"/>
      <c r="H160" s="96"/>
      <c r="I160" s="81"/>
      <c r="J160" s="95"/>
      <c r="K160" s="96"/>
      <c r="L160" s="96"/>
      <c r="M160" s="81"/>
    </row>
    <row r="161" spans="1:13">
      <c r="A161" s="27"/>
      <c r="B161" s="95"/>
      <c r="C161" s="96"/>
      <c r="D161" s="96"/>
      <c r="E161" s="81"/>
      <c r="F161" s="95"/>
      <c r="G161" s="96"/>
      <c r="H161" s="96"/>
      <c r="I161" s="81"/>
      <c r="J161" s="95"/>
      <c r="K161" s="96"/>
      <c r="L161" s="96"/>
      <c r="M161" s="81"/>
    </row>
    <row r="162" spans="1:13">
      <c r="A162" s="27"/>
      <c r="B162" s="95"/>
      <c r="C162" s="96"/>
      <c r="D162" s="96"/>
      <c r="E162" s="81"/>
      <c r="F162" s="95"/>
      <c r="G162" s="96"/>
      <c r="H162" s="96"/>
      <c r="I162" s="81"/>
      <c r="J162" s="95"/>
      <c r="K162" s="96"/>
      <c r="L162" s="96"/>
      <c r="M162" s="81"/>
    </row>
    <row r="163" spans="1:13">
      <c r="A163" s="99"/>
      <c r="B163" s="100"/>
      <c r="C163" s="101"/>
      <c r="D163" s="101"/>
      <c r="E163" s="102"/>
      <c r="F163" s="100"/>
      <c r="G163" s="101"/>
      <c r="H163" s="101"/>
      <c r="I163" s="102"/>
      <c r="J163" s="100"/>
      <c r="K163" s="101"/>
      <c r="L163" s="101"/>
      <c r="M163" s="102"/>
    </row>
    <row r="164" spans="1:13">
      <c r="A164" s="27"/>
      <c r="B164" s="95"/>
      <c r="C164" s="96"/>
      <c r="D164" s="96"/>
      <c r="E164" s="81"/>
      <c r="F164" s="95"/>
      <c r="G164" s="96"/>
      <c r="H164" s="96"/>
      <c r="I164" s="81"/>
      <c r="J164" s="95"/>
      <c r="K164" s="96"/>
      <c r="L164" s="96"/>
      <c r="M164" s="81"/>
    </row>
    <row r="165" spans="1:13">
      <c r="A165" s="27"/>
      <c r="B165" s="95"/>
      <c r="C165" s="96"/>
      <c r="D165" s="96"/>
      <c r="E165" s="81"/>
      <c r="F165" s="95"/>
      <c r="G165" s="96"/>
      <c r="H165" s="96"/>
      <c r="I165" s="81"/>
      <c r="J165" s="95"/>
      <c r="K165" s="96"/>
      <c r="L165" s="96"/>
      <c r="M165" s="81"/>
    </row>
    <row r="166" spans="1:13">
      <c r="A166" s="27"/>
      <c r="B166" s="95"/>
      <c r="C166" s="96"/>
      <c r="D166" s="96"/>
      <c r="E166" s="81"/>
      <c r="F166" s="95"/>
      <c r="G166" s="96"/>
      <c r="H166" s="96"/>
      <c r="I166" s="81"/>
      <c r="J166" s="95"/>
      <c r="K166" s="96"/>
      <c r="L166" s="96"/>
      <c r="M166" s="81"/>
    </row>
    <row r="167" spans="1:13">
      <c r="A167" s="27"/>
      <c r="B167" s="95"/>
      <c r="C167" s="96"/>
      <c r="D167" s="96"/>
      <c r="E167" s="81"/>
      <c r="F167" s="95"/>
      <c r="G167" s="96"/>
      <c r="H167" s="96"/>
      <c r="I167" s="81"/>
      <c r="J167" s="95"/>
      <c r="K167" s="96"/>
      <c r="L167" s="96"/>
      <c r="M167" s="81"/>
    </row>
    <row r="168" spans="1:13">
      <c r="A168" s="27"/>
      <c r="B168" s="95"/>
      <c r="C168" s="96"/>
      <c r="D168" s="96"/>
      <c r="E168" s="81"/>
      <c r="F168" s="95"/>
      <c r="G168" s="96"/>
      <c r="H168" s="96"/>
      <c r="I168" s="81"/>
      <c r="J168" s="95"/>
      <c r="K168" s="96"/>
      <c r="L168" s="96"/>
      <c r="M168" s="81"/>
    </row>
    <row r="169" spans="1:13">
      <c r="A169" s="27"/>
      <c r="B169" s="95"/>
      <c r="C169" s="96"/>
      <c r="D169" s="96"/>
      <c r="E169" s="81"/>
      <c r="F169" s="95"/>
      <c r="G169" s="96"/>
      <c r="H169" s="96"/>
      <c r="I169" s="81"/>
      <c r="J169" s="95"/>
      <c r="K169" s="96"/>
      <c r="L169" s="96"/>
      <c r="M169" s="81"/>
    </row>
    <row r="170" spans="1:13">
      <c r="A170" s="27"/>
      <c r="B170" s="95"/>
      <c r="C170" s="96"/>
      <c r="D170" s="96"/>
      <c r="E170" s="81"/>
      <c r="F170" s="95"/>
      <c r="G170" s="96"/>
      <c r="H170" s="96"/>
      <c r="I170" s="81"/>
      <c r="J170" s="95"/>
      <c r="K170" s="96"/>
      <c r="L170" s="96"/>
      <c r="M170" s="81"/>
    </row>
    <row r="171" spans="1:13">
      <c r="A171" s="27"/>
      <c r="B171" s="95"/>
      <c r="C171" s="96"/>
      <c r="D171" s="96"/>
      <c r="E171" s="81"/>
      <c r="F171" s="95"/>
      <c r="G171" s="96"/>
      <c r="H171" s="96"/>
      <c r="I171" s="81"/>
      <c r="J171" s="95"/>
      <c r="K171" s="96"/>
      <c r="L171" s="96"/>
      <c r="M171" s="81"/>
    </row>
    <row r="172" spans="1:13">
      <c r="A172" s="27"/>
      <c r="B172" s="95"/>
      <c r="C172" s="96"/>
      <c r="D172" s="96"/>
      <c r="E172" s="81"/>
      <c r="F172" s="95"/>
      <c r="G172" s="96"/>
      <c r="H172" s="96"/>
      <c r="I172" s="81"/>
      <c r="J172" s="95"/>
      <c r="K172" s="96"/>
      <c r="L172" s="96"/>
      <c r="M172" s="81"/>
    </row>
    <row r="173" spans="1:13">
      <c r="A173" s="27"/>
      <c r="B173" s="95"/>
      <c r="C173" s="96"/>
      <c r="D173" s="96"/>
      <c r="E173" s="81"/>
      <c r="F173" s="95"/>
      <c r="G173" s="96"/>
      <c r="H173" s="96"/>
      <c r="I173" s="81"/>
      <c r="J173" s="95"/>
      <c r="K173" s="96"/>
      <c r="L173" s="96"/>
      <c r="M173" s="81"/>
    </row>
    <row r="174" spans="1:13">
      <c r="A174" s="27"/>
      <c r="B174" s="95"/>
      <c r="C174" s="96"/>
      <c r="D174" s="96"/>
      <c r="E174" s="81"/>
      <c r="F174" s="95"/>
      <c r="G174" s="96"/>
      <c r="H174" s="96"/>
      <c r="I174" s="81"/>
      <c r="J174" s="95"/>
      <c r="K174" s="96"/>
      <c r="L174" s="96"/>
      <c r="M174" s="81"/>
    </row>
    <row r="175" spans="1:13">
      <c r="A175" s="99"/>
      <c r="B175" s="100"/>
      <c r="C175" s="101"/>
      <c r="D175" s="101"/>
      <c r="E175" s="102"/>
      <c r="F175" s="100"/>
      <c r="G175" s="101"/>
      <c r="H175" s="101"/>
      <c r="I175" s="102"/>
      <c r="J175" s="100"/>
      <c r="K175" s="101"/>
      <c r="L175" s="101"/>
      <c r="M175" s="102"/>
    </row>
    <row r="176" spans="1:13">
      <c r="A176" s="27"/>
      <c r="B176" s="95"/>
      <c r="C176" s="96"/>
      <c r="D176" s="96"/>
      <c r="E176" s="81"/>
      <c r="F176" s="95"/>
      <c r="G176" s="96"/>
      <c r="H176" s="96"/>
      <c r="I176" s="81"/>
      <c r="J176" s="95"/>
      <c r="K176" s="96"/>
      <c r="L176" s="96"/>
      <c r="M176" s="81"/>
    </row>
    <row r="177" spans="1:15">
      <c r="A177" s="27"/>
      <c r="B177" s="95"/>
      <c r="C177" s="96"/>
      <c r="D177" s="96"/>
      <c r="E177" s="81"/>
      <c r="F177" s="95"/>
      <c r="G177" s="96"/>
      <c r="H177" s="96"/>
      <c r="I177" s="81"/>
      <c r="J177" s="95"/>
      <c r="K177" s="96"/>
      <c r="L177" s="96"/>
      <c r="M177" s="81"/>
      <c r="N177" s="55"/>
      <c r="O177" s="55"/>
    </row>
    <row r="178" spans="1:15">
      <c r="A178" s="27"/>
      <c r="B178" s="95"/>
      <c r="C178" s="96"/>
      <c r="D178" s="96"/>
      <c r="E178" s="81"/>
      <c r="F178" s="95"/>
      <c r="G178" s="96"/>
      <c r="H178" s="96"/>
      <c r="I178" s="81"/>
      <c r="J178" s="95"/>
      <c r="K178" s="96"/>
      <c r="L178" s="96"/>
      <c r="M178" s="81"/>
      <c r="N178" s="103"/>
      <c r="O178" s="103"/>
    </row>
    <row r="179" spans="1:15">
      <c r="A179" s="27"/>
      <c r="B179" s="95"/>
      <c r="C179" s="96"/>
      <c r="D179" s="96"/>
      <c r="E179" s="81"/>
      <c r="F179" s="95"/>
      <c r="G179" s="96"/>
      <c r="H179" s="96"/>
      <c r="I179" s="81"/>
      <c r="J179" s="95"/>
      <c r="K179" s="96"/>
      <c r="L179" s="96"/>
      <c r="M179" s="81"/>
      <c r="N179" s="103"/>
      <c r="O179" s="103"/>
    </row>
    <row r="180" spans="1:15">
      <c r="A180" s="27"/>
      <c r="B180" s="95"/>
      <c r="C180" s="96"/>
      <c r="D180" s="96"/>
      <c r="E180" s="81"/>
      <c r="F180" s="95"/>
      <c r="G180" s="96"/>
      <c r="H180" s="96"/>
      <c r="I180" s="81"/>
      <c r="J180" s="95"/>
      <c r="K180" s="96"/>
      <c r="L180" s="96"/>
      <c r="M180" s="81"/>
      <c r="N180" s="103"/>
      <c r="O180" s="103"/>
    </row>
    <row r="181" spans="1:15">
      <c r="A181" s="27"/>
      <c r="B181" s="95"/>
      <c r="C181" s="96"/>
      <c r="D181" s="96"/>
      <c r="E181" s="81"/>
      <c r="F181" s="95"/>
      <c r="G181" s="96"/>
      <c r="H181" s="96"/>
      <c r="I181" s="81"/>
      <c r="J181" s="95"/>
      <c r="K181" s="96"/>
      <c r="L181" s="96"/>
      <c r="M181" s="81"/>
      <c r="N181" s="103"/>
      <c r="O181" s="103"/>
    </row>
    <row r="182" spans="1:15">
      <c r="A182" s="27"/>
      <c r="B182" s="95"/>
      <c r="C182" s="96"/>
      <c r="D182" s="96"/>
      <c r="E182" s="81"/>
      <c r="F182" s="95"/>
      <c r="G182" s="96"/>
      <c r="H182" s="96"/>
      <c r="I182" s="81"/>
      <c r="J182" s="95"/>
      <c r="K182" s="96"/>
      <c r="L182" s="96"/>
      <c r="M182" s="81"/>
      <c r="N182" s="103"/>
      <c r="O182" s="103"/>
    </row>
    <row r="183" spans="1:15">
      <c r="A183" s="27"/>
      <c r="B183" s="95"/>
      <c r="C183" s="96"/>
      <c r="D183" s="96"/>
      <c r="E183" s="81"/>
      <c r="F183" s="95"/>
      <c r="G183" s="96"/>
      <c r="H183" s="96"/>
      <c r="I183" s="81"/>
      <c r="J183" s="95"/>
      <c r="K183" s="96"/>
      <c r="L183" s="96"/>
      <c r="M183" s="81"/>
      <c r="N183" s="103"/>
      <c r="O183" s="103"/>
    </row>
    <row r="184" spans="1:15">
      <c r="A184" s="27"/>
      <c r="B184" s="95"/>
      <c r="C184" s="96"/>
      <c r="D184" s="96"/>
      <c r="E184" s="81"/>
      <c r="F184" s="95"/>
      <c r="G184" s="96"/>
      <c r="H184" s="96"/>
      <c r="I184" s="81"/>
      <c r="J184" s="95"/>
      <c r="K184" s="96"/>
      <c r="L184" s="96"/>
      <c r="M184" s="81"/>
      <c r="N184" s="103"/>
      <c r="O184" s="103"/>
    </row>
    <row r="185" spans="1:15">
      <c r="A185" s="27"/>
      <c r="B185" s="95"/>
      <c r="C185" s="96"/>
      <c r="D185" s="96"/>
      <c r="E185" s="81"/>
      <c r="F185" s="95"/>
      <c r="G185" s="96"/>
      <c r="H185" s="96"/>
      <c r="I185" s="81"/>
      <c r="J185" s="95"/>
      <c r="K185" s="96"/>
      <c r="L185" s="96"/>
      <c r="M185" s="81"/>
      <c r="N185" s="103"/>
      <c r="O185" s="103"/>
    </row>
    <row r="186" spans="1:15">
      <c r="A186" s="27"/>
      <c r="B186" s="95"/>
      <c r="C186" s="96"/>
      <c r="D186" s="96"/>
      <c r="E186" s="81"/>
      <c r="F186" s="95"/>
      <c r="G186" s="96"/>
      <c r="H186" s="96"/>
      <c r="I186" s="81"/>
      <c r="J186" s="95"/>
      <c r="K186" s="96"/>
      <c r="L186" s="96"/>
      <c r="M186" s="81"/>
      <c r="N186" s="103"/>
      <c r="O186" s="103"/>
    </row>
    <row r="187" spans="1:15">
      <c r="A187" s="99"/>
      <c r="B187" s="100"/>
      <c r="C187" s="101"/>
      <c r="D187" s="101"/>
      <c r="E187" s="102"/>
      <c r="F187" s="100"/>
      <c r="G187" s="101"/>
      <c r="H187" s="101"/>
      <c r="I187" s="102"/>
      <c r="J187" s="100"/>
      <c r="K187" s="101"/>
      <c r="L187" s="101"/>
      <c r="M187" s="102"/>
      <c r="N187" s="103"/>
      <c r="O187" s="103"/>
    </row>
    <row r="188" spans="1:15">
      <c r="A188" s="27"/>
      <c r="B188" s="95"/>
      <c r="C188" s="96"/>
      <c r="D188" s="96"/>
      <c r="E188" s="81"/>
      <c r="F188" s="95"/>
      <c r="G188" s="96"/>
      <c r="H188" s="96"/>
      <c r="I188" s="81"/>
      <c r="J188" s="95"/>
      <c r="K188" s="96"/>
      <c r="L188" s="96"/>
      <c r="M188" s="81"/>
      <c r="N188" s="55"/>
      <c r="O188" s="55"/>
    </row>
    <row r="189" spans="1:15">
      <c r="A189" s="27"/>
      <c r="B189" s="95"/>
      <c r="C189" s="96"/>
      <c r="D189" s="96"/>
      <c r="E189" s="81"/>
      <c r="F189" s="95"/>
      <c r="G189" s="96"/>
      <c r="H189" s="96"/>
      <c r="I189" s="81"/>
      <c r="J189" s="95"/>
      <c r="K189" s="96"/>
      <c r="L189" s="96"/>
      <c r="M189" s="81"/>
      <c r="N189" s="55"/>
      <c r="O189" s="55"/>
    </row>
    <row r="190" spans="1:15">
      <c r="A190" s="27"/>
      <c r="B190" s="95"/>
      <c r="C190" s="96"/>
      <c r="D190" s="96"/>
      <c r="E190" s="81"/>
      <c r="F190" s="95"/>
      <c r="G190" s="96"/>
      <c r="H190" s="96"/>
      <c r="I190" s="81"/>
      <c r="J190" s="95"/>
      <c r="K190" s="96"/>
      <c r="L190" s="96"/>
      <c r="M190" s="81"/>
      <c r="N190" s="55"/>
      <c r="O190" s="55"/>
    </row>
    <row r="191" spans="1:15">
      <c r="A191" s="27"/>
      <c r="B191" s="95"/>
      <c r="C191" s="96"/>
      <c r="D191" s="96"/>
      <c r="E191" s="81"/>
      <c r="F191" s="95"/>
      <c r="G191" s="96"/>
      <c r="H191" s="96"/>
      <c r="I191" s="81"/>
      <c r="J191" s="95"/>
      <c r="K191" s="96"/>
      <c r="L191" s="96"/>
      <c r="M191" s="81"/>
      <c r="N191" s="55"/>
      <c r="O191" s="55"/>
    </row>
    <row r="192" spans="1:15">
      <c r="A192" s="27"/>
      <c r="B192" s="95"/>
      <c r="C192" s="96"/>
      <c r="D192" s="96"/>
      <c r="E192" s="81"/>
      <c r="F192" s="95"/>
      <c r="G192" s="96"/>
      <c r="H192" s="96"/>
      <c r="I192" s="81"/>
      <c r="J192" s="95"/>
      <c r="K192" s="96"/>
      <c r="L192" s="96"/>
      <c r="M192" s="81"/>
      <c r="N192" s="55"/>
      <c r="O192" s="55"/>
    </row>
    <row r="193" spans="1:13">
      <c r="A193" s="27"/>
      <c r="B193" s="95"/>
      <c r="C193" s="96"/>
      <c r="D193" s="96"/>
      <c r="E193" s="81"/>
      <c r="F193" s="95"/>
      <c r="G193" s="96"/>
      <c r="H193" s="96"/>
      <c r="I193" s="81"/>
      <c r="J193" s="95"/>
      <c r="K193" s="96"/>
      <c r="L193" s="96"/>
      <c r="M193" s="81"/>
    </row>
    <row r="194" spans="1:13">
      <c r="A194" s="27"/>
      <c r="B194" s="95"/>
      <c r="C194" s="96"/>
      <c r="D194" s="96"/>
      <c r="E194" s="81"/>
      <c r="F194" s="95"/>
      <c r="G194" s="96"/>
      <c r="H194" s="96"/>
      <c r="I194" s="81"/>
      <c r="J194" s="95"/>
      <c r="K194" s="96"/>
      <c r="L194" s="96"/>
      <c r="M194" s="81"/>
    </row>
    <row r="195" spans="1:13">
      <c r="A195" s="27"/>
      <c r="B195" s="95"/>
      <c r="C195" s="96"/>
      <c r="D195" s="96"/>
      <c r="E195" s="81"/>
      <c r="F195" s="95"/>
      <c r="G195" s="96"/>
      <c r="H195" s="96"/>
      <c r="I195" s="81"/>
      <c r="J195" s="95"/>
      <c r="K195" s="96"/>
      <c r="L195" s="96"/>
      <c r="M195" s="81"/>
    </row>
    <row r="196" spans="1:13">
      <c r="A196" s="27"/>
      <c r="B196" s="95"/>
      <c r="C196" s="96"/>
      <c r="D196" s="96"/>
      <c r="E196" s="81"/>
      <c r="F196" s="95"/>
      <c r="G196" s="96"/>
      <c r="H196" s="96"/>
      <c r="I196" s="81"/>
      <c r="J196" s="95"/>
      <c r="K196" s="96"/>
      <c r="L196" s="96"/>
      <c r="M196" s="81"/>
    </row>
    <row r="197" spans="1:13">
      <c r="A197" s="27"/>
      <c r="B197" s="95"/>
      <c r="C197" s="96"/>
      <c r="D197" s="96"/>
      <c r="E197" s="81"/>
      <c r="F197" s="95"/>
      <c r="G197" s="96"/>
      <c r="H197" s="96"/>
      <c r="I197" s="81"/>
      <c r="J197" s="95"/>
      <c r="K197" s="96"/>
      <c r="L197" s="96"/>
      <c r="M197" s="81"/>
    </row>
    <row r="198" spans="1:13">
      <c r="A198" s="27"/>
      <c r="B198" s="95"/>
      <c r="C198" s="96"/>
      <c r="D198" s="96"/>
      <c r="E198" s="81"/>
      <c r="F198" s="95"/>
      <c r="G198" s="96"/>
      <c r="H198" s="96"/>
      <c r="I198" s="81"/>
      <c r="J198" s="95"/>
      <c r="K198" s="96"/>
      <c r="L198" s="96"/>
      <c r="M198" s="81"/>
    </row>
    <row r="199" spans="1:13">
      <c r="A199" s="99"/>
      <c r="B199" s="100"/>
      <c r="C199" s="101"/>
      <c r="D199" s="101"/>
      <c r="E199" s="102"/>
      <c r="F199" s="100"/>
      <c r="G199" s="101"/>
      <c r="H199" s="101"/>
      <c r="I199" s="102"/>
      <c r="J199" s="100"/>
      <c r="K199" s="101"/>
      <c r="L199" s="101"/>
      <c r="M199" s="102"/>
    </row>
    <row r="200" spans="1:13">
      <c r="A200" s="27"/>
      <c r="B200" s="95"/>
      <c r="C200" s="96"/>
      <c r="D200" s="96"/>
      <c r="E200" s="81"/>
      <c r="F200" s="95"/>
      <c r="G200" s="96"/>
      <c r="H200" s="96"/>
      <c r="I200" s="81"/>
      <c r="J200" s="95"/>
      <c r="K200" s="96"/>
      <c r="L200" s="96"/>
      <c r="M200" s="81"/>
    </row>
    <row r="201" spans="1:13">
      <c r="A201" s="27"/>
      <c r="B201" s="95"/>
      <c r="C201" s="96"/>
      <c r="D201" s="96"/>
      <c r="E201" s="81"/>
      <c r="F201" s="95"/>
      <c r="G201" s="96"/>
      <c r="H201" s="96"/>
      <c r="I201" s="81"/>
      <c r="J201" s="95"/>
      <c r="K201" s="96"/>
      <c r="L201" s="96"/>
      <c r="M201" s="81"/>
    </row>
    <row r="202" spans="1:13">
      <c r="A202" s="27"/>
      <c r="B202" s="95"/>
      <c r="C202" s="96"/>
      <c r="D202" s="96"/>
      <c r="E202" s="81"/>
      <c r="F202" s="95"/>
      <c r="G202" s="96"/>
      <c r="H202" s="96"/>
      <c r="I202" s="81"/>
      <c r="J202" s="95"/>
      <c r="K202" s="96"/>
      <c r="L202" s="96"/>
      <c r="M202" s="81"/>
    </row>
    <row r="203" spans="1:13">
      <c r="A203" s="27"/>
      <c r="B203" s="95"/>
      <c r="C203" s="96"/>
      <c r="D203" s="96"/>
      <c r="E203" s="81"/>
      <c r="F203" s="95"/>
      <c r="G203" s="96"/>
      <c r="H203" s="96"/>
      <c r="I203" s="81"/>
      <c r="J203" s="95"/>
      <c r="K203" s="96"/>
      <c r="L203" s="96"/>
      <c r="M203" s="81"/>
    </row>
    <row r="204" spans="1:13">
      <c r="A204" s="27"/>
      <c r="B204" s="95"/>
      <c r="C204" s="96"/>
      <c r="D204" s="96"/>
      <c r="E204" s="81"/>
      <c r="F204" s="95"/>
      <c r="G204" s="96"/>
      <c r="H204" s="96"/>
      <c r="I204" s="81"/>
      <c r="J204" s="95"/>
      <c r="K204" s="96"/>
      <c r="L204" s="96"/>
      <c r="M204" s="81"/>
    </row>
    <row r="205" spans="1:13">
      <c r="A205" s="27"/>
      <c r="B205" s="95"/>
      <c r="C205" s="96"/>
      <c r="D205" s="96"/>
      <c r="E205" s="81"/>
      <c r="F205" s="95"/>
      <c r="G205" s="96"/>
      <c r="H205" s="96"/>
      <c r="I205" s="81"/>
      <c r="J205" s="95"/>
      <c r="K205" s="96"/>
      <c r="L205" s="96"/>
      <c r="M205" s="81"/>
    </row>
    <row r="206" spans="1:13">
      <c r="A206" s="27"/>
      <c r="B206" s="95"/>
      <c r="C206" s="96"/>
      <c r="D206" s="96"/>
      <c r="E206" s="81"/>
      <c r="F206" s="95"/>
      <c r="G206" s="96"/>
      <c r="H206" s="96"/>
      <c r="I206" s="81"/>
      <c r="J206" s="95"/>
      <c r="K206" s="96"/>
      <c r="L206" s="96"/>
      <c r="M206" s="81"/>
    </row>
    <row r="207" spans="1:13">
      <c r="A207" s="27"/>
      <c r="B207" s="95"/>
      <c r="C207" s="96"/>
      <c r="D207" s="96"/>
      <c r="E207" s="81"/>
      <c r="F207" s="95"/>
      <c r="G207" s="96"/>
      <c r="H207" s="96"/>
      <c r="I207" s="81"/>
      <c r="J207" s="95"/>
      <c r="K207" s="96"/>
      <c r="L207" s="96"/>
      <c r="M207" s="81"/>
    </row>
    <row r="208" spans="1:13">
      <c r="A208" s="27"/>
      <c r="B208" s="95"/>
      <c r="C208" s="96"/>
      <c r="D208" s="96"/>
      <c r="E208" s="81"/>
      <c r="F208" s="95"/>
      <c r="G208" s="96"/>
      <c r="H208" s="96"/>
      <c r="I208" s="81"/>
      <c r="J208" s="95"/>
      <c r="K208" s="96"/>
      <c r="L208" s="96"/>
      <c r="M208" s="81"/>
    </row>
    <row r="209" spans="1:13">
      <c r="A209" s="27"/>
      <c r="B209" s="95"/>
      <c r="C209" s="96"/>
      <c r="D209" s="96"/>
      <c r="E209" s="81"/>
      <c r="F209" s="95"/>
      <c r="G209" s="96"/>
      <c r="H209" s="96"/>
      <c r="I209" s="81"/>
      <c r="J209" s="95"/>
      <c r="K209" s="96"/>
      <c r="L209" s="96"/>
      <c r="M209" s="81"/>
    </row>
    <row r="210" spans="1:13">
      <c r="A210" s="27"/>
      <c r="B210" s="95"/>
      <c r="C210" s="96"/>
      <c r="D210" s="96"/>
      <c r="E210" s="81"/>
      <c r="F210" s="95"/>
      <c r="G210" s="96"/>
      <c r="H210" s="96"/>
      <c r="I210" s="81"/>
      <c r="J210" s="95"/>
      <c r="K210" s="96"/>
      <c r="L210" s="96"/>
      <c r="M210" s="81"/>
    </row>
    <row r="211" spans="1:13">
      <c r="A211" s="99"/>
      <c r="B211" s="100"/>
      <c r="C211" s="101"/>
      <c r="D211" s="101"/>
      <c r="E211" s="102"/>
      <c r="F211" s="100"/>
      <c r="G211" s="101"/>
      <c r="H211" s="101"/>
      <c r="I211" s="102"/>
      <c r="J211" s="100"/>
      <c r="K211" s="101"/>
      <c r="L211" s="101"/>
      <c r="M211" s="102"/>
    </row>
    <row r="212" spans="1:13">
      <c r="A212" s="27"/>
      <c r="B212" s="95"/>
      <c r="C212" s="96"/>
      <c r="D212" s="96"/>
      <c r="E212" s="81"/>
      <c r="F212" s="95"/>
      <c r="G212" s="96"/>
      <c r="H212" s="96"/>
      <c r="I212" s="81"/>
      <c r="J212" s="95"/>
      <c r="K212" s="96"/>
      <c r="L212" s="96"/>
      <c r="M212" s="81"/>
    </row>
    <row r="213" spans="1:13">
      <c r="A213" s="27"/>
      <c r="B213" s="95"/>
      <c r="C213" s="96"/>
      <c r="D213" s="96"/>
      <c r="E213" s="81"/>
      <c r="F213" s="95"/>
      <c r="G213" s="96"/>
      <c r="H213" s="96"/>
      <c r="I213" s="81"/>
      <c r="J213" s="95"/>
      <c r="K213" s="96"/>
      <c r="L213" s="96"/>
      <c r="M213" s="81"/>
    </row>
    <row r="214" spans="1:13">
      <c r="A214" s="27"/>
      <c r="B214" s="95"/>
      <c r="C214" s="96"/>
      <c r="D214" s="96"/>
      <c r="E214" s="81"/>
      <c r="F214" s="95"/>
      <c r="G214" s="96"/>
      <c r="H214" s="96"/>
      <c r="I214" s="81"/>
      <c r="J214" s="95"/>
      <c r="K214" s="96"/>
      <c r="L214" s="96"/>
      <c r="M214" s="81"/>
    </row>
    <row r="215" spans="1:13">
      <c r="A215" s="27"/>
      <c r="B215" s="95"/>
      <c r="C215" s="96"/>
      <c r="D215" s="96"/>
      <c r="E215" s="81"/>
      <c r="F215" s="95"/>
      <c r="G215" s="96"/>
      <c r="H215" s="96"/>
      <c r="I215" s="81"/>
      <c r="J215" s="95"/>
      <c r="K215" s="96"/>
      <c r="L215" s="96"/>
      <c r="M215" s="81"/>
    </row>
    <row r="216" spans="1:13">
      <c r="A216" s="27"/>
      <c r="B216" s="95"/>
      <c r="C216" s="96"/>
      <c r="D216" s="96"/>
      <c r="E216" s="81"/>
      <c r="F216" s="95"/>
      <c r="G216" s="96"/>
      <c r="H216" s="96"/>
      <c r="I216" s="81"/>
      <c r="J216" s="95"/>
      <c r="K216" s="96"/>
      <c r="L216" s="96"/>
      <c r="M216" s="81"/>
    </row>
    <row r="217" spans="1:13">
      <c r="A217" s="27"/>
      <c r="B217" s="95"/>
      <c r="C217" s="96"/>
      <c r="D217" s="96"/>
      <c r="E217" s="81"/>
      <c r="F217" s="95"/>
      <c r="G217" s="96"/>
      <c r="H217" s="96"/>
      <c r="I217" s="81"/>
      <c r="J217" s="95"/>
      <c r="K217" s="96"/>
      <c r="L217" s="96"/>
      <c r="M217" s="81"/>
    </row>
    <row r="218" spans="1:13">
      <c r="A218" s="27"/>
      <c r="B218" s="95"/>
      <c r="C218" s="96"/>
      <c r="D218" s="96"/>
      <c r="E218" s="81"/>
      <c r="F218" s="95"/>
      <c r="G218" s="96"/>
      <c r="H218" s="96"/>
      <c r="I218" s="81"/>
      <c r="J218" s="95"/>
      <c r="K218" s="96"/>
      <c r="L218" s="96"/>
      <c r="M218" s="81"/>
    </row>
    <row r="219" spans="1:13">
      <c r="A219" s="27"/>
      <c r="B219" s="95"/>
      <c r="C219" s="96"/>
      <c r="D219" s="96"/>
      <c r="E219" s="81"/>
      <c r="F219" s="95"/>
      <c r="G219" s="96"/>
      <c r="H219" s="96"/>
      <c r="I219" s="81"/>
      <c r="J219" s="95"/>
      <c r="K219" s="96"/>
      <c r="L219" s="96"/>
      <c r="M219" s="81"/>
    </row>
    <row r="220" spans="1:13">
      <c r="A220" s="27"/>
      <c r="B220" s="95"/>
      <c r="C220" s="96"/>
      <c r="D220" s="96"/>
      <c r="E220" s="81"/>
      <c r="F220" s="95"/>
      <c r="G220" s="96"/>
      <c r="H220" s="96"/>
      <c r="I220" s="81"/>
      <c r="J220" s="95"/>
      <c r="K220" s="96"/>
      <c r="L220" s="96"/>
      <c r="M220" s="81"/>
    </row>
    <row r="221" spans="1:13">
      <c r="A221" s="27"/>
      <c r="B221" s="95"/>
      <c r="C221" s="96"/>
      <c r="D221" s="96"/>
      <c r="E221" s="81"/>
      <c r="F221" s="95"/>
      <c r="G221" s="96"/>
      <c r="H221" s="96"/>
      <c r="I221" s="81"/>
      <c r="J221" s="95"/>
      <c r="K221" s="96"/>
      <c r="L221" s="96"/>
      <c r="M221" s="81"/>
    </row>
    <row r="222" spans="1:13">
      <c r="A222" s="27"/>
      <c r="B222" s="95"/>
      <c r="C222" s="96"/>
      <c r="D222" s="96"/>
      <c r="E222" s="81"/>
      <c r="F222" s="95"/>
      <c r="G222" s="96"/>
      <c r="H222" s="96"/>
      <c r="I222" s="81"/>
      <c r="J222" s="95"/>
      <c r="K222" s="96"/>
      <c r="L222" s="96"/>
      <c r="M222" s="81"/>
    </row>
    <row r="223" spans="1:13">
      <c r="A223" s="99"/>
      <c r="B223" s="100"/>
      <c r="C223" s="101"/>
      <c r="D223" s="101"/>
      <c r="E223" s="102"/>
      <c r="F223" s="100"/>
      <c r="G223" s="101"/>
      <c r="H223" s="101"/>
      <c r="I223" s="102"/>
      <c r="J223" s="100"/>
      <c r="K223" s="101"/>
      <c r="L223" s="101"/>
      <c r="M223" s="102"/>
    </row>
    <row r="224" spans="1:13">
      <c r="A224" s="27"/>
      <c r="B224" s="95"/>
      <c r="C224" s="96"/>
      <c r="D224" s="96"/>
      <c r="E224" s="81"/>
      <c r="F224" s="95"/>
      <c r="G224" s="96"/>
      <c r="H224" s="96"/>
      <c r="I224" s="81"/>
      <c r="J224" s="95"/>
      <c r="K224" s="96"/>
      <c r="L224" s="96"/>
      <c r="M224" s="81"/>
    </row>
    <row r="225" spans="1:13">
      <c r="A225" s="27"/>
      <c r="B225" s="95"/>
      <c r="C225" s="96"/>
      <c r="D225" s="96"/>
      <c r="E225" s="81"/>
      <c r="F225" s="95"/>
      <c r="G225" s="96"/>
      <c r="H225" s="96"/>
      <c r="I225" s="81"/>
      <c r="J225" s="95"/>
      <c r="K225" s="96"/>
      <c r="L225" s="96"/>
      <c r="M225" s="81"/>
    </row>
    <row r="226" spans="1:13">
      <c r="A226" s="27"/>
      <c r="B226" s="95"/>
      <c r="C226" s="96"/>
      <c r="D226" s="96"/>
      <c r="E226" s="81"/>
      <c r="F226" s="95"/>
      <c r="G226" s="96"/>
      <c r="H226" s="96"/>
      <c r="I226" s="81"/>
      <c r="J226" s="95"/>
      <c r="K226" s="96"/>
      <c r="L226" s="96"/>
      <c r="M226" s="81"/>
    </row>
    <row r="227" spans="1:13">
      <c r="A227" s="27"/>
      <c r="B227" s="95"/>
      <c r="C227" s="96"/>
      <c r="D227" s="96"/>
      <c r="E227" s="81"/>
      <c r="F227" s="95"/>
      <c r="G227" s="96"/>
      <c r="H227" s="96"/>
      <c r="I227" s="81"/>
      <c r="J227" s="95"/>
      <c r="K227" s="96"/>
      <c r="L227" s="96"/>
      <c r="M227" s="81"/>
    </row>
    <row r="228" spans="1:13">
      <c r="A228" s="27"/>
      <c r="B228" s="95"/>
      <c r="C228" s="96"/>
      <c r="D228" s="96"/>
      <c r="E228" s="81"/>
      <c r="F228" s="95"/>
      <c r="G228" s="96"/>
      <c r="H228" s="96"/>
      <c r="I228" s="81"/>
      <c r="J228" s="95"/>
      <c r="K228" s="96"/>
      <c r="L228" s="96"/>
      <c r="M228" s="81"/>
    </row>
    <row r="229" spans="1:13">
      <c r="A229" s="27"/>
      <c r="B229" s="95"/>
      <c r="C229" s="96"/>
      <c r="D229" s="96"/>
      <c r="E229" s="81"/>
      <c r="F229" s="95"/>
      <c r="G229" s="96"/>
      <c r="H229" s="96"/>
      <c r="I229" s="81"/>
      <c r="J229" s="95"/>
      <c r="K229" s="96"/>
      <c r="L229" s="96"/>
      <c r="M229" s="81"/>
    </row>
    <row r="230" spans="1:13">
      <c r="A230" s="27"/>
      <c r="B230" s="95"/>
      <c r="C230" s="96"/>
      <c r="D230" s="96"/>
      <c r="E230" s="81"/>
      <c r="F230" s="95"/>
      <c r="G230" s="96"/>
      <c r="H230" s="96"/>
      <c r="I230" s="81"/>
      <c r="J230" s="95"/>
      <c r="K230" s="96"/>
      <c r="L230" s="96"/>
      <c r="M230" s="81"/>
    </row>
    <row r="231" spans="1:13">
      <c r="A231" s="27"/>
      <c r="B231" s="95"/>
      <c r="C231" s="96"/>
      <c r="D231" s="96"/>
      <c r="E231" s="81"/>
      <c r="F231" s="95"/>
      <c r="G231" s="96"/>
      <c r="H231" s="96"/>
      <c r="I231" s="81"/>
      <c r="J231" s="95"/>
      <c r="K231" s="96"/>
      <c r="L231" s="96"/>
      <c r="M231" s="81"/>
    </row>
    <row r="232" spans="1:13">
      <c r="A232" s="27"/>
      <c r="B232" s="95"/>
      <c r="C232" s="96"/>
      <c r="D232" s="96"/>
      <c r="E232" s="81"/>
      <c r="F232" s="95"/>
      <c r="G232" s="96"/>
      <c r="H232" s="96"/>
      <c r="I232" s="81"/>
      <c r="J232" s="95"/>
      <c r="K232" s="96"/>
      <c r="L232" s="96"/>
      <c r="M232" s="81"/>
    </row>
    <row r="233" spans="1:13">
      <c r="A233" s="27"/>
      <c r="B233" s="95"/>
      <c r="C233" s="96"/>
      <c r="D233" s="96"/>
      <c r="E233" s="81"/>
      <c r="F233" s="95"/>
      <c r="G233" s="96"/>
      <c r="H233" s="96"/>
      <c r="I233" s="81"/>
      <c r="J233" s="95"/>
      <c r="K233" s="96"/>
      <c r="L233" s="96"/>
      <c r="M233" s="81"/>
    </row>
    <row r="234" spans="1:13">
      <c r="A234" s="27"/>
      <c r="B234" s="95"/>
      <c r="C234" s="96"/>
      <c r="D234" s="96"/>
      <c r="E234" s="81"/>
      <c r="F234" s="95"/>
      <c r="G234" s="96"/>
      <c r="H234" s="96"/>
      <c r="I234" s="81"/>
      <c r="J234" s="95"/>
      <c r="K234" s="96"/>
      <c r="L234" s="96"/>
      <c r="M234" s="81"/>
    </row>
    <row r="235" spans="1:13">
      <c r="A235" s="99"/>
      <c r="B235" s="100"/>
      <c r="C235" s="101"/>
      <c r="D235" s="101"/>
      <c r="E235" s="102"/>
      <c r="F235" s="100"/>
      <c r="G235" s="101"/>
      <c r="H235" s="101"/>
      <c r="I235" s="102"/>
      <c r="J235" s="100"/>
      <c r="K235" s="101"/>
      <c r="L235" s="101"/>
      <c r="M235" s="102"/>
    </row>
    <row r="236" spans="1:13">
      <c r="A236" s="27"/>
      <c r="B236" s="95"/>
      <c r="C236" s="96"/>
      <c r="D236" s="96"/>
      <c r="E236" s="81"/>
      <c r="F236" s="95"/>
      <c r="G236" s="96"/>
      <c r="H236" s="96"/>
      <c r="I236" s="81"/>
      <c r="J236" s="95"/>
      <c r="K236" s="96"/>
      <c r="L236" s="96"/>
      <c r="M236" s="81"/>
    </row>
    <row r="237" spans="1:13">
      <c r="A237" s="27"/>
      <c r="B237" s="95"/>
      <c r="C237" s="96"/>
      <c r="D237" s="96"/>
      <c r="E237" s="81"/>
      <c r="F237" s="95"/>
      <c r="G237" s="96"/>
      <c r="H237" s="96"/>
      <c r="I237" s="81"/>
      <c r="J237" s="95"/>
      <c r="K237" s="96"/>
      <c r="L237" s="96"/>
      <c r="M237" s="81"/>
    </row>
    <row r="238" spans="1:13">
      <c r="A238" s="27"/>
      <c r="B238" s="95"/>
      <c r="C238" s="96"/>
      <c r="D238" s="96"/>
      <c r="E238" s="81"/>
      <c r="F238" s="95"/>
      <c r="G238" s="96"/>
      <c r="H238" s="96"/>
      <c r="I238" s="81"/>
      <c r="J238" s="95"/>
      <c r="K238" s="96"/>
      <c r="L238" s="96"/>
      <c r="M238" s="81"/>
    </row>
    <row r="239" spans="1:13">
      <c r="A239" s="27"/>
      <c r="B239" s="95"/>
      <c r="C239" s="96"/>
      <c r="D239" s="96"/>
      <c r="E239" s="81"/>
      <c r="F239" s="95"/>
      <c r="G239" s="96"/>
      <c r="H239" s="96"/>
      <c r="I239" s="81"/>
      <c r="J239" s="95"/>
      <c r="K239" s="96"/>
      <c r="L239" s="96"/>
      <c r="M239" s="81"/>
    </row>
    <row r="240" spans="1:13">
      <c r="A240" s="27"/>
      <c r="B240" s="95"/>
      <c r="C240" s="96"/>
      <c r="D240" s="96"/>
      <c r="E240" s="81"/>
      <c r="F240" s="95"/>
      <c r="G240" s="96"/>
      <c r="H240" s="96"/>
      <c r="I240" s="81"/>
      <c r="J240" s="95"/>
      <c r="K240" s="96"/>
      <c r="L240" s="96"/>
      <c r="M240" s="81"/>
    </row>
    <row r="241" spans="1:13">
      <c r="A241" s="27"/>
      <c r="B241" s="95"/>
      <c r="C241" s="96"/>
      <c r="D241" s="96"/>
      <c r="E241" s="81"/>
      <c r="F241" s="95"/>
      <c r="G241" s="96"/>
      <c r="H241" s="96"/>
      <c r="I241" s="81"/>
      <c r="J241" s="95"/>
      <c r="K241" s="96"/>
      <c r="L241" s="96"/>
      <c r="M241" s="81"/>
    </row>
    <row r="242" spans="1:13">
      <c r="A242" s="27"/>
      <c r="B242" s="95"/>
      <c r="C242" s="96"/>
      <c r="D242" s="96"/>
      <c r="E242" s="81"/>
      <c r="F242" s="95"/>
      <c r="G242" s="96"/>
      <c r="H242" s="96"/>
      <c r="I242" s="81"/>
      <c r="J242" s="95"/>
      <c r="K242" s="96"/>
      <c r="L242" s="96"/>
      <c r="M242" s="81"/>
    </row>
    <row r="243" spans="1:13">
      <c r="A243" s="27"/>
      <c r="B243" s="95"/>
      <c r="C243" s="96"/>
      <c r="D243" s="96"/>
      <c r="E243" s="81"/>
      <c r="F243" s="95"/>
      <c r="G243" s="96"/>
      <c r="H243" s="96"/>
      <c r="I243" s="81"/>
      <c r="J243" s="95"/>
      <c r="K243" s="96"/>
      <c r="L243" s="96"/>
      <c r="M243" s="81"/>
    </row>
    <row r="244" spans="1:13">
      <c r="A244" s="27"/>
      <c r="B244" s="95"/>
      <c r="C244" s="96"/>
      <c r="D244" s="96"/>
      <c r="E244" s="81"/>
      <c r="F244" s="95"/>
      <c r="G244" s="96"/>
      <c r="H244" s="96"/>
      <c r="I244" s="81"/>
      <c r="J244" s="95"/>
      <c r="K244" s="96"/>
      <c r="L244" s="96"/>
      <c r="M244" s="81"/>
    </row>
    <row r="245" spans="1:13">
      <c r="A245" s="27"/>
      <c r="B245" s="95"/>
      <c r="C245" s="96"/>
      <c r="D245" s="96"/>
      <c r="E245" s="81"/>
      <c r="F245" s="95"/>
      <c r="G245" s="96"/>
      <c r="H245" s="96"/>
      <c r="I245" s="81"/>
      <c r="J245" s="95"/>
      <c r="K245" s="96"/>
      <c r="L245" s="96"/>
      <c r="M245" s="81"/>
    </row>
    <row r="246" spans="1:13" ht="12" customHeight="1">
      <c r="A246" s="27"/>
      <c r="B246" s="95"/>
      <c r="C246" s="96"/>
      <c r="D246" s="96"/>
      <c r="E246" s="81"/>
      <c r="F246" s="95"/>
      <c r="G246" s="96"/>
      <c r="H246" s="96"/>
      <c r="I246" s="81"/>
      <c r="J246" s="95"/>
      <c r="K246" s="96"/>
      <c r="L246" s="96"/>
      <c r="M246" s="81"/>
    </row>
    <row r="247" spans="1:13">
      <c r="A247" s="99"/>
      <c r="B247" s="100"/>
      <c r="C247" s="101"/>
      <c r="D247" s="101"/>
      <c r="E247" s="102"/>
      <c r="F247" s="100"/>
      <c r="G247" s="101"/>
      <c r="H247" s="101"/>
      <c r="I247" s="102"/>
      <c r="J247" s="100"/>
      <c r="K247" s="101"/>
      <c r="L247" s="101"/>
      <c r="M247" s="102"/>
    </row>
    <row r="248" spans="1:13">
      <c r="A248" s="27"/>
      <c r="B248" s="95"/>
      <c r="C248" s="96"/>
      <c r="D248" s="96"/>
      <c r="E248" s="81"/>
      <c r="F248" s="95"/>
      <c r="G248" s="96"/>
      <c r="H248" s="96"/>
      <c r="I248" s="81"/>
      <c r="J248" s="95"/>
      <c r="K248" s="96"/>
      <c r="L248" s="96"/>
      <c r="M248" s="81"/>
    </row>
    <row r="249" spans="1:13">
      <c r="A249" s="27"/>
      <c r="B249" s="95"/>
      <c r="C249" s="96"/>
      <c r="D249" s="96"/>
      <c r="E249" s="81"/>
      <c r="F249" s="95"/>
      <c r="G249" s="96"/>
      <c r="H249" s="96"/>
      <c r="I249" s="81"/>
      <c r="J249" s="95"/>
      <c r="K249" s="96"/>
      <c r="L249" s="96"/>
      <c r="M249" s="81"/>
    </row>
    <row r="250" spans="1:13">
      <c r="A250" s="27"/>
      <c r="B250" s="95"/>
      <c r="C250" s="96"/>
      <c r="D250" s="96"/>
      <c r="E250" s="81"/>
      <c r="F250" s="95"/>
      <c r="G250" s="96"/>
      <c r="H250" s="96"/>
      <c r="I250" s="81"/>
      <c r="J250" s="95"/>
      <c r="K250" s="96"/>
      <c r="L250" s="96"/>
      <c r="M250" s="81"/>
    </row>
    <row r="251" spans="1:13">
      <c r="A251" s="27"/>
      <c r="B251" s="95"/>
      <c r="C251" s="96"/>
      <c r="D251" s="96"/>
      <c r="E251" s="81"/>
      <c r="F251" s="95"/>
      <c r="G251" s="96"/>
      <c r="H251" s="96"/>
      <c r="I251" s="81"/>
      <c r="J251" s="95"/>
      <c r="K251" s="96"/>
      <c r="L251" s="96"/>
      <c r="M251" s="81"/>
    </row>
    <row r="252" spans="1:13">
      <c r="A252" s="104"/>
      <c r="B252" s="95"/>
      <c r="C252" s="96"/>
      <c r="D252" s="96"/>
      <c r="E252" s="81"/>
      <c r="F252" s="95"/>
      <c r="G252" s="96"/>
      <c r="H252" s="96"/>
      <c r="I252" s="81"/>
      <c r="J252" s="95"/>
      <c r="K252" s="96"/>
      <c r="L252" s="96"/>
      <c r="M252" s="81"/>
    </row>
    <row r="253" spans="1:13">
      <c r="A253" s="104"/>
      <c r="B253" s="95"/>
      <c r="C253" s="96"/>
      <c r="D253" s="96"/>
      <c r="E253" s="81"/>
      <c r="F253" s="95"/>
      <c r="G253" s="96"/>
      <c r="H253" s="96"/>
      <c r="I253" s="81"/>
      <c r="J253" s="95"/>
      <c r="K253" s="96"/>
      <c r="L253" s="96"/>
      <c r="M253" s="81"/>
    </row>
    <row r="254" spans="1:13">
      <c r="A254" s="104"/>
      <c r="B254" s="95"/>
      <c r="C254" s="96"/>
      <c r="D254" s="96"/>
      <c r="E254" s="81"/>
      <c r="F254" s="95"/>
      <c r="G254" s="96"/>
      <c r="H254" s="96"/>
      <c r="I254" s="81"/>
      <c r="J254" s="95"/>
      <c r="K254" s="96"/>
      <c r="L254" s="96"/>
      <c r="M254" s="81"/>
    </row>
    <row r="255" spans="1:13">
      <c r="A255" s="104"/>
      <c r="B255" s="95"/>
      <c r="C255" s="96"/>
      <c r="D255" s="96"/>
      <c r="E255" s="81"/>
      <c r="F255" s="95"/>
      <c r="G255" s="96"/>
      <c r="H255" s="96"/>
      <c r="I255" s="81"/>
      <c r="J255" s="95"/>
      <c r="K255" s="96"/>
      <c r="L255" s="96"/>
      <c r="M255" s="81"/>
    </row>
    <row r="256" spans="1:13">
      <c r="A256" s="104"/>
      <c r="B256" s="95"/>
      <c r="C256" s="96"/>
      <c r="D256" s="96"/>
      <c r="E256" s="81"/>
      <c r="F256" s="95"/>
      <c r="G256" s="96"/>
      <c r="H256" s="96"/>
      <c r="I256" s="81"/>
      <c r="J256" s="95"/>
      <c r="K256" s="96"/>
      <c r="L256" s="96"/>
      <c r="M256" s="81"/>
    </row>
    <row r="257" spans="1:13">
      <c r="A257" s="104"/>
      <c r="B257" s="95"/>
      <c r="C257" s="96"/>
      <c r="D257" s="96"/>
      <c r="E257" s="81"/>
      <c r="F257" s="95"/>
      <c r="G257" s="96"/>
      <c r="H257" s="96"/>
      <c r="I257" s="81"/>
      <c r="J257" s="95"/>
      <c r="K257" s="96"/>
      <c r="L257" s="96"/>
      <c r="M257" s="81"/>
    </row>
    <row r="258" spans="1:13">
      <c r="A258" s="104"/>
      <c r="B258" s="95"/>
      <c r="C258" s="96"/>
      <c r="D258" s="96"/>
      <c r="E258" s="81"/>
      <c r="F258" s="95"/>
      <c r="G258" s="96"/>
      <c r="H258" s="96"/>
      <c r="I258" s="81"/>
      <c r="J258" s="95"/>
      <c r="K258" s="96"/>
      <c r="L258" s="96"/>
      <c r="M258" s="81"/>
    </row>
    <row r="259" spans="1:13">
      <c r="A259" s="99"/>
      <c r="B259" s="100"/>
      <c r="C259" s="101"/>
      <c r="D259" s="101"/>
      <c r="E259" s="102"/>
      <c r="F259" s="100"/>
      <c r="G259" s="101"/>
      <c r="H259" s="101"/>
      <c r="I259" s="102"/>
      <c r="J259" s="100"/>
      <c r="K259" s="101"/>
      <c r="L259" s="101"/>
      <c r="M259" s="102"/>
    </row>
    <row r="260" spans="1:13">
      <c r="A260" s="104"/>
      <c r="B260" s="95"/>
      <c r="C260" s="96"/>
      <c r="D260" s="96"/>
      <c r="E260" s="81"/>
      <c r="F260" s="95"/>
      <c r="G260" s="96"/>
      <c r="H260" s="96"/>
      <c r="I260" s="81"/>
      <c r="J260" s="95"/>
      <c r="K260" s="96"/>
      <c r="L260" s="96"/>
      <c r="M260" s="81"/>
    </row>
    <row r="261" spans="1:13">
      <c r="A261" s="104"/>
      <c r="B261" s="95"/>
      <c r="C261" s="96"/>
      <c r="D261" s="96"/>
      <c r="E261" s="81"/>
      <c r="F261" s="95"/>
      <c r="G261" s="96"/>
      <c r="H261" s="96"/>
      <c r="I261" s="81"/>
      <c r="J261" s="95"/>
      <c r="K261" s="96"/>
      <c r="L261" s="96"/>
      <c r="M261" s="81"/>
    </row>
    <row r="262" spans="1:13">
      <c r="A262" s="104"/>
      <c r="B262" s="95"/>
      <c r="C262" s="96"/>
      <c r="D262" s="96"/>
      <c r="E262" s="81"/>
      <c r="F262" s="95"/>
      <c r="G262" s="96"/>
      <c r="H262" s="96"/>
      <c r="I262" s="81"/>
      <c r="J262" s="95"/>
      <c r="K262" s="96"/>
      <c r="L262" s="96"/>
      <c r="M262" s="81"/>
    </row>
    <row r="263" spans="1:13">
      <c r="A263" s="104"/>
      <c r="B263" s="95"/>
      <c r="C263" s="96"/>
      <c r="D263" s="96"/>
      <c r="E263" s="81"/>
      <c r="F263" s="95"/>
      <c r="G263" s="96"/>
      <c r="H263" s="96"/>
      <c r="I263" s="81"/>
      <c r="J263" s="95"/>
      <c r="K263" s="96"/>
      <c r="L263" s="96"/>
      <c r="M263" s="81"/>
    </row>
    <row r="264" spans="1:13">
      <c r="A264" s="104"/>
      <c r="B264" s="95"/>
      <c r="C264" s="96"/>
      <c r="D264" s="96"/>
      <c r="E264" s="81"/>
      <c r="F264" s="95"/>
      <c r="G264" s="96"/>
      <c r="H264" s="96"/>
      <c r="I264" s="81"/>
      <c r="J264" s="95"/>
      <c r="K264" s="96"/>
      <c r="L264" s="96"/>
      <c r="M264" s="81"/>
    </row>
    <row r="265" spans="1:13">
      <c r="A265" s="104"/>
      <c r="B265" s="95"/>
      <c r="C265" s="96"/>
      <c r="D265" s="96"/>
      <c r="E265" s="81"/>
      <c r="F265" s="95"/>
      <c r="G265" s="96"/>
      <c r="H265" s="96"/>
      <c r="I265" s="81"/>
      <c r="J265" s="95"/>
      <c r="K265" s="96"/>
      <c r="L265" s="96"/>
      <c r="M265" s="81"/>
    </row>
    <row r="266" spans="1:13">
      <c r="A266" s="104"/>
      <c r="B266" s="95"/>
      <c r="C266" s="96"/>
      <c r="D266" s="96"/>
      <c r="E266" s="81"/>
      <c r="F266" s="95"/>
      <c r="G266" s="96"/>
      <c r="H266" s="96"/>
      <c r="I266" s="81"/>
      <c r="J266" s="95"/>
      <c r="K266" s="96"/>
      <c r="L266" s="96"/>
      <c r="M266" s="81"/>
    </row>
    <row r="267" spans="1:13">
      <c r="A267" s="104"/>
      <c r="B267" s="95"/>
      <c r="C267" s="96"/>
      <c r="D267" s="96"/>
      <c r="E267" s="81"/>
      <c r="F267" s="95"/>
      <c r="G267" s="96"/>
      <c r="H267" s="96"/>
      <c r="I267" s="81"/>
      <c r="J267" s="95"/>
      <c r="K267" s="96"/>
      <c r="L267" s="96"/>
      <c r="M267" s="81"/>
    </row>
    <row r="268" spans="1:13">
      <c r="A268" s="104"/>
      <c r="B268" s="95"/>
      <c r="C268" s="96"/>
      <c r="D268" s="96"/>
      <c r="E268" s="81"/>
      <c r="F268" s="95"/>
      <c r="G268" s="96"/>
      <c r="H268" s="96"/>
      <c r="I268" s="81"/>
      <c r="J268" s="95"/>
      <c r="K268" s="96"/>
      <c r="L268" s="96"/>
      <c r="M268" s="81"/>
    </row>
    <row r="269" spans="1:13">
      <c r="A269" s="104"/>
      <c r="B269" s="95"/>
      <c r="C269" s="96"/>
      <c r="D269" s="96"/>
      <c r="E269" s="81"/>
      <c r="F269" s="95"/>
      <c r="G269" s="96"/>
      <c r="H269" s="96"/>
      <c r="I269" s="81"/>
      <c r="J269" s="95"/>
      <c r="K269" s="96"/>
      <c r="L269" s="96"/>
      <c r="M269" s="81"/>
    </row>
    <row r="270" spans="1:13">
      <c r="A270" s="104"/>
      <c r="B270" s="95"/>
      <c r="C270" s="96"/>
      <c r="D270" s="96"/>
      <c r="E270" s="81"/>
      <c r="F270" s="95"/>
      <c r="G270" s="96"/>
      <c r="H270" s="96"/>
      <c r="I270" s="81"/>
      <c r="J270" s="95"/>
      <c r="K270" s="96"/>
      <c r="L270" s="96"/>
      <c r="M270" s="81"/>
    </row>
    <row r="271" spans="1:13">
      <c r="A271" s="99"/>
      <c r="B271" s="100"/>
      <c r="C271" s="101"/>
      <c r="D271" s="101"/>
      <c r="E271" s="102"/>
      <c r="F271" s="100"/>
      <c r="G271" s="101"/>
      <c r="H271" s="101"/>
      <c r="I271" s="102"/>
      <c r="J271" s="100"/>
      <c r="K271" s="101"/>
      <c r="L271" s="101"/>
      <c r="M271" s="102"/>
    </row>
    <row r="272" spans="1:13">
      <c r="A272" s="104"/>
      <c r="B272" s="95"/>
      <c r="C272" s="96"/>
      <c r="D272" s="96"/>
      <c r="E272" s="81"/>
      <c r="F272" s="95"/>
      <c r="G272" s="96"/>
      <c r="H272" s="96"/>
      <c r="I272" s="81"/>
      <c r="J272" s="95"/>
      <c r="K272" s="96"/>
      <c r="L272" s="96"/>
      <c r="M272" s="81"/>
    </row>
    <row r="273" spans="1:1">
      <c r="A273" s="99"/>
    </row>
  </sheetData>
  <mergeCells count="4">
    <mergeCell ref="B6:E6"/>
    <mergeCell ref="F6:I6"/>
    <mergeCell ref="J6:M6"/>
    <mergeCell ref="A6:A7"/>
  </mergeCells>
  <phoneticPr fontId="2" type="noConversion"/>
  <pageMargins left="0.78740157499999996" right="0.78740157499999996" top="0.984251969" bottom="0.984251969" header="0.4921259845" footer="0.492125984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O273"/>
  <sheetViews>
    <sheetView workbookViewId="0">
      <pane xSplit="1" ySplit="7" topLeftCell="B8" activePane="bottomRight" state="frozen"/>
      <selection pane="bottomRight" activeCell="A121" sqref="A121"/>
      <selection pane="bottomLeft" activeCell="A259" sqref="A259"/>
      <selection pane="topRight" activeCell="A259" sqref="A259"/>
    </sheetView>
  </sheetViews>
  <sheetFormatPr defaultColWidth="11.42578125" defaultRowHeight="10.15"/>
  <cols>
    <col min="1" max="1" width="15.5703125" style="3" bestFit="1" customWidth="1"/>
    <col min="2" max="2" width="12.7109375" style="20" customWidth="1"/>
    <col min="3" max="3" width="10" style="21" bestFit="1" customWidth="1"/>
    <col min="4" max="4" width="11.28515625" style="21" bestFit="1" customWidth="1"/>
    <col min="5" max="5" width="8.140625" style="22" customWidth="1"/>
    <col min="6" max="6" width="12.42578125" style="20" bestFit="1" customWidth="1"/>
    <col min="7" max="7" width="10" style="21" bestFit="1" customWidth="1"/>
    <col min="8" max="8" width="11.28515625" style="21" bestFit="1" customWidth="1"/>
    <col min="9" max="9" width="9" style="22" customWidth="1"/>
    <col min="10" max="10" width="12.42578125" style="20" bestFit="1" customWidth="1"/>
    <col min="11" max="11" width="10" style="21" bestFit="1" customWidth="1"/>
    <col min="12" max="12" width="11.28515625" style="21" bestFit="1" customWidth="1"/>
    <col min="13" max="13" width="8.7109375" style="22" customWidth="1"/>
    <col min="14" max="16384" width="11.42578125" style="34"/>
  </cols>
  <sheetData>
    <row r="1" spans="1:15">
      <c r="A1" s="23" t="s">
        <v>44</v>
      </c>
      <c r="B1" s="23" t="s">
        <v>179</v>
      </c>
      <c r="C1" s="23"/>
      <c r="D1" s="23"/>
      <c r="E1" s="23"/>
      <c r="F1" s="23"/>
      <c r="G1" s="23"/>
      <c r="H1" s="23"/>
      <c r="I1" s="23"/>
      <c r="J1" s="23"/>
      <c r="K1" s="23"/>
      <c r="L1" s="23"/>
      <c r="M1" s="23"/>
      <c r="N1" s="55"/>
      <c r="O1" s="55"/>
    </row>
    <row r="2" spans="1:15">
      <c r="A2" s="23" t="s">
        <v>46</v>
      </c>
      <c r="B2" s="23" t="s">
        <v>47</v>
      </c>
      <c r="C2" s="23"/>
      <c r="D2" s="23"/>
      <c r="E2" s="23"/>
      <c r="F2" s="23"/>
      <c r="G2" s="23"/>
      <c r="H2" s="23"/>
      <c r="I2" s="23"/>
      <c r="J2" s="23"/>
      <c r="K2" s="23"/>
      <c r="L2" s="23"/>
      <c r="M2" s="23"/>
      <c r="N2" s="55"/>
      <c r="O2" s="55"/>
    </row>
    <row r="3" spans="1:15">
      <c r="A3" s="23" t="s">
        <v>48</v>
      </c>
      <c r="B3" s="23" t="s">
        <v>49</v>
      </c>
      <c r="C3" s="23"/>
      <c r="D3" s="23"/>
      <c r="E3" s="23"/>
      <c r="F3" s="23"/>
      <c r="G3" s="23"/>
      <c r="H3" s="23"/>
      <c r="I3" s="23"/>
      <c r="J3" s="23"/>
      <c r="K3" s="23"/>
      <c r="L3" s="23"/>
      <c r="M3" s="23"/>
      <c r="N3" s="55"/>
      <c r="O3" s="55"/>
    </row>
    <row r="4" spans="1:15">
      <c r="A4" s="23" t="s">
        <v>50</v>
      </c>
      <c r="B4" s="23" t="s">
        <v>51</v>
      </c>
      <c r="C4" s="23"/>
      <c r="D4" s="23"/>
      <c r="E4" s="23"/>
      <c r="F4" s="23"/>
      <c r="G4" s="23"/>
      <c r="H4" s="23"/>
      <c r="I4" s="23"/>
      <c r="J4" s="23"/>
      <c r="K4" s="23"/>
      <c r="L4" s="23"/>
      <c r="M4" s="23"/>
      <c r="N4" s="55"/>
      <c r="O4" s="55"/>
    </row>
    <row r="5" spans="1:15">
      <c r="A5" s="23" t="s">
        <v>52</v>
      </c>
      <c r="B5" s="23"/>
      <c r="C5" s="23"/>
      <c r="D5" s="23"/>
      <c r="E5" s="23"/>
      <c r="F5" s="23"/>
      <c r="G5" s="23"/>
      <c r="H5" s="23"/>
      <c r="I5" s="23"/>
      <c r="J5" s="23"/>
      <c r="K5" s="23"/>
      <c r="L5" s="23"/>
      <c r="M5" s="23"/>
      <c r="N5" s="55"/>
      <c r="O5" s="55"/>
    </row>
    <row r="6" spans="1:15" ht="13.15">
      <c r="A6" s="257" t="s">
        <v>53</v>
      </c>
      <c r="B6" s="254" t="s">
        <v>180</v>
      </c>
      <c r="C6" s="255"/>
      <c r="D6" s="255"/>
      <c r="E6" s="256"/>
      <c r="F6" s="254" t="s">
        <v>181</v>
      </c>
      <c r="G6" s="255"/>
      <c r="H6" s="255"/>
      <c r="I6" s="256"/>
      <c r="J6" s="254" t="s">
        <v>182</v>
      </c>
      <c r="K6" s="255"/>
      <c r="L6" s="255"/>
      <c r="M6" s="256"/>
      <c r="N6" s="89"/>
      <c r="O6" s="90"/>
    </row>
    <row r="7" spans="1:15">
      <c r="A7" s="258"/>
      <c r="B7" s="91" t="s">
        <v>57</v>
      </c>
      <c r="C7" s="92" t="s">
        <v>58</v>
      </c>
      <c r="D7" s="92" t="s">
        <v>59</v>
      </c>
      <c r="E7" s="93" t="s">
        <v>60</v>
      </c>
      <c r="F7" s="91" t="s">
        <v>57</v>
      </c>
      <c r="G7" s="92" t="s">
        <v>58</v>
      </c>
      <c r="H7" s="92" t="s">
        <v>59</v>
      </c>
      <c r="I7" s="93" t="s">
        <v>60</v>
      </c>
      <c r="J7" s="91" t="s">
        <v>57</v>
      </c>
      <c r="K7" s="92" t="s">
        <v>58</v>
      </c>
      <c r="L7" s="92" t="s">
        <v>59</v>
      </c>
      <c r="M7" s="93" t="s">
        <v>60</v>
      </c>
      <c r="N7" s="94"/>
      <c r="O7" s="94"/>
    </row>
    <row r="8" spans="1:15">
      <c r="A8" s="27" t="s">
        <v>61</v>
      </c>
      <c r="B8" s="105">
        <v>29500</v>
      </c>
      <c r="C8" s="106">
        <v>70700</v>
      </c>
      <c r="D8" s="106">
        <v>8300</v>
      </c>
      <c r="E8" s="107">
        <v>108600</v>
      </c>
      <c r="F8" s="105">
        <v>41700</v>
      </c>
      <c r="G8" s="106">
        <v>122900</v>
      </c>
      <c r="H8" s="106">
        <v>16200</v>
      </c>
      <c r="I8" s="107">
        <v>180800</v>
      </c>
      <c r="J8" s="95">
        <v>71200</v>
      </c>
      <c r="K8" s="95">
        <v>193600</v>
      </c>
      <c r="L8" s="95">
        <v>24500</v>
      </c>
      <c r="M8" s="81">
        <v>289400</v>
      </c>
      <c r="N8" s="55"/>
      <c r="O8" s="55"/>
    </row>
    <row r="9" spans="1:15">
      <c r="A9" s="27" t="s">
        <v>62</v>
      </c>
      <c r="B9" s="95">
        <v>31100</v>
      </c>
      <c r="C9" s="96">
        <v>74200</v>
      </c>
      <c r="D9" s="96">
        <v>8900</v>
      </c>
      <c r="E9" s="81">
        <v>114300</v>
      </c>
      <c r="F9" s="95">
        <v>43000</v>
      </c>
      <c r="G9" s="96">
        <v>125700</v>
      </c>
      <c r="H9" s="96">
        <v>16900</v>
      </c>
      <c r="I9" s="81">
        <v>185600</v>
      </c>
      <c r="J9" s="95">
        <v>74100</v>
      </c>
      <c r="K9" s="95">
        <v>199900</v>
      </c>
      <c r="L9" s="95">
        <v>25900</v>
      </c>
      <c r="M9" s="81">
        <v>299900</v>
      </c>
      <c r="N9" s="55"/>
      <c r="O9" s="55"/>
    </row>
    <row r="10" spans="1:15">
      <c r="A10" s="27" t="s">
        <v>63</v>
      </c>
      <c r="B10" s="95">
        <v>32900</v>
      </c>
      <c r="C10" s="96">
        <v>77700</v>
      </c>
      <c r="D10" s="96">
        <v>9600</v>
      </c>
      <c r="E10" s="81">
        <v>120300</v>
      </c>
      <c r="F10" s="95">
        <v>45100</v>
      </c>
      <c r="G10" s="96">
        <v>131400</v>
      </c>
      <c r="H10" s="96">
        <v>17900</v>
      </c>
      <c r="I10" s="81">
        <v>194400</v>
      </c>
      <c r="J10" s="95">
        <v>78000</v>
      </c>
      <c r="K10" s="95">
        <v>209200</v>
      </c>
      <c r="L10" s="95">
        <v>27500</v>
      </c>
      <c r="M10" s="81">
        <v>314700</v>
      </c>
      <c r="N10" s="55"/>
      <c r="O10" s="55"/>
    </row>
    <row r="11" spans="1:15">
      <c r="A11" s="80" t="s">
        <v>64</v>
      </c>
      <c r="B11" s="97">
        <v>34800</v>
      </c>
      <c r="C11" s="98">
        <v>81700</v>
      </c>
      <c r="D11" s="98">
        <v>10100</v>
      </c>
      <c r="E11" s="82">
        <v>126600</v>
      </c>
      <c r="F11" s="97">
        <v>46900</v>
      </c>
      <c r="G11" s="98">
        <v>137200</v>
      </c>
      <c r="H11" s="98">
        <v>19100</v>
      </c>
      <c r="I11" s="82">
        <v>203200</v>
      </c>
      <c r="J11" s="97">
        <v>81700</v>
      </c>
      <c r="K11" s="97">
        <v>218900</v>
      </c>
      <c r="L11" s="97">
        <v>29200</v>
      </c>
      <c r="M11" s="82">
        <v>329900</v>
      </c>
      <c r="N11" s="55"/>
      <c r="O11" s="55"/>
    </row>
    <row r="12" spans="1:15">
      <c r="A12" s="27" t="s">
        <v>65</v>
      </c>
      <c r="B12" s="95">
        <v>35100</v>
      </c>
      <c r="C12" s="96">
        <v>82900</v>
      </c>
      <c r="D12" s="96">
        <v>10300</v>
      </c>
      <c r="E12" s="81">
        <v>128300</v>
      </c>
      <c r="F12" s="95">
        <v>47800</v>
      </c>
      <c r="G12" s="96">
        <v>140200</v>
      </c>
      <c r="H12" s="96">
        <v>19900</v>
      </c>
      <c r="I12" s="81">
        <v>207800</v>
      </c>
      <c r="J12" s="95">
        <v>82900</v>
      </c>
      <c r="K12" s="95">
        <v>223100</v>
      </c>
      <c r="L12" s="95">
        <v>30200</v>
      </c>
      <c r="M12" s="81">
        <v>336200</v>
      </c>
      <c r="N12" s="55"/>
      <c r="O12" s="55"/>
    </row>
    <row r="13" spans="1:15">
      <c r="A13" s="27" t="s">
        <v>66</v>
      </c>
      <c r="B13" s="95">
        <v>35700</v>
      </c>
      <c r="C13" s="96">
        <v>85800</v>
      </c>
      <c r="D13" s="96">
        <v>10800</v>
      </c>
      <c r="E13" s="81">
        <v>132400</v>
      </c>
      <c r="F13" s="95">
        <v>49100</v>
      </c>
      <c r="G13" s="96">
        <v>144300</v>
      </c>
      <c r="H13" s="96">
        <v>20700</v>
      </c>
      <c r="I13" s="81">
        <v>214100</v>
      </c>
      <c r="J13" s="95">
        <v>84800</v>
      </c>
      <c r="K13" s="95">
        <v>230100</v>
      </c>
      <c r="L13" s="95">
        <v>31500</v>
      </c>
      <c r="M13" s="81">
        <v>346400</v>
      </c>
      <c r="N13" s="55"/>
      <c r="O13" s="55"/>
    </row>
    <row r="14" spans="1:15">
      <c r="A14" s="27" t="s">
        <v>67</v>
      </c>
      <c r="B14" s="95">
        <v>35900</v>
      </c>
      <c r="C14" s="96">
        <v>86700</v>
      </c>
      <c r="D14" s="96">
        <v>11300</v>
      </c>
      <c r="E14" s="81">
        <v>133900</v>
      </c>
      <c r="F14" s="95">
        <v>49900</v>
      </c>
      <c r="G14" s="96">
        <v>148300</v>
      </c>
      <c r="H14" s="96">
        <v>21500</v>
      </c>
      <c r="I14" s="81">
        <v>219700</v>
      </c>
      <c r="J14" s="95">
        <v>85800</v>
      </c>
      <c r="K14" s="95">
        <v>235100</v>
      </c>
      <c r="L14" s="95">
        <v>32700</v>
      </c>
      <c r="M14" s="81">
        <v>353600</v>
      </c>
      <c r="N14" s="55"/>
      <c r="O14" s="55"/>
    </row>
    <row r="15" spans="1:15">
      <c r="A15" s="80" t="s">
        <v>68</v>
      </c>
      <c r="B15" s="97">
        <v>36200</v>
      </c>
      <c r="C15" s="98">
        <v>87700</v>
      </c>
      <c r="D15" s="98">
        <v>11700</v>
      </c>
      <c r="E15" s="82">
        <v>135500</v>
      </c>
      <c r="F15" s="97">
        <v>50400</v>
      </c>
      <c r="G15" s="98">
        <v>152300</v>
      </c>
      <c r="H15" s="98">
        <v>22600</v>
      </c>
      <c r="I15" s="82">
        <v>225300</v>
      </c>
      <c r="J15" s="97">
        <v>86500</v>
      </c>
      <c r="K15" s="97">
        <v>239900</v>
      </c>
      <c r="L15" s="97">
        <v>34300</v>
      </c>
      <c r="M15" s="82">
        <v>360800</v>
      </c>
      <c r="N15" s="55"/>
      <c r="O15" s="55"/>
    </row>
    <row r="16" spans="1:15">
      <c r="A16" s="27" t="s">
        <v>69</v>
      </c>
      <c r="B16" s="95">
        <v>35200</v>
      </c>
      <c r="C16" s="96">
        <v>88400</v>
      </c>
      <c r="D16" s="96">
        <v>12000</v>
      </c>
      <c r="E16" s="81">
        <v>135600</v>
      </c>
      <c r="F16" s="95">
        <v>50300</v>
      </c>
      <c r="G16" s="96">
        <v>155700</v>
      </c>
      <c r="H16" s="96">
        <v>23700</v>
      </c>
      <c r="I16" s="81">
        <v>229700</v>
      </c>
      <c r="J16" s="95">
        <v>85500</v>
      </c>
      <c r="K16" s="95">
        <v>244100</v>
      </c>
      <c r="L16" s="95">
        <v>35700</v>
      </c>
      <c r="M16" s="81">
        <v>365300</v>
      </c>
      <c r="N16" s="55"/>
      <c r="O16" s="55"/>
    </row>
    <row r="17" spans="1:13">
      <c r="A17" s="27" t="s">
        <v>70</v>
      </c>
      <c r="B17" s="95">
        <v>34500</v>
      </c>
      <c r="C17" s="96">
        <v>88200</v>
      </c>
      <c r="D17" s="96">
        <v>12400</v>
      </c>
      <c r="E17" s="81">
        <v>135100</v>
      </c>
      <c r="F17" s="95">
        <v>49600</v>
      </c>
      <c r="G17" s="96">
        <v>159200</v>
      </c>
      <c r="H17" s="96">
        <v>24600</v>
      </c>
      <c r="I17" s="81">
        <v>233400</v>
      </c>
      <c r="J17" s="95">
        <v>84100</v>
      </c>
      <c r="K17" s="95">
        <v>247400</v>
      </c>
      <c r="L17" s="95">
        <v>36900</v>
      </c>
      <c r="M17" s="81">
        <v>368500</v>
      </c>
    </row>
    <row r="18" spans="1:13">
      <c r="A18" s="27" t="s">
        <v>71</v>
      </c>
      <c r="B18" s="95">
        <v>34600</v>
      </c>
      <c r="C18" s="96">
        <v>88100</v>
      </c>
      <c r="D18" s="96">
        <v>12600</v>
      </c>
      <c r="E18" s="81">
        <v>135300</v>
      </c>
      <c r="F18" s="95">
        <v>49100</v>
      </c>
      <c r="G18" s="96">
        <v>161100</v>
      </c>
      <c r="H18" s="96">
        <v>25300</v>
      </c>
      <c r="I18" s="81">
        <v>235600</v>
      </c>
      <c r="J18" s="95">
        <v>83700</v>
      </c>
      <c r="K18" s="95">
        <v>249200</v>
      </c>
      <c r="L18" s="95">
        <v>37900</v>
      </c>
      <c r="M18" s="81">
        <v>370900</v>
      </c>
    </row>
    <row r="19" spans="1:13">
      <c r="A19" s="80" t="s">
        <v>72</v>
      </c>
      <c r="B19" s="97">
        <v>35900</v>
      </c>
      <c r="C19" s="98">
        <v>91100</v>
      </c>
      <c r="D19" s="98">
        <v>13300</v>
      </c>
      <c r="E19" s="82">
        <v>140300</v>
      </c>
      <c r="F19" s="97">
        <v>49700</v>
      </c>
      <c r="G19" s="98">
        <v>165000</v>
      </c>
      <c r="H19" s="98">
        <v>26900</v>
      </c>
      <c r="I19" s="82">
        <v>241500</v>
      </c>
      <c r="J19" s="97">
        <v>85500</v>
      </c>
      <c r="K19" s="97">
        <v>256000</v>
      </c>
      <c r="L19" s="97">
        <v>40200</v>
      </c>
      <c r="M19" s="82">
        <v>381800</v>
      </c>
    </row>
    <row r="20" spans="1:13">
      <c r="A20" s="27" t="s">
        <v>73</v>
      </c>
      <c r="B20" s="95">
        <v>36500</v>
      </c>
      <c r="C20" s="96">
        <v>93600</v>
      </c>
      <c r="D20" s="96">
        <v>13800</v>
      </c>
      <c r="E20" s="81">
        <v>143900</v>
      </c>
      <c r="F20" s="95">
        <v>50100</v>
      </c>
      <c r="G20" s="96">
        <v>170900</v>
      </c>
      <c r="H20" s="96">
        <v>28200</v>
      </c>
      <c r="I20" s="81">
        <v>249300</v>
      </c>
      <c r="J20" s="95">
        <v>86600</v>
      </c>
      <c r="K20" s="95">
        <v>264600</v>
      </c>
      <c r="L20" s="95">
        <v>42000</v>
      </c>
      <c r="M20" s="81">
        <v>393200</v>
      </c>
    </row>
    <row r="21" spans="1:13">
      <c r="A21" s="27" t="s">
        <v>74</v>
      </c>
      <c r="B21" s="95">
        <v>36900</v>
      </c>
      <c r="C21" s="96">
        <v>95000</v>
      </c>
      <c r="D21" s="96">
        <v>14200</v>
      </c>
      <c r="E21" s="81">
        <v>146100</v>
      </c>
      <c r="F21" s="95">
        <v>50800</v>
      </c>
      <c r="G21" s="96">
        <v>175500</v>
      </c>
      <c r="H21" s="96">
        <v>29600</v>
      </c>
      <c r="I21" s="81">
        <v>255900</v>
      </c>
      <c r="J21" s="95">
        <v>87700</v>
      </c>
      <c r="K21" s="95">
        <v>270600</v>
      </c>
      <c r="L21" s="95">
        <v>43700</v>
      </c>
      <c r="M21" s="81">
        <v>402000</v>
      </c>
    </row>
    <row r="22" spans="1:13">
      <c r="A22" s="27" t="s">
        <v>75</v>
      </c>
      <c r="B22" s="95">
        <v>35900</v>
      </c>
      <c r="C22" s="96">
        <v>94100</v>
      </c>
      <c r="D22" s="96">
        <v>14200</v>
      </c>
      <c r="E22" s="81">
        <v>144100</v>
      </c>
      <c r="F22" s="95">
        <v>49900</v>
      </c>
      <c r="G22" s="96">
        <v>176800</v>
      </c>
      <c r="H22" s="96">
        <v>30500</v>
      </c>
      <c r="I22" s="81">
        <v>257100</v>
      </c>
      <c r="J22" s="95">
        <v>85800</v>
      </c>
      <c r="K22" s="95">
        <v>270800</v>
      </c>
      <c r="L22" s="95">
        <v>44600</v>
      </c>
      <c r="M22" s="81">
        <v>401200</v>
      </c>
    </row>
    <row r="23" spans="1:13">
      <c r="A23" s="80" t="s">
        <v>76</v>
      </c>
      <c r="B23" s="97">
        <v>33600</v>
      </c>
      <c r="C23" s="98">
        <v>91500</v>
      </c>
      <c r="D23" s="98">
        <v>14500</v>
      </c>
      <c r="E23" s="82">
        <v>139500</v>
      </c>
      <c r="F23" s="97">
        <v>47600</v>
      </c>
      <c r="G23" s="98">
        <v>176900</v>
      </c>
      <c r="H23" s="98">
        <v>31700</v>
      </c>
      <c r="I23" s="82">
        <v>256200</v>
      </c>
      <c r="J23" s="97">
        <v>81200</v>
      </c>
      <c r="K23" s="97">
        <v>268400</v>
      </c>
      <c r="L23" s="97">
        <v>46200</v>
      </c>
      <c r="M23" s="82">
        <v>395700</v>
      </c>
    </row>
    <row r="24" spans="1:13">
      <c r="A24" s="27" t="s">
        <v>77</v>
      </c>
      <c r="B24" s="95">
        <v>31800</v>
      </c>
      <c r="C24" s="96">
        <v>89500</v>
      </c>
      <c r="D24" s="96">
        <v>14500</v>
      </c>
      <c r="E24" s="81">
        <v>135800</v>
      </c>
      <c r="F24" s="95">
        <v>46200</v>
      </c>
      <c r="G24" s="96">
        <v>175100</v>
      </c>
      <c r="H24" s="96">
        <v>32300</v>
      </c>
      <c r="I24" s="81">
        <v>253500</v>
      </c>
      <c r="J24" s="95">
        <v>77900</v>
      </c>
      <c r="K24" s="95">
        <v>264600</v>
      </c>
      <c r="L24" s="95">
        <v>46800</v>
      </c>
      <c r="M24" s="81">
        <v>389300</v>
      </c>
    </row>
    <row r="25" spans="1:13">
      <c r="A25" s="27" t="s">
        <v>78</v>
      </c>
      <c r="B25" s="95">
        <v>29000</v>
      </c>
      <c r="C25" s="96">
        <v>84200</v>
      </c>
      <c r="D25" s="96">
        <v>14600</v>
      </c>
      <c r="E25" s="81">
        <v>127800</v>
      </c>
      <c r="F25" s="95">
        <v>44000</v>
      </c>
      <c r="G25" s="96">
        <v>173500</v>
      </c>
      <c r="H25" s="96">
        <v>32900</v>
      </c>
      <c r="I25" s="81">
        <v>250500</v>
      </c>
      <c r="J25" s="95">
        <v>73000</v>
      </c>
      <c r="K25" s="95">
        <v>257700</v>
      </c>
      <c r="L25" s="95">
        <v>47500</v>
      </c>
      <c r="M25" s="81">
        <v>378300</v>
      </c>
    </row>
    <row r="26" spans="1:13">
      <c r="A26" s="27" t="s">
        <v>79</v>
      </c>
      <c r="B26" s="95">
        <v>30500</v>
      </c>
      <c r="C26" s="96">
        <v>87400</v>
      </c>
      <c r="D26" s="96">
        <v>15500</v>
      </c>
      <c r="E26" s="81">
        <v>133500</v>
      </c>
      <c r="F26" s="95">
        <v>44700</v>
      </c>
      <c r="G26" s="96">
        <v>176400</v>
      </c>
      <c r="H26" s="96">
        <v>34600</v>
      </c>
      <c r="I26" s="81">
        <v>255700</v>
      </c>
      <c r="J26" s="95">
        <v>75100</v>
      </c>
      <c r="K26" s="95">
        <v>263900</v>
      </c>
      <c r="L26" s="95">
        <v>50200</v>
      </c>
      <c r="M26" s="81">
        <v>389100</v>
      </c>
    </row>
    <row r="27" spans="1:13">
      <c r="A27" s="80" t="s">
        <v>80</v>
      </c>
      <c r="B27" s="97">
        <v>28800</v>
      </c>
      <c r="C27" s="98">
        <v>88100</v>
      </c>
      <c r="D27" s="98">
        <v>16200</v>
      </c>
      <c r="E27" s="82">
        <v>133100</v>
      </c>
      <c r="F27" s="97">
        <v>42600</v>
      </c>
      <c r="G27" s="98">
        <v>174500</v>
      </c>
      <c r="H27" s="98">
        <v>34900</v>
      </c>
      <c r="I27" s="82">
        <v>252100</v>
      </c>
      <c r="J27" s="97">
        <v>71400</v>
      </c>
      <c r="K27" s="97">
        <v>262700</v>
      </c>
      <c r="L27" s="97">
        <v>51100</v>
      </c>
      <c r="M27" s="82">
        <v>385200</v>
      </c>
    </row>
    <row r="28" spans="1:13">
      <c r="A28" s="27" t="s">
        <v>81</v>
      </c>
      <c r="B28" s="95">
        <v>28600</v>
      </c>
      <c r="C28" s="96">
        <v>90600</v>
      </c>
      <c r="D28" s="96">
        <v>17000</v>
      </c>
      <c r="E28" s="81">
        <v>136200</v>
      </c>
      <c r="F28" s="95">
        <v>41700</v>
      </c>
      <c r="G28" s="96">
        <v>174600</v>
      </c>
      <c r="H28" s="96">
        <v>36100</v>
      </c>
      <c r="I28" s="81">
        <v>252400</v>
      </c>
      <c r="J28" s="95">
        <v>70300</v>
      </c>
      <c r="K28" s="95">
        <v>265200</v>
      </c>
      <c r="L28" s="95">
        <v>53100</v>
      </c>
      <c r="M28" s="81">
        <v>388700</v>
      </c>
    </row>
    <row r="29" spans="1:13">
      <c r="A29" s="27" t="s">
        <v>82</v>
      </c>
      <c r="B29" s="95">
        <v>28800</v>
      </c>
      <c r="C29" s="96">
        <v>92400</v>
      </c>
      <c r="D29" s="96">
        <v>17400</v>
      </c>
      <c r="E29" s="81">
        <v>138700</v>
      </c>
      <c r="F29" s="95">
        <v>41400</v>
      </c>
      <c r="G29" s="96">
        <v>175600</v>
      </c>
      <c r="H29" s="96">
        <v>37700</v>
      </c>
      <c r="I29" s="81">
        <v>254700</v>
      </c>
      <c r="J29" s="95">
        <v>70200</v>
      </c>
      <c r="K29" s="95">
        <v>268000</v>
      </c>
      <c r="L29" s="95">
        <v>55100</v>
      </c>
      <c r="M29" s="81">
        <v>393400</v>
      </c>
    </row>
    <row r="30" spans="1:13">
      <c r="A30" s="27" t="s">
        <v>83</v>
      </c>
      <c r="B30" s="95">
        <v>29500</v>
      </c>
      <c r="C30" s="96">
        <v>93300</v>
      </c>
      <c r="D30" s="96">
        <v>17700</v>
      </c>
      <c r="E30" s="81">
        <v>140500</v>
      </c>
      <c r="F30" s="95">
        <v>41500</v>
      </c>
      <c r="G30" s="96">
        <v>174100</v>
      </c>
      <c r="H30" s="96">
        <v>38400</v>
      </c>
      <c r="I30" s="81">
        <v>254000</v>
      </c>
      <c r="J30" s="95">
        <v>71000</v>
      </c>
      <c r="K30" s="95">
        <v>267300</v>
      </c>
      <c r="L30" s="95">
        <v>56200</v>
      </c>
      <c r="M30" s="81">
        <v>394500</v>
      </c>
    </row>
    <row r="31" spans="1:13">
      <c r="A31" s="80" t="s">
        <v>84</v>
      </c>
      <c r="B31" s="97">
        <v>31400</v>
      </c>
      <c r="C31" s="98">
        <v>94100</v>
      </c>
      <c r="D31" s="98">
        <v>18200</v>
      </c>
      <c r="E31" s="82">
        <v>143800</v>
      </c>
      <c r="F31" s="97">
        <v>42300</v>
      </c>
      <c r="G31" s="98">
        <v>175300</v>
      </c>
      <c r="H31" s="98">
        <v>39800</v>
      </c>
      <c r="I31" s="82">
        <v>257300</v>
      </c>
      <c r="J31" s="97">
        <v>73700</v>
      </c>
      <c r="K31" s="97">
        <v>269500</v>
      </c>
      <c r="L31" s="97">
        <v>57900</v>
      </c>
      <c r="M31" s="82">
        <v>401100</v>
      </c>
    </row>
    <row r="32" spans="1:13">
      <c r="A32" s="27" t="s">
        <v>85</v>
      </c>
      <c r="B32" s="95">
        <v>32600</v>
      </c>
      <c r="C32" s="96">
        <v>98200</v>
      </c>
      <c r="D32" s="96">
        <v>18800</v>
      </c>
      <c r="E32" s="81">
        <v>149600</v>
      </c>
      <c r="F32" s="95">
        <v>42200</v>
      </c>
      <c r="G32" s="96">
        <v>178600</v>
      </c>
      <c r="H32" s="96">
        <v>41600</v>
      </c>
      <c r="I32" s="81">
        <v>262400</v>
      </c>
      <c r="J32" s="95">
        <v>74800</v>
      </c>
      <c r="K32" s="95">
        <v>276900</v>
      </c>
      <c r="L32" s="95">
        <v>60400</v>
      </c>
      <c r="M32" s="81">
        <v>412000</v>
      </c>
    </row>
    <row r="33" spans="1:13">
      <c r="A33" s="27" t="s">
        <v>86</v>
      </c>
      <c r="B33" s="95">
        <v>32300</v>
      </c>
      <c r="C33" s="96">
        <v>100000</v>
      </c>
      <c r="D33" s="96">
        <v>19200</v>
      </c>
      <c r="E33" s="81">
        <v>151600</v>
      </c>
      <c r="F33" s="95">
        <v>41900</v>
      </c>
      <c r="G33" s="96">
        <v>179000</v>
      </c>
      <c r="H33" s="96">
        <v>42200</v>
      </c>
      <c r="I33" s="81">
        <v>263100</v>
      </c>
      <c r="J33" s="95">
        <v>74200</v>
      </c>
      <c r="K33" s="95">
        <v>279000</v>
      </c>
      <c r="L33" s="95">
        <v>61400</v>
      </c>
      <c r="M33" s="81">
        <v>414600</v>
      </c>
    </row>
    <row r="34" spans="1:13">
      <c r="A34" s="27" t="s">
        <v>87</v>
      </c>
      <c r="B34" s="95">
        <v>33100</v>
      </c>
      <c r="C34" s="96">
        <v>103000</v>
      </c>
      <c r="D34" s="96">
        <v>20000</v>
      </c>
      <c r="E34" s="81">
        <v>156000</v>
      </c>
      <c r="F34" s="95">
        <v>42500</v>
      </c>
      <c r="G34" s="96">
        <v>180400</v>
      </c>
      <c r="H34" s="96">
        <v>43200</v>
      </c>
      <c r="I34" s="81">
        <v>266000</v>
      </c>
      <c r="J34" s="95">
        <v>75500</v>
      </c>
      <c r="K34" s="95">
        <v>283400</v>
      </c>
      <c r="L34" s="95">
        <v>63100</v>
      </c>
      <c r="M34" s="81">
        <v>422000</v>
      </c>
    </row>
    <row r="35" spans="1:13">
      <c r="A35" s="80" t="s">
        <v>88</v>
      </c>
      <c r="B35" s="97">
        <v>33200</v>
      </c>
      <c r="C35" s="98">
        <v>104800</v>
      </c>
      <c r="D35" s="98">
        <v>20300</v>
      </c>
      <c r="E35" s="82">
        <v>158300</v>
      </c>
      <c r="F35" s="97">
        <v>42100</v>
      </c>
      <c r="G35" s="98">
        <v>180500</v>
      </c>
      <c r="H35" s="98">
        <v>44000</v>
      </c>
      <c r="I35" s="82">
        <v>266600</v>
      </c>
      <c r="J35" s="97">
        <v>75300</v>
      </c>
      <c r="K35" s="97">
        <v>285400</v>
      </c>
      <c r="L35" s="97">
        <v>64300</v>
      </c>
      <c r="M35" s="82">
        <v>424900</v>
      </c>
    </row>
    <row r="36" spans="1:13">
      <c r="A36" s="27" t="s">
        <v>89</v>
      </c>
      <c r="B36" s="95">
        <v>33600</v>
      </c>
      <c r="C36" s="96">
        <v>108200</v>
      </c>
      <c r="D36" s="96">
        <v>21000</v>
      </c>
      <c r="E36" s="81">
        <v>162800</v>
      </c>
      <c r="F36" s="95">
        <v>42800</v>
      </c>
      <c r="G36" s="96">
        <v>183700</v>
      </c>
      <c r="H36" s="96">
        <v>45400</v>
      </c>
      <c r="I36" s="81">
        <v>271900</v>
      </c>
      <c r="J36" s="95">
        <v>76400</v>
      </c>
      <c r="K36" s="95">
        <v>292000</v>
      </c>
      <c r="L36" s="95">
        <v>66400</v>
      </c>
      <c r="M36" s="81">
        <v>434700</v>
      </c>
    </row>
    <row r="37" spans="1:13">
      <c r="A37" s="27" t="s">
        <v>90</v>
      </c>
      <c r="B37" s="95">
        <v>33500</v>
      </c>
      <c r="C37" s="96">
        <v>111200</v>
      </c>
      <c r="D37" s="96">
        <v>21600</v>
      </c>
      <c r="E37" s="81">
        <v>166200</v>
      </c>
      <c r="F37" s="95">
        <v>42700</v>
      </c>
      <c r="G37" s="96">
        <v>184700</v>
      </c>
      <c r="H37" s="96">
        <v>46300</v>
      </c>
      <c r="I37" s="81">
        <v>273700</v>
      </c>
      <c r="J37" s="95">
        <v>76200</v>
      </c>
      <c r="K37" s="95">
        <v>295900</v>
      </c>
      <c r="L37" s="95">
        <v>67800</v>
      </c>
      <c r="M37" s="81">
        <v>439800</v>
      </c>
    </row>
    <row r="38" spans="1:13">
      <c r="A38" s="27" t="s">
        <v>91</v>
      </c>
      <c r="B38" s="95">
        <v>33300</v>
      </c>
      <c r="C38" s="96">
        <v>114600</v>
      </c>
      <c r="D38" s="96">
        <v>22200</v>
      </c>
      <c r="E38" s="81">
        <v>170000</v>
      </c>
      <c r="F38" s="95">
        <v>43500</v>
      </c>
      <c r="G38" s="96">
        <v>189000</v>
      </c>
      <c r="H38" s="96">
        <v>47700</v>
      </c>
      <c r="I38" s="81">
        <v>280200</v>
      </c>
      <c r="J38" s="95">
        <v>76800</v>
      </c>
      <c r="K38" s="95">
        <v>303600</v>
      </c>
      <c r="L38" s="95">
        <v>69900</v>
      </c>
      <c r="M38" s="81">
        <v>450100</v>
      </c>
    </row>
    <row r="39" spans="1:13">
      <c r="A39" s="80" t="s">
        <v>92</v>
      </c>
      <c r="B39" s="97">
        <v>34600</v>
      </c>
      <c r="C39" s="98">
        <v>118400</v>
      </c>
      <c r="D39" s="98">
        <v>22900</v>
      </c>
      <c r="E39" s="82">
        <v>175800</v>
      </c>
      <c r="F39" s="97">
        <v>44400</v>
      </c>
      <c r="G39" s="98">
        <v>193900</v>
      </c>
      <c r="H39" s="98">
        <v>49700</v>
      </c>
      <c r="I39" s="82">
        <v>288000</v>
      </c>
      <c r="J39" s="97">
        <v>79000</v>
      </c>
      <c r="K39" s="97">
        <v>312300</v>
      </c>
      <c r="L39" s="97">
        <v>72500</v>
      </c>
      <c r="M39" s="82">
        <v>463800</v>
      </c>
    </row>
    <row r="40" spans="1:13">
      <c r="A40" s="27" t="s">
        <v>93</v>
      </c>
      <c r="B40" s="95">
        <v>34400</v>
      </c>
      <c r="C40" s="96">
        <v>110400</v>
      </c>
      <c r="D40" s="96">
        <v>22000</v>
      </c>
      <c r="E40" s="81">
        <v>166800</v>
      </c>
      <c r="F40" s="95">
        <v>45400</v>
      </c>
      <c r="G40" s="96">
        <v>193100</v>
      </c>
      <c r="H40" s="96">
        <v>50500</v>
      </c>
      <c r="I40" s="81">
        <v>289000</v>
      </c>
      <c r="J40" s="95">
        <v>79900</v>
      </c>
      <c r="K40" s="95">
        <v>303400</v>
      </c>
      <c r="L40" s="95">
        <v>72500</v>
      </c>
      <c r="M40" s="81">
        <v>455700</v>
      </c>
    </row>
    <row r="41" spans="1:13">
      <c r="A41" s="27" t="s">
        <v>94</v>
      </c>
      <c r="B41" s="95">
        <v>36100</v>
      </c>
      <c r="C41" s="96">
        <v>118400</v>
      </c>
      <c r="D41" s="96">
        <v>23500</v>
      </c>
      <c r="E41" s="81">
        <v>177900</v>
      </c>
      <c r="F41" s="95">
        <v>47300</v>
      </c>
      <c r="G41" s="96">
        <v>201700</v>
      </c>
      <c r="H41" s="96">
        <v>52500</v>
      </c>
      <c r="I41" s="81">
        <v>301500</v>
      </c>
      <c r="J41" s="95">
        <v>83400</v>
      </c>
      <c r="K41" s="95">
        <v>320100</v>
      </c>
      <c r="L41" s="95">
        <v>76000</v>
      </c>
      <c r="M41" s="81">
        <v>479500</v>
      </c>
    </row>
    <row r="42" spans="1:13">
      <c r="A42" s="27" t="s">
        <v>95</v>
      </c>
      <c r="B42" s="95">
        <v>36100</v>
      </c>
      <c r="C42" s="96">
        <v>121300</v>
      </c>
      <c r="D42" s="96">
        <v>24400</v>
      </c>
      <c r="E42" s="81">
        <v>181800</v>
      </c>
      <c r="F42" s="95">
        <v>47900</v>
      </c>
      <c r="G42" s="96">
        <v>205200</v>
      </c>
      <c r="H42" s="96">
        <v>54400</v>
      </c>
      <c r="I42" s="81">
        <v>307400</v>
      </c>
      <c r="J42" s="95">
        <v>83900</v>
      </c>
      <c r="K42" s="95">
        <v>326500</v>
      </c>
      <c r="L42" s="95">
        <v>78800</v>
      </c>
      <c r="M42" s="81">
        <v>489200</v>
      </c>
    </row>
    <row r="43" spans="1:13">
      <c r="A43" s="80" t="s">
        <v>96</v>
      </c>
      <c r="B43" s="97">
        <v>36600</v>
      </c>
      <c r="C43" s="98">
        <v>121600</v>
      </c>
      <c r="D43" s="98">
        <v>24700</v>
      </c>
      <c r="E43" s="82">
        <v>182900</v>
      </c>
      <c r="F43" s="97">
        <v>48600</v>
      </c>
      <c r="G43" s="98">
        <v>208900</v>
      </c>
      <c r="H43" s="98">
        <v>55900</v>
      </c>
      <c r="I43" s="82">
        <v>313400</v>
      </c>
      <c r="J43" s="97">
        <v>85300</v>
      </c>
      <c r="K43" s="97">
        <v>330500</v>
      </c>
      <c r="L43" s="97">
        <v>80500</v>
      </c>
      <c r="M43" s="82">
        <v>496300</v>
      </c>
    </row>
    <row r="44" spans="1:13">
      <c r="A44" s="27" t="s">
        <v>97</v>
      </c>
      <c r="B44" s="95">
        <v>36700</v>
      </c>
      <c r="C44" s="96">
        <v>124700</v>
      </c>
      <c r="D44" s="96">
        <v>25300</v>
      </c>
      <c r="E44" s="81">
        <v>186700</v>
      </c>
      <c r="F44" s="95">
        <v>49500</v>
      </c>
      <c r="G44" s="96">
        <v>213400</v>
      </c>
      <c r="H44" s="96">
        <v>57700</v>
      </c>
      <c r="I44" s="81">
        <v>320500</v>
      </c>
      <c r="J44" s="95">
        <v>86200</v>
      </c>
      <c r="K44" s="95">
        <v>338100</v>
      </c>
      <c r="L44" s="95">
        <v>83000</v>
      </c>
      <c r="M44" s="81">
        <v>507300</v>
      </c>
    </row>
    <row r="45" spans="1:13">
      <c r="A45" s="27" t="s">
        <v>98</v>
      </c>
      <c r="B45" s="95">
        <v>37100</v>
      </c>
      <c r="C45" s="96">
        <v>128700</v>
      </c>
      <c r="D45" s="96">
        <v>26100</v>
      </c>
      <c r="E45" s="81">
        <v>191900</v>
      </c>
      <c r="F45" s="95">
        <v>49900</v>
      </c>
      <c r="G45" s="96">
        <v>216100</v>
      </c>
      <c r="H45" s="96">
        <v>59000</v>
      </c>
      <c r="I45" s="81">
        <v>325000</v>
      </c>
      <c r="J45" s="95">
        <v>87000</v>
      </c>
      <c r="K45" s="95">
        <v>344800</v>
      </c>
      <c r="L45" s="95">
        <v>85200</v>
      </c>
      <c r="M45" s="81">
        <v>516900</v>
      </c>
    </row>
    <row r="46" spans="1:13">
      <c r="A46" s="27" t="s">
        <v>99</v>
      </c>
      <c r="B46" s="95">
        <v>36500</v>
      </c>
      <c r="C46" s="96">
        <v>130700</v>
      </c>
      <c r="D46" s="96">
        <v>27000</v>
      </c>
      <c r="E46" s="81">
        <v>194200</v>
      </c>
      <c r="F46" s="95">
        <v>49000</v>
      </c>
      <c r="G46" s="96">
        <v>217400</v>
      </c>
      <c r="H46" s="96">
        <v>60500</v>
      </c>
      <c r="I46" s="81">
        <v>327000</v>
      </c>
      <c r="J46" s="95">
        <v>85500</v>
      </c>
      <c r="K46" s="95">
        <v>348100</v>
      </c>
      <c r="L46" s="95">
        <v>87600</v>
      </c>
      <c r="M46" s="81">
        <v>521200</v>
      </c>
    </row>
    <row r="47" spans="1:13">
      <c r="A47" s="80" t="s">
        <v>100</v>
      </c>
      <c r="B47" s="97">
        <v>34800</v>
      </c>
      <c r="C47" s="98">
        <v>127700</v>
      </c>
      <c r="D47" s="98">
        <v>26600</v>
      </c>
      <c r="E47" s="82">
        <v>189100</v>
      </c>
      <c r="F47" s="97">
        <v>47200</v>
      </c>
      <c r="G47" s="98">
        <v>215900</v>
      </c>
      <c r="H47" s="98">
        <v>61500</v>
      </c>
      <c r="I47" s="82">
        <v>324600</v>
      </c>
      <c r="J47" s="97">
        <v>81900</v>
      </c>
      <c r="K47" s="97">
        <v>343600</v>
      </c>
      <c r="L47" s="97">
        <v>88000</v>
      </c>
      <c r="M47" s="82">
        <v>513600</v>
      </c>
    </row>
    <row r="48" spans="1:13">
      <c r="A48" s="27" t="s">
        <v>101</v>
      </c>
      <c r="B48" s="95">
        <v>33900</v>
      </c>
      <c r="C48" s="96">
        <v>127300</v>
      </c>
      <c r="D48" s="96">
        <v>26700</v>
      </c>
      <c r="E48" s="81">
        <v>187800</v>
      </c>
      <c r="F48" s="95">
        <v>45700</v>
      </c>
      <c r="G48" s="96">
        <v>217100</v>
      </c>
      <c r="H48" s="96">
        <v>63400</v>
      </c>
      <c r="I48" s="81">
        <v>326100</v>
      </c>
      <c r="J48" s="95">
        <v>79500</v>
      </c>
      <c r="K48" s="95">
        <v>344400</v>
      </c>
      <c r="L48" s="95">
        <v>90100</v>
      </c>
      <c r="M48" s="81">
        <v>513900</v>
      </c>
    </row>
    <row r="49" spans="1:13">
      <c r="A49" s="27" t="s">
        <v>102</v>
      </c>
      <c r="B49" s="95">
        <v>32700</v>
      </c>
      <c r="C49" s="96">
        <v>125400</v>
      </c>
      <c r="D49" s="96">
        <v>26700</v>
      </c>
      <c r="E49" s="81">
        <v>184800</v>
      </c>
      <c r="F49" s="95">
        <v>45300</v>
      </c>
      <c r="G49" s="96">
        <v>217500</v>
      </c>
      <c r="H49" s="96">
        <v>63900</v>
      </c>
      <c r="I49" s="81">
        <v>326800</v>
      </c>
      <c r="J49" s="95">
        <v>78000</v>
      </c>
      <c r="K49" s="95">
        <v>342900</v>
      </c>
      <c r="L49" s="95">
        <v>90600</v>
      </c>
      <c r="M49" s="81">
        <v>511500</v>
      </c>
    </row>
    <row r="50" spans="1:13">
      <c r="A50" s="27" t="s">
        <v>103</v>
      </c>
      <c r="B50" s="95">
        <v>32400</v>
      </c>
      <c r="C50" s="96">
        <v>123100</v>
      </c>
      <c r="D50" s="96">
        <v>26600</v>
      </c>
      <c r="E50" s="81">
        <v>182100</v>
      </c>
      <c r="F50" s="95">
        <v>44900</v>
      </c>
      <c r="G50" s="96">
        <v>214800</v>
      </c>
      <c r="H50" s="96">
        <v>64100</v>
      </c>
      <c r="I50" s="81">
        <v>323800</v>
      </c>
      <c r="J50" s="95">
        <v>77300</v>
      </c>
      <c r="K50" s="95">
        <v>337900</v>
      </c>
      <c r="L50" s="95">
        <v>90700</v>
      </c>
      <c r="M50" s="81">
        <v>505900</v>
      </c>
    </row>
    <row r="51" spans="1:13">
      <c r="A51" s="80" t="s">
        <v>104</v>
      </c>
      <c r="B51" s="97">
        <v>31700</v>
      </c>
      <c r="C51" s="98">
        <v>126600</v>
      </c>
      <c r="D51" s="98">
        <v>27000</v>
      </c>
      <c r="E51" s="82">
        <v>185400</v>
      </c>
      <c r="F51" s="97">
        <v>44600</v>
      </c>
      <c r="G51" s="98">
        <v>211400</v>
      </c>
      <c r="H51" s="98">
        <v>63200</v>
      </c>
      <c r="I51" s="82">
        <v>319200</v>
      </c>
      <c r="J51" s="97">
        <v>76300</v>
      </c>
      <c r="K51" s="97">
        <v>338000</v>
      </c>
      <c r="L51" s="97">
        <v>90300</v>
      </c>
      <c r="M51" s="82">
        <v>504600</v>
      </c>
    </row>
    <row r="52" spans="1:13">
      <c r="A52" s="27" t="s">
        <v>105</v>
      </c>
      <c r="B52" s="95">
        <v>31500</v>
      </c>
      <c r="C52" s="96">
        <v>122900</v>
      </c>
      <c r="D52" s="96">
        <v>26400</v>
      </c>
      <c r="E52" s="81">
        <v>180700</v>
      </c>
      <c r="F52" s="95">
        <v>44100</v>
      </c>
      <c r="G52" s="96">
        <v>206200</v>
      </c>
      <c r="H52" s="96">
        <v>61100</v>
      </c>
      <c r="I52" s="81">
        <v>311300</v>
      </c>
      <c r="J52" s="95">
        <v>75600</v>
      </c>
      <c r="K52" s="95">
        <v>329000</v>
      </c>
      <c r="L52" s="95">
        <v>87400</v>
      </c>
      <c r="M52" s="81">
        <v>492000</v>
      </c>
    </row>
    <row r="53" spans="1:13">
      <c r="A53" s="27" t="s">
        <v>106</v>
      </c>
      <c r="B53" s="95">
        <v>29700</v>
      </c>
      <c r="C53" s="96">
        <v>118500</v>
      </c>
      <c r="D53" s="96">
        <v>25600</v>
      </c>
      <c r="E53" s="81">
        <v>173800</v>
      </c>
      <c r="F53" s="95">
        <v>42600</v>
      </c>
      <c r="G53" s="96">
        <v>200000</v>
      </c>
      <c r="H53" s="96">
        <v>57900</v>
      </c>
      <c r="I53" s="81">
        <v>300400</v>
      </c>
      <c r="J53" s="95">
        <v>72300</v>
      </c>
      <c r="K53" s="95">
        <v>318500</v>
      </c>
      <c r="L53" s="95">
        <v>83500</v>
      </c>
      <c r="M53" s="81">
        <v>474300</v>
      </c>
    </row>
    <row r="54" spans="1:13">
      <c r="A54" s="27" t="s">
        <v>107</v>
      </c>
      <c r="B54" s="95">
        <v>30000</v>
      </c>
      <c r="C54" s="96">
        <v>120800</v>
      </c>
      <c r="D54" s="96">
        <v>25600</v>
      </c>
      <c r="E54" s="81">
        <v>176400</v>
      </c>
      <c r="F54" s="95">
        <v>42500</v>
      </c>
      <c r="G54" s="96">
        <v>198000</v>
      </c>
      <c r="H54" s="96">
        <v>56600</v>
      </c>
      <c r="I54" s="81">
        <v>297100</v>
      </c>
      <c r="J54" s="95">
        <v>72400</v>
      </c>
      <c r="K54" s="95">
        <v>318800</v>
      </c>
      <c r="L54" s="95">
        <v>82200</v>
      </c>
      <c r="M54" s="81">
        <v>473500</v>
      </c>
    </row>
    <row r="55" spans="1:13">
      <c r="A55" s="80" t="s">
        <v>108</v>
      </c>
      <c r="B55" s="97">
        <v>29400</v>
      </c>
      <c r="C55" s="98">
        <v>117500</v>
      </c>
      <c r="D55" s="98">
        <v>24900</v>
      </c>
      <c r="E55" s="82">
        <v>171900</v>
      </c>
      <c r="F55" s="97">
        <v>42000</v>
      </c>
      <c r="G55" s="98">
        <v>193700</v>
      </c>
      <c r="H55" s="98">
        <v>55800</v>
      </c>
      <c r="I55" s="82">
        <v>291500</v>
      </c>
      <c r="J55" s="97">
        <v>71500</v>
      </c>
      <c r="K55" s="97">
        <v>311300</v>
      </c>
      <c r="L55" s="97">
        <v>80700</v>
      </c>
      <c r="M55" s="82">
        <v>463400</v>
      </c>
    </row>
    <row r="56" spans="1:13">
      <c r="A56" s="27" t="s">
        <v>109</v>
      </c>
      <c r="B56" s="95">
        <v>29100</v>
      </c>
      <c r="C56" s="96">
        <v>118900</v>
      </c>
      <c r="D56" s="96">
        <v>25300</v>
      </c>
      <c r="E56" s="81">
        <v>173300</v>
      </c>
      <c r="F56" s="95">
        <v>42400</v>
      </c>
      <c r="G56" s="96">
        <v>194600</v>
      </c>
      <c r="H56" s="96">
        <v>55900</v>
      </c>
      <c r="I56" s="81">
        <v>292900</v>
      </c>
      <c r="J56" s="95">
        <v>71500</v>
      </c>
      <c r="K56" s="95">
        <v>313500</v>
      </c>
      <c r="L56" s="95">
        <v>81200</v>
      </c>
      <c r="M56" s="81">
        <v>466200</v>
      </c>
    </row>
    <row r="57" spans="1:13">
      <c r="A57" s="27" t="s">
        <v>110</v>
      </c>
      <c r="B57" s="95">
        <v>29600</v>
      </c>
      <c r="C57" s="96">
        <v>120500</v>
      </c>
      <c r="D57" s="96">
        <v>25600</v>
      </c>
      <c r="E57" s="81">
        <v>175800</v>
      </c>
      <c r="F57" s="95">
        <v>42100</v>
      </c>
      <c r="G57" s="96">
        <v>191900</v>
      </c>
      <c r="H57" s="96">
        <v>55500</v>
      </c>
      <c r="I57" s="81">
        <v>289400</v>
      </c>
      <c r="J57" s="95">
        <v>71700</v>
      </c>
      <c r="K57" s="95">
        <v>312500</v>
      </c>
      <c r="L57" s="95">
        <v>81100</v>
      </c>
      <c r="M57" s="81">
        <v>465200</v>
      </c>
    </row>
    <row r="58" spans="1:13">
      <c r="A58" s="27" t="s">
        <v>111</v>
      </c>
      <c r="B58" s="95">
        <v>29900</v>
      </c>
      <c r="C58" s="96">
        <v>122100</v>
      </c>
      <c r="D58" s="96">
        <v>26000</v>
      </c>
      <c r="E58" s="81">
        <v>178100</v>
      </c>
      <c r="F58" s="95">
        <v>42200</v>
      </c>
      <c r="G58" s="96">
        <v>193500</v>
      </c>
      <c r="H58" s="96">
        <v>55800</v>
      </c>
      <c r="I58" s="81">
        <v>291500</v>
      </c>
      <c r="J58" s="95">
        <v>72200</v>
      </c>
      <c r="K58" s="95">
        <v>315600</v>
      </c>
      <c r="L58" s="95">
        <v>81900</v>
      </c>
      <c r="M58" s="81">
        <v>469600</v>
      </c>
    </row>
    <row r="59" spans="1:13">
      <c r="A59" s="80" t="s">
        <v>112</v>
      </c>
      <c r="B59" s="97">
        <v>32300</v>
      </c>
      <c r="C59" s="98">
        <v>125600</v>
      </c>
      <c r="D59" s="98">
        <v>26300</v>
      </c>
      <c r="E59" s="82">
        <v>184300</v>
      </c>
      <c r="F59" s="97">
        <v>43400</v>
      </c>
      <c r="G59" s="98">
        <v>193100</v>
      </c>
      <c r="H59" s="98">
        <v>55700</v>
      </c>
      <c r="I59" s="82">
        <v>292300</v>
      </c>
      <c r="J59" s="97">
        <v>75800</v>
      </c>
      <c r="K59" s="97">
        <v>318700</v>
      </c>
      <c r="L59" s="97">
        <v>82100</v>
      </c>
      <c r="M59" s="82">
        <v>476600</v>
      </c>
    </row>
    <row r="60" spans="1:13">
      <c r="A60" s="27" t="s">
        <v>113</v>
      </c>
      <c r="B60" s="95">
        <v>33900</v>
      </c>
      <c r="C60" s="96">
        <v>128900</v>
      </c>
      <c r="D60" s="96">
        <v>27100</v>
      </c>
      <c r="E60" s="81">
        <v>189900</v>
      </c>
      <c r="F60" s="95">
        <v>45100</v>
      </c>
      <c r="G60" s="96">
        <v>193800</v>
      </c>
      <c r="H60" s="96">
        <v>56200</v>
      </c>
      <c r="I60" s="81">
        <v>295000</v>
      </c>
      <c r="J60" s="95">
        <v>79000</v>
      </c>
      <c r="K60" s="95">
        <v>322700</v>
      </c>
      <c r="L60" s="95">
        <v>83300</v>
      </c>
      <c r="M60" s="81">
        <v>484900</v>
      </c>
    </row>
    <row r="61" spans="1:13">
      <c r="A61" s="27" t="s">
        <v>114</v>
      </c>
      <c r="B61" s="95">
        <v>38700</v>
      </c>
      <c r="C61" s="96">
        <v>136400</v>
      </c>
      <c r="D61" s="96">
        <v>28200</v>
      </c>
      <c r="E61" s="81">
        <v>203300</v>
      </c>
      <c r="F61" s="95">
        <v>48700</v>
      </c>
      <c r="G61" s="96">
        <v>199100</v>
      </c>
      <c r="H61" s="96">
        <v>57800</v>
      </c>
      <c r="I61" s="81">
        <v>305400</v>
      </c>
      <c r="J61" s="95">
        <v>87400</v>
      </c>
      <c r="K61" s="95">
        <v>335400</v>
      </c>
      <c r="L61" s="95">
        <v>86000</v>
      </c>
      <c r="M61" s="81">
        <v>508800</v>
      </c>
    </row>
    <row r="62" spans="1:13">
      <c r="A62" s="27" t="s">
        <v>115</v>
      </c>
      <c r="B62" s="95">
        <v>38800</v>
      </c>
      <c r="C62" s="96">
        <v>135700</v>
      </c>
      <c r="D62" s="96">
        <v>28600</v>
      </c>
      <c r="E62" s="81">
        <v>203000</v>
      </c>
      <c r="F62" s="95">
        <v>47900</v>
      </c>
      <c r="G62" s="96">
        <v>198500</v>
      </c>
      <c r="H62" s="96">
        <v>58700</v>
      </c>
      <c r="I62" s="81">
        <v>305000</v>
      </c>
      <c r="J62" s="95">
        <v>86700</v>
      </c>
      <c r="K62" s="95">
        <v>334100</v>
      </c>
      <c r="L62" s="95">
        <v>87300</v>
      </c>
      <c r="M62" s="81">
        <v>508100</v>
      </c>
    </row>
    <row r="63" spans="1:13">
      <c r="A63" s="80" t="s">
        <v>116</v>
      </c>
      <c r="B63" s="97">
        <v>39500</v>
      </c>
      <c r="C63" s="98">
        <v>139700</v>
      </c>
      <c r="D63" s="98">
        <v>29500</v>
      </c>
      <c r="E63" s="82">
        <v>208600</v>
      </c>
      <c r="F63" s="97">
        <v>49000</v>
      </c>
      <c r="G63" s="98">
        <v>203100</v>
      </c>
      <c r="H63" s="98">
        <v>61200</v>
      </c>
      <c r="I63" s="82">
        <v>313300</v>
      </c>
      <c r="J63" s="97">
        <v>88500</v>
      </c>
      <c r="K63" s="97">
        <v>342700</v>
      </c>
      <c r="L63" s="97">
        <v>90700</v>
      </c>
      <c r="M63" s="82">
        <v>521900</v>
      </c>
    </row>
    <row r="64" spans="1:13">
      <c r="A64" s="27" t="s">
        <v>117</v>
      </c>
      <c r="B64" s="95">
        <v>38800</v>
      </c>
      <c r="C64" s="96">
        <v>142100</v>
      </c>
      <c r="D64" s="96">
        <v>30600</v>
      </c>
      <c r="E64" s="81">
        <v>211400</v>
      </c>
      <c r="F64" s="95">
        <v>48200</v>
      </c>
      <c r="G64" s="96">
        <v>204900</v>
      </c>
      <c r="H64" s="96">
        <v>63100</v>
      </c>
      <c r="I64" s="81">
        <v>316100</v>
      </c>
      <c r="J64" s="95">
        <v>86900</v>
      </c>
      <c r="K64" s="95">
        <v>346900</v>
      </c>
      <c r="L64" s="95">
        <v>93700</v>
      </c>
      <c r="M64" s="81">
        <v>527500</v>
      </c>
    </row>
    <row r="65" spans="1:13">
      <c r="A65" s="27" t="s">
        <v>118</v>
      </c>
      <c r="B65" s="95">
        <v>39000</v>
      </c>
      <c r="C65" s="96">
        <v>143800</v>
      </c>
      <c r="D65" s="96">
        <v>31600</v>
      </c>
      <c r="E65" s="81">
        <v>214400</v>
      </c>
      <c r="F65" s="95">
        <v>47900</v>
      </c>
      <c r="G65" s="96">
        <v>206400</v>
      </c>
      <c r="H65" s="96">
        <v>64400</v>
      </c>
      <c r="I65" s="81">
        <v>318700</v>
      </c>
      <c r="J65" s="95">
        <v>86900</v>
      </c>
      <c r="K65" s="95">
        <v>350200</v>
      </c>
      <c r="L65" s="95">
        <v>96100</v>
      </c>
      <c r="M65" s="81">
        <v>533100</v>
      </c>
    </row>
    <row r="66" spans="1:13">
      <c r="A66" s="27" t="s">
        <v>119</v>
      </c>
      <c r="B66" s="95">
        <v>39300</v>
      </c>
      <c r="C66" s="96">
        <v>146000</v>
      </c>
      <c r="D66" s="96">
        <v>32500</v>
      </c>
      <c r="E66" s="81">
        <v>217700</v>
      </c>
      <c r="F66" s="95">
        <v>48400</v>
      </c>
      <c r="G66" s="96">
        <v>208100</v>
      </c>
      <c r="H66" s="96">
        <v>66400</v>
      </c>
      <c r="I66" s="81">
        <v>322800</v>
      </c>
      <c r="J66" s="95">
        <v>87600</v>
      </c>
      <c r="K66" s="95">
        <v>354100</v>
      </c>
      <c r="L66" s="95">
        <v>98800</v>
      </c>
      <c r="M66" s="81">
        <v>540500</v>
      </c>
    </row>
    <row r="67" spans="1:13">
      <c r="A67" s="80" t="s">
        <v>120</v>
      </c>
      <c r="B67" s="97">
        <v>38100</v>
      </c>
      <c r="C67" s="98">
        <v>146600</v>
      </c>
      <c r="D67" s="98">
        <v>33900</v>
      </c>
      <c r="E67" s="82">
        <v>218500</v>
      </c>
      <c r="F67" s="97">
        <v>47500</v>
      </c>
      <c r="G67" s="98">
        <v>210500</v>
      </c>
      <c r="H67" s="98">
        <v>68700</v>
      </c>
      <c r="I67" s="82">
        <v>326800</v>
      </c>
      <c r="J67" s="97">
        <v>85600</v>
      </c>
      <c r="K67" s="97">
        <v>357200</v>
      </c>
      <c r="L67" s="97">
        <v>102600</v>
      </c>
      <c r="M67" s="82">
        <v>545300</v>
      </c>
    </row>
    <row r="68" spans="1:13">
      <c r="A68" s="27" t="s">
        <v>121</v>
      </c>
      <c r="B68" s="95">
        <v>38100</v>
      </c>
      <c r="C68" s="96">
        <v>147200</v>
      </c>
      <c r="D68" s="96">
        <v>34900</v>
      </c>
      <c r="E68" s="81">
        <v>220200</v>
      </c>
      <c r="F68" s="95">
        <v>48600</v>
      </c>
      <c r="G68" s="96">
        <v>212600</v>
      </c>
      <c r="H68" s="96">
        <v>71000</v>
      </c>
      <c r="I68" s="81">
        <v>332200</v>
      </c>
      <c r="J68" s="95">
        <v>86700</v>
      </c>
      <c r="K68" s="95">
        <v>359800</v>
      </c>
      <c r="L68" s="95">
        <v>105900</v>
      </c>
      <c r="M68" s="81">
        <v>552400</v>
      </c>
    </row>
    <row r="69" spans="1:13">
      <c r="A69" s="27" t="s">
        <v>122</v>
      </c>
      <c r="B69" s="95">
        <v>38400</v>
      </c>
      <c r="C69" s="96">
        <v>148500</v>
      </c>
      <c r="D69" s="96">
        <v>36200</v>
      </c>
      <c r="E69" s="81">
        <v>223100</v>
      </c>
      <c r="F69" s="95">
        <v>49600</v>
      </c>
      <c r="G69" s="96">
        <v>215500</v>
      </c>
      <c r="H69" s="96">
        <v>74000</v>
      </c>
      <c r="I69" s="81">
        <v>339100</v>
      </c>
      <c r="J69" s="95">
        <v>88000</v>
      </c>
      <c r="K69" s="95">
        <v>364000</v>
      </c>
      <c r="L69" s="95">
        <v>110300</v>
      </c>
      <c r="M69" s="81">
        <v>562300</v>
      </c>
    </row>
    <row r="70" spans="1:13">
      <c r="A70" s="27" t="s">
        <v>123</v>
      </c>
      <c r="B70" s="95">
        <v>38300</v>
      </c>
      <c r="C70" s="96">
        <v>149600</v>
      </c>
      <c r="D70" s="96">
        <v>37600</v>
      </c>
      <c r="E70" s="81">
        <v>225500</v>
      </c>
      <c r="F70" s="95">
        <v>49300</v>
      </c>
      <c r="G70" s="96">
        <v>216100</v>
      </c>
      <c r="H70" s="96">
        <v>76400</v>
      </c>
      <c r="I70" s="81">
        <v>341800</v>
      </c>
      <c r="J70" s="95">
        <v>87600</v>
      </c>
      <c r="K70" s="95">
        <v>365800</v>
      </c>
      <c r="L70" s="95">
        <v>114000</v>
      </c>
      <c r="M70" s="81">
        <v>567300</v>
      </c>
    </row>
    <row r="71" spans="1:13">
      <c r="A71" s="80" t="s">
        <v>124</v>
      </c>
      <c r="B71" s="97">
        <v>37700</v>
      </c>
      <c r="C71" s="98">
        <v>148400</v>
      </c>
      <c r="D71" s="98">
        <v>38400</v>
      </c>
      <c r="E71" s="82">
        <v>224500</v>
      </c>
      <c r="F71" s="97">
        <v>49500</v>
      </c>
      <c r="G71" s="98">
        <v>217600</v>
      </c>
      <c r="H71" s="98">
        <v>79200</v>
      </c>
      <c r="I71" s="82">
        <v>346300</v>
      </c>
      <c r="J71" s="97">
        <v>87200</v>
      </c>
      <c r="K71" s="97">
        <v>366000</v>
      </c>
      <c r="L71" s="97">
        <v>117600</v>
      </c>
      <c r="M71" s="82">
        <v>570800</v>
      </c>
    </row>
    <row r="72" spans="1:13">
      <c r="A72" s="27" t="s">
        <v>125</v>
      </c>
      <c r="B72" s="95">
        <v>38800</v>
      </c>
      <c r="C72" s="96">
        <v>152200</v>
      </c>
      <c r="D72" s="96">
        <v>39900</v>
      </c>
      <c r="E72" s="81">
        <v>230900</v>
      </c>
      <c r="F72" s="95">
        <v>50000</v>
      </c>
      <c r="G72" s="96">
        <v>218800</v>
      </c>
      <c r="H72" s="96">
        <v>81500</v>
      </c>
      <c r="I72" s="81">
        <v>350400</v>
      </c>
      <c r="J72" s="95">
        <v>88800</v>
      </c>
      <c r="K72" s="95">
        <v>371100</v>
      </c>
      <c r="L72" s="95">
        <v>121400</v>
      </c>
      <c r="M72" s="81">
        <v>581200</v>
      </c>
    </row>
    <row r="73" spans="1:13">
      <c r="A73" s="27" t="s">
        <v>126</v>
      </c>
      <c r="B73" s="95">
        <v>39800</v>
      </c>
      <c r="C73" s="96">
        <v>155300</v>
      </c>
      <c r="D73" s="96">
        <v>41000</v>
      </c>
      <c r="E73" s="81">
        <v>236100</v>
      </c>
      <c r="F73" s="95">
        <v>51000</v>
      </c>
      <c r="G73" s="96">
        <v>223600</v>
      </c>
      <c r="H73" s="96">
        <v>84700</v>
      </c>
      <c r="I73" s="81">
        <v>359300</v>
      </c>
      <c r="J73" s="95">
        <v>90700</v>
      </c>
      <c r="K73" s="95">
        <v>378900</v>
      </c>
      <c r="L73" s="95">
        <v>125700</v>
      </c>
      <c r="M73" s="81">
        <v>595400</v>
      </c>
    </row>
    <row r="74" spans="1:13">
      <c r="A74" s="27" t="s">
        <v>127</v>
      </c>
      <c r="B74" s="95">
        <v>41200</v>
      </c>
      <c r="C74" s="96">
        <v>158700</v>
      </c>
      <c r="D74" s="96">
        <v>42800</v>
      </c>
      <c r="E74" s="81">
        <v>242700</v>
      </c>
      <c r="F74" s="95">
        <v>52500</v>
      </c>
      <c r="G74" s="96">
        <v>228000</v>
      </c>
      <c r="H74" s="96">
        <v>88100</v>
      </c>
      <c r="I74" s="81">
        <v>368600</v>
      </c>
      <c r="J74" s="95">
        <v>93700</v>
      </c>
      <c r="K74" s="95">
        <v>386600</v>
      </c>
      <c r="L74" s="95">
        <v>131000</v>
      </c>
      <c r="M74" s="81">
        <v>611300</v>
      </c>
    </row>
    <row r="75" spans="1:13">
      <c r="A75" s="80" t="s">
        <v>128</v>
      </c>
      <c r="B75" s="97">
        <v>43200</v>
      </c>
      <c r="C75" s="98">
        <v>162000</v>
      </c>
      <c r="D75" s="98">
        <v>43900</v>
      </c>
      <c r="E75" s="82">
        <v>249100</v>
      </c>
      <c r="F75" s="97">
        <v>54900</v>
      </c>
      <c r="G75" s="98">
        <v>232700</v>
      </c>
      <c r="H75" s="98">
        <v>91300</v>
      </c>
      <c r="I75" s="82">
        <v>378900</v>
      </c>
      <c r="J75" s="97">
        <v>98100</v>
      </c>
      <c r="K75" s="97">
        <v>394700</v>
      </c>
      <c r="L75" s="97">
        <v>135200</v>
      </c>
      <c r="M75" s="82">
        <v>628000</v>
      </c>
    </row>
    <row r="76" spans="1:13">
      <c r="A76" s="27" t="s">
        <v>129</v>
      </c>
      <c r="B76" s="95">
        <v>44500</v>
      </c>
      <c r="C76" s="96">
        <v>167500</v>
      </c>
      <c r="D76" s="96">
        <v>45400</v>
      </c>
      <c r="E76" s="81">
        <v>257400</v>
      </c>
      <c r="F76" s="95">
        <v>56500</v>
      </c>
      <c r="G76" s="96">
        <v>238700</v>
      </c>
      <c r="H76" s="96">
        <v>94400</v>
      </c>
      <c r="I76" s="81">
        <v>389700</v>
      </c>
      <c r="J76" s="95">
        <v>101000</v>
      </c>
      <c r="K76" s="95">
        <v>406200</v>
      </c>
      <c r="L76" s="95">
        <v>139800</v>
      </c>
      <c r="M76" s="81">
        <v>647100</v>
      </c>
    </row>
    <row r="77" spans="1:13">
      <c r="A77" s="27" t="s">
        <v>130</v>
      </c>
      <c r="B77" s="95">
        <v>44400</v>
      </c>
      <c r="C77" s="96">
        <v>166900</v>
      </c>
      <c r="D77" s="96">
        <v>46000</v>
      </c>
      <c r="E77" s="81">
        <v>257300</v>
      </c>
      <c r="F77" s="95">
        <v>55700</v>
      </c>
      <c r="G77" s="96">
        <v>238500</v>
      </c>
      <c r="H77" s="96">
        <v>96300</v>
      </c>
      <c r="I77" s="81">
        <v>390600</v>
      </c>
      <c r="J77" s="95">
        <v>100100</v>
      </c>
      <c r="K77" s="95">
        <v>405400</v>
      </c>
      <c r="L77" s="95">
        <v>142300</v>
      </c>
      <c r="M77" s="81">
        <v>647900</v>
      </c>
    </row>
    <row r="78" spans="1:13">
      <c r="A78" s="27" t="s">
        <v>131</v>
      </c>
      <c r="B78" s="95">
        <v>43600</v>
      </c>
      <c r="C78" s="96">
        <v>168600</v>
      </c>
      <c r="D78" s="96">
        <v>47000</v>
      </c>
      <c r="E78" s="81">
        <v>259100</v>
      </c>
      <c r="F78" s="95">
        <v>54900</v>
      </c>
      <c r="G78" s="96">
        <v>239900</v>
      </c>
      <c r="H78" s="96">
        <v>98000</v>
      </c>
      <c r="I78" s="81">
        <v>392800</v>
      </c>
      <c r="J78" s="95">
        <v>98500</v>
      </c>
      <c r="K78" s="95">
        <v>408500</v>
      </c>
      <c r="L78" s="95">
        <v>144900</v>
      </c>
      <c r="M78" s="81">
        <v>651900</v>
      </c>
    </row>
    <row r="79" spans="1:13">
      <c r="A79" s="80" t="s">
        <v>132</v>
      </c>
      <c r="B79" s="97">
        <v>44900</v>
      </c>
      <c r="C79" s="98">
        <v>171600</v>
      </c>
      <c r="D79" s="98">
        <v>48400</v>
      </c>
      <c r="E79" s="82">
        <v>264900</v>
      </c>
      <c r="F79" s="97">
        <v>55800</v>
      </c>
      <c r="G79" s="98">
        <v>244200</v>
      </c>
      <c r="H79" s="98">
        <v>100900</v>
      </c>
      <c r="I79" s="82">
        <v>400800</v>
      </c>
      <c r="J79" s="97">
        <v>100700</v>
      </c>
      <c r="K79" s="97">
        <v>415800</v>
      </c>
      <c r="L79" s="97">
        <v>149300</v>
      </c>
      <c r="M79" s="82">
        <v>665700</v>
      </c>
    </row>
    <row r="80" spans="1:13">
      <c r="A80" s="27" t="s">
        <v>133</v>
      </c>
      <c r="B80" s="95">
        <v>44400</v>
      </c>
      <c r="C80" s="96">
        <v>173400</v>
      </c>
      <c r="D80" s="96">
        <v>49500</v>
      </c>
      <c r="E80" s="81">
        <v>267300</v>
      </c>
      <c r="F80" s="95">
        <v>54500</v>
      </c>
      <c r="G80" s="96">
        <v>243900</v>
      </c>
      <c r="H80" s="96">
        <v>103300</v>
      </c>
      <c r="I80" s="81">
        <v>401700</v>
      </c>
      <c r="J80" s="95">
        <v>98900</v>
      </c>
      <c r="K80" s="95">
        <v>417300</v>
      </c>
      <c r="L80" s="95">
        <v>152800</v>
      </c>
      <c r="M80" s="81">
        <v>669000</v>
      </c>
    </row>
    <row r="81" spans="1:13">
      <c r="A81" s="27" t="s">
        <v>134</v>
      </c>
      <c r="B81" s="95">
        <v>44800</v>
      </c>
      <c r="C81" s="96">
        <v>176000</v>
      </c>
      <c r="D81" s="96">
        <v>50500</v>
      </c>
      <c r="E81" s="81">
        <v>271300</v>
      </c>
      <c r="F81" s="95">
        <v>54500</v>
      </c>
      <c r="G81" s="96">
        <v>245700</v>
      </c>
      <c r="H81" s="96">
        <v>105400</v>
      </c>
      <c r="I81" s="81">
        <v>405600</v>
      </c>
      <c r="J81" s="95">
        <v>99300</v>
      </c>
      <c r="K81" s="95">
        <v>421700</v>
      </c>
      <c r="L81" s="95">
        <v>155900</v>
      </c>
      <c r="M81" s="81">
        <v>676900</v>
      </c>
    </row>
    <row r="82" spans="1:13">
      <c r="A82" s="27" t="s">
        <v>135</v>
      </c>
      <c r="B82" s="95">
        <v>44500</v>
      </c>
      <c r="C82" s="96">
        <v>176700</v>
      </c>
      <c r="D82" s="96">
        <v>51300</v>
      </c>
      <c r="E82" s="81">
        <v>272600</v>
      </c>
      <c r="F82" s="95">
        <v>54000</v>
      </c>
      <c r="G82" s="96">
        <v>246200</v>
      </c>
      <c r="H82" s="96">
        <v>106800</v>
      </c>
      <c r="I82" s="81">
        <v>407000</v>
      </c>
      <c r="J82" s="95">
        <v>98600</v>
      </c>
      <c r="K82" s="95">
        <v>423000</v>
      </c>
      <c r="L82" s="95">
        <v>158100</v>
      </c>
      <c r="M82" s="81">
        <v>679600</v>
      </c>
    </row>
    <row r="83" spans="1:13">
      <c r="A83" s="80" t="s">
        <v>136</v>
      </c>
      <c r="B83" s="97">
        <v>45300</v>
      </c>
      <c r="C83" s="98">
        <v>179900</v>
      </c>
      <c r="D83" s="98">
        <v>52700</v>
      </c>
      <c r="E83" s="82">
        <v>277800</v>
      </c>
      <c r="F83" s="97">
        <v>55300</v>
      </c>
      <c r="G83" s="98">
        <v>249500</v>
      </c>
      <c r="H83" s="98">
        <v>109000</v>
      </c>
      <c r="I83" s="82">
        <v>413800</v>
      </c>
      <c r="J83" s="97">
        <v>100600</v>
      </c>
      <c r="K83" s="97">
        <v>429400</v>
      </c>
      <c r="L83" s="97">
        <v>161700</v>
      </c>
      <c r="M83" s="82">
        <v>691700</v>
      </c>
    </row>
    <row r="84" spans="1:13">
      <c r="A84" s="27" t="s">
        <v>137</v>
      </c>
      <c r="B84" s="95">
        <v>46300</v>
      </c>
      <c r="C84" s="96">
        <v>182500</v>
      </c>
      <c r="D84" s="96">
        <v>53600</v>
      </c>
      <c r="E84" s="81">
        <v>282400</v>
      </c>
      <c r="F84" s="95">
        <v>56700</v>
      </c>
      <c r="G84" s="96">
        <v>253800</v>
      </c>
      <c r="H84" s="96">
        <v>111100</v>
      </c>
      <c r="I84" s="81">
        <v>421700</v>
      </c>
      <c r="J84" s="95">
        <v>103000</v>
      </c>
      <c r="K84" s="95">
        <v>436300</v>
      </c>
      <c r="L84" s="95">
        <v>164700</v>
      </c>
      <c r="M84" s="81">
        <v>704000</v>
      </c>
    </row>
    <row r="85" spans="1:13">
      <c r="A85" s="27" t="s">
        <v>138</v>
      </c>
      <c r="B85" s="95">
        <v>47500</v>
      </c>
      <c r="C85" s="96">
        <v>187300</v>
      </c>
      <c r="D85" s="96">
        <v>55300</v>
      </c>
      <c r="E85" s="81">
        <v>290100</v>
      </c>
      <c r="F85" s="95">
        <v>57700</v>
      </c>
      <c r="G85" s="96">
        <v>258200</v>
      </c>
      <c r="H85" s="96">
        <v>113500</v>
      </c>
      <c r="I85" s="81">
        <v>429400</v>
      </c>
      <c r="J85" s="95">
        <v>105300</v>
      </c>
      <c r="K85" s="95">
        <v>445400</v>
      </c>
      <c r="L85" s="95">
        <v>168800</v>
      </c>
      <c r="M85" s="81">
        <v>719500</v>
      </c>
    </row>
    <row r="86" spans="1:13">
      <c r="A86" s="27" t="s">
        <v>139</v>
      </c>
      <c r="B86" s="95">
        <v>46800</v>
      </c>
      <c r="C86" s="96">
        <v>187600</v>
      </c>
      <c r="D86" s="96">
        <v>56100</v>
      </c>
      <c r="E86" s="81">
        <v>290500</v>
      </c>
      <c r="F86" s="95">
        <v>56300</v>
      </c>
      <c r="G86" s="96">
        <v>259700</v>
      </c>
      <c r="H86" s="96">
        <v>115600</v>
      </c>
      <c r="I86" s="81">
        <v>431600</v>
      </c>
      <c r="J86" s="95">
        <v>103100</v>
      </c>
      <c r="K86" s="95">
        <v>447300</v>
      </c>
      <c r="L86" s="95">
        <v>171700</v>
      </c>
      <c r="M86" s="81">
        <v>722100</v>
      </c>
    </row>
    <row r="87" spans="1:13">
      <c r="A87" s="80" t="s">
        <v>140</v>
      </c>
      <c r="B87" s="97">
        <v>47300</v>
      </c>
      <c r="C87" s="98">
        <v>189600</v>
      </c>
      <c r="D87" s="98">
        <v>57400</v>
      </c>
      <c r="E87" s="82">
        <v>294300</v>
      </c>
      <c r="F87" s="97">
        <v>56700</v>
      </c>
      <c r="G87" s="98">
        <v>262700</v>
      </c>
      <c r="H87" s="98">
        <v>117800</v>
      </c>
      <c r="I87" s="82">
        <v>437200</v>
      </c>
      <c r="J87" s="97">
        <v>104000</v>
      </c>
      <c r="K87" s="97">
        <v>452300</v>
      </c>
      <c r="L87" s="97">
        <v>175200</v>
      </c>
      <c r="M87" s="82">
        <v>731500</v>
      </c>
    </row>
    <row r="88" spans="1:13">
      <c r="A88" s="27" t="s">
        <v>141</v>
      </c>
      <c r="B88" s="95">
        <v>47600</v>
      </c>
      <c r="C88" s="96">
        <v>190100</v>
      </c>
      <c r="D88" s="96">
        <v>58000</v>
      </c>
      <c r="E88" s="81">
        <v>295600</v>
      </c>
      <c r="F88" s="95">
        <v>57000</v>
      </c>
      <c r="G88" s="96">
        <v>264200</v>
      </c>
      <c r="H88" s="96">
        <v>118100</v>
      </c>
      <c r="I88" s="81">
        <v>439300</v>
      </c>
      <c r="J88" s="95">
        <v>104600</v>
      </c>
      <c r="K88" s="95">
        <v>454300</v>
      </c>
      <c r="L88" s="95">
        <v>176100</v>
      </c>
      <c r="M88" s="81">
        <v>734900</v>
      </c>
    </row>
    <row r="89" spans="1:13">
      <c r="A89" s="27" t="s">
        <v>142</v>
      </c>
      <c r="B89" s="95">
        <v>47200</v>
      </c>
      <c r="C89" s="96">
        <v>192400</v>
      </c>
      <c r="D89" s="96">
        <v>59400</v>
      </c>
      <c r="E89" s="81">
        <v>299000</v>
      </c>
      <c r="F89" s="95">
        <v>56900</v>
      </c>
      <c r="G89" s="96">
        <v>265700</v>
      </c>
      <c r="H89" s="96">
        <v>120800</v>
      </c>
      <c r="I89" s="81">
        <v>443400</v>
      </c>
      <c r="J89" s="95">
        <v>104100</v>
      </c>
      <c r="K89" s="95">
        <v>458100</v>
      </c>
      <c r="L89" s="95">
        <v>180100</v>
      </c>
      <c r="M89" s="81">
        <v>742300</v>
      </c>
    </row>
    <row r="90" spans="1:13">
      <c r="A90" s="27" t="s">
        <v>143</v>
      </c>
      <c r="B90" s="95">
        <v>47200</v>
      </c>
      <c r="C90" s="96">
        <v>191100</v>
      </c>
      <c r="D90" s="96">
        <v>59800</v>
      </c>
      <c r="E90" s="81">
        <v>298000</v>
      </c>
      <c r="F90" s="95">
        <v>56800</v>
      </c>
      <c r="G90" s="96">
        <v>264600</v>
      </c>
      <c r="H90" s="96">
        <v>121200</v>
      </c>
      <c r="I90" s="81">
        <v>442600</v>
      </c>
      <c r="J90" s="95">
        <v>104000</v>
      </c>
      <c r="K90" s="95">
        <v>455600</v>
      </c>
      <c r="L90" s="95">
        <v>181000</v>
      </c>
      <c r="M90" s="81">
        <v>740600</v>
      </c>
    </row>
    <row r="91" spans="1:13">
      <c r="A91" s="80" t="s">
        <v>144</v>
      </c>
      <c r="B91" s="97">
        <v>46800</v>
      </c>
      <c r="C91" s="98">
        <v>192900</v>
      </c>
      <c r="D91" s="98">
        <v>61700</v>
      </c>
      <c r="E91" s="82">
        <v>301500</v>
      </c>
      <c r="F91" s="97">
        <v>56100</v>
      </c>
      <c r="G91" s="98">
        <v>264500</v>
      </c>
      <c r="H91" s="98">
        <v>122000</v>
      </c>
      <c r="I91" s="82">
        <v>442500</v>
      </c>
      <c r="J91" s="97">
        <v>102900</v>
      </c>
      <c r="K91" s="97">
        <v>457400</v>
      </c>
      <c r="L91" s="97">
        <v>183700</v>
      </c>
      <c r="M91" s="82">
        <v>744000</v>
      </c>
    </row>
    <row r="92" spans="1:13">
      <c r="A92" s="27" t="s">
        <v>145</v>
      </c>
      <c r="B92" s="95">
        <v>46100</v>
      </c>
      <c r="C92" s="96">
        <v>191400</v>
      </c>
      <c r="D92" s="96">
        <v>62300</v>
      </c>
      <c r="E92" s="81">
        <v>299900</v>
      </c>
      <c r="F92" s="95">
        <v>55300</v>
      </c>
      <c r="G92" s="96">
        <v>262400</v>
      </c>
      <c r="H92" s="96">
        <v>121600</v>
      </c>
      <c r="I92" s="81">
        <v>439300</v>
      </c>
      <c r="J92" s="95">
        <v>101400</v>
      </c>
      <c r="K92" s="95">
        <v>453900</v>
      </c>
      <c r="L92" s="95">
        <v>184000</v>
      </c>
      <c r="M92" s="81">
        <v>739200</v>
      </c>
    </row>
    <row r="93" spans="1:13">
      <c r="A93" s="27" t="s">
        <v>146</v>
      </c>
      <c r="B93" s="95">
        <v>46200</v>
      </c>
      <c r="C93" s="96">
        <v>192300</v>
      </c>
      <c r="D93" s="96">
        <v>63400</v>
      </c>
      <c r="E93" s="81">
        <v>301900</v>
      </c>
      <c r="F93" s="95">
        <v>56400</v>
      </c>
      <c r="G93" s="96">
        <v>267000</v>
      </c>
      <c r="H93" s="96">
        <v>124800</v>
      </c>
      <c r="I93" s="81">
        <v>448200</v>
      </c>
      <c r="J93" s="95">
        <v>102700</v>
      </c>
      <c r="K93" s="95">
        <v>459300</v>
      </c>
      <c r="L93" s="95">
        <v>188200</v>
      </c>
      <c r="M93" s="81">
        <v>750100</v>
      </c>
    </row>
    <row r="94" spans="1:13">
      <c r="A94" s="27" t="s">
        <v>147</v>
      </c>
      <c r="B94" s="95">
        <v>47500</v>
      </c>
      <c r="C94" s="96">
        <v>196300</v>
      </c>
      <c r="D94" s="96">
        <v>64900</v>
      </c>
      <c r="E94" s="81">
        <v>308800</v>
      </c>
      <c r="F94" s="95">
        <v>58000</v>
      </c>
      <c r="G94" s="96">
        <v>271100</v>
      </c>
      <c r="H94" s="96">
        <v>126700</v>
      </c>
      <c r="I94" s="81">
        <v>455800</v>
      </c>
      <c r="J94" s="95">
        <v>105500</v>
      </c>
      <c r="K94" s="95">
        <v>467500</v>
      </c>
      <c r="L94" s="95">
        <v>191600</v>
      </c>
      <c r="M94" s="81">
        <v>764600</v>
      </c>
    </row>
    <row r="95" spans="1:13">
      <c r="A95" s="80" t="s">
        <v>148</v>
      </c>
      <c r="B95" s="97">
        <v>47400</v>
      </c>
      <c r="C95" s="98">
        <v>197100</v>
      </c>
      <c r="D95" s="98">
        <v>66200</v>
      </c>
      <c r="E95" s="82">
        <v>310700</v>
      </c>
      <c r="F95" s="97">
        <v>58500</v>
      </c>
      <c r="G95" s="98">
        <v>274000</v>
      </c>
      <c r="H95" s="98">
        <v>128200</v>
      </c>
      <c r="I95" s="82">
        <v>460700</v>
      </c>
      <c r="J95" s="97">
        <v>105900</v>
      </c>
      <c r="K95" s="98">
        <v>471100</v>
      </c>
      <c r="L95" s="98">
        <v>194400</v>
      </c>
      <c r="M95" s="82">
        <v>771400</v>
      </c>
    </row>
    <row r="96" spans="1:13">
      <c r="A96" s="27" t="s">
        <v>149</v>
      </c>
      <c r="B96" s="95">
        <v>47600</v>
      </c>
      <c r="C96" s="96">
        <v>200500</v>
      </c>
      <c r="D96" s="96">
        <v>68100</v>
      </c>
      <c r="E96" s="81">
        <v>316200</v>
      </c>
      <c r="F96" s="95">
        <v>58700</v>
      </c>
      <c r="G96" s="96">
        <v>278100</v>
      </c>
      <c r="H96" s="96">
        <v>130000</v>
      </c>
      <c r="I96" s="81">
        <v>466800</v>
      </c>
      <c r="J96" s="95">
        <v>106200</v>
      </c>
      <c r="K96" s="96">
        <v>478600</v>
      </c>
      <c r="L96" s="96">
        <v>198200</v>
      </c>
      <c r="M96" s="81">
        <v>782900</v>
      </c>
    </row>
    <row r="97" spans="1:13">
      <c r="A97" s="27" t="s">
        <v>150</v>
      </c>
      <c r="B97" s="95">
        <v>47200</v>
      </c>
      <c r="C97" s="96">
        <v>199100</v>
      </c>
      <c r="D97" s="96">
        <v>68600</v>
      </c>
      <c r="E97" s="81">
        <v>314900</v>
      </c>
      <c r="F97" s="95">
        <v>58600</v>
      </c>
      <c r="G97" s="96">
        <v>276500</v>
      </c>
      <c r="H97" s="96">
        <v>131400</v>
      </c>
      <c r="I97" s="81">
        <v>466500</v>
      </c>
      <c r="J97" s="95">
        <v>105800</v>
      </c>
      <c r="K97" s="96">
        <v>475600</v>
      </c>
      <c r="L97" s="96">
        <v>200000</v>
      </c>
      <c r="M97" s="81">
        <v>781400</v>
      </c>
    </row>
    <row r="98" spans="1:13">
      <c r="A98" s="27" t="s">
        <v>151</v>
      </c>
      <c r="B98" s="95">
        <v>47200</v>
      </c>
      <c r="C98" s="96">
        <v>197900</v>
      </c>
      <c r="D98" s="96">
        <v>68700</v>
      </c>
      <c r="E98" s="81">
        <v>313800</v>
      </c>
      <c r="F98" s="95">
        <v>58900</v>
      </c>
      <c r="G98" s="96">
        <v>276400</v>
      </c>
      <c r="H98" s="96">
        <v>132100</v>
      </c>
      <c r="I98" s="81">
        <v>467400</v>
      </c>
      <c r="J98" s="95">
        <v>106100</v>
      </c>
      <c r="K98" s="96">
        <v>474200</v>
      </c>
      <c r="L98" s="96">
        <v>200800</v>
      </c>
      <c r="M98" s="81">
        <v>781200</v>
      </c>
    </row>
    <row r="99" spans="1:13">
      <c r="A99" s="80" t="s">
        <v>152</v>
      </c>
      <c r="B99" s="97">
        <v>47200</v>
      </c>
      <c r="C99" s="98">
        <v>197300</v>
      </c>
      <c r="D99" s="98">
        <v>69000</v>
      </c>
      <c r="E99" s="82">
        <v>313400</v>
      </c>
      <c r="F99" s="97">
        <v>57900</v>
      </c>
      <c r="G99" s="98">
        <v>275300</v>
      </c>
      <c r="H99" s="98">
        <v>132500</v>
      </c>
      <c r="I99" s="82">
        <v>465800</v>
      </c>
      <c r="J99" s="97">
        <v>105000</v>
      </c>
      <c r="K99" s="98">
        <v>472600</v>
      </c>
      <c r="L99" s="98">
        <v>201500</v>
      </c>
      <c r="M99" s="82">
        <v>779100</v>
      </c>
    </row>
    <row r="100" spans="1:13">
      <c r="A100" s="27" t="s">
        <v>153</v>
      </c>
      <c r="B100" s="95">
        <v>47500</v>
      </c>
      <c r="C100" s="96">
        <v>197900</v>
      </c>
      <c r="D100" s="96">
        <v>70100</v>
      </c>
      <c r="E100" s="81">
        <v>315500</v>
      </c>
      <c r="F100" s="95">
        <v>57800</v>
      </c>
      <c r="G100" s="96">
        <v>276600</v>
      </c>
      <c r="H100" s="96">
        <v>133300</v>
      </c>
      <c r="I100" s="81">
        <v>467600</v>
      </c>
      <c r="J100" s="95">
        <v>105300</v>
      </c>
      <c r="K100" s="96">
        <v>474500</v>
      </c>
      <c r="L100" s="96">
        <v>203400</v>
      </c>
      <c r="M100" s="81">
        <v>783200</v>
      </c>
    </row>
    <row r="101" spans="1:13">
      <c r="A101" s="27" t="s">
        <v>154</v>
      </c>
      <c r="B101" s="95">
        <v>46000</v>
      </c>
      <c r="C101" s="96">
        <v>192800</v>
      </c>
      <c r="D101" s="96">
        <v>69700</v>
      </c>
      <c r="E101" s="81">
        <v>308400</v>
      </c>
      <c r="F101" s="95">
        <v>56200</v>
      </c>
      <c r="G101" s="96">
        <v>271100</v>
      </c>
      <c r="H101" s="96">
        <v>133400</v>
      </c>
      <c r="I101" s="81">
        <v>460600</v>
      </c>
      <c r="J101" s="95">
        <v>102200</v>
      </c>
      <c r="K101" s="96">
        <v>463800</v>
      </c>
      <c r="L101" s="96">
        <v>203100</v>
      </c>
      <c r="M101" s="81">
        <v>769100</v>
      </c>
    </row>
    <row r="102" spans="1:13">
      <c r="A102" s="27" t="s">
        <v>155</v>
      </c>
      <c r="B102" s="95">
        <v>44000</v>
      </c>
      <c r="C102" s="96">
        <v>192000</v>
      </c>
      <c r="D102" s="96">
        <v>70400</v>
      </c>
      <c r="E102" s="81">
        <v>306400</v>
      </c>
      <c r="F102" s="95">
        <v>53500</v>
      </c>
      <c r="G102" s="96">
        <v>265700</v>
      </c>
      <c r="H102" s="96">
        <v>132300</v>
      </c>
      <c r="I102" s="81">
        <v>451600</v>
      </c>
      <c r="J102" s="95">
        <v>97500</v>
      </c>
      <c r="K102" s="96">
        <v>457600</v>
      </c>
      <c r="L102" s="96">
        <v>202700</v>
      </c>
      <c r="M102" s="81">
        <v>757900</v>
      </c>
    </row>
    <row r="103" spans="1:13">
      <c r="A103" s="80" t="s">
        <v>156</v>
      </c>
      <c r="B103" s="97">
        <v>42400</v>
      </c>
      <c r="C103" s="98">
        <v>190600</v>
      </c>
      <c r="D103" s="98">
        <v>70300</v>
      </c>
      <c r="E103" s="82">
        <v>303200</v>
      </c>
      <c r="F103" s="97">
        <v>50900</v>
      </c>
      <c r="G103" s="98">
        <v>261800</v>
      </c>
      <c r="H103" s="98">
        <v>131200</v>
      </c>
      <c r="I103" s="82">
        <v>443900</v>
      </c>
      <c r="J103" s="97">
        <v>93300</v>
      </c>
      <c r="K103" s="98">
        <v>452400</v>
      </c>
      <c r="L103" s="98">
        <v>201500</v>
      </c>
      <c r="M103" s="82">
        <v>747100</v>
      </c>
    </row>
    <row r="104" spans="1:13">
      <c r="A104" s="27" t="s">
        <v>157</v>
      </c>
      <c r="B104" s="95">
        <v>45700</v>
      </c>
      <c r="C104" s="96">
        <v>211800</v>
      </c>
      <c r="D104" s="96">
        <v>76500</v>
      </c>
      <c r="E104" s="81">
        <v>333900</v>
      </c>
      <c r="F104" s="95">
        <v>53300</v>
      </c>
      <c r="G104" s="96">
        <v>277800</v>
      </c>
      <c r="H104" s="96">
        <v>135700</v>
      </c>
      <c r="I104" s="81">
        <v>466800</v>
      </c>
      <c r="J104" s="95">
        <v>99000</v>
      </c>
      <c r="K104" s="96">
        <v>489600</v>
      </c>
      <c r="L104" s="96">
        <v>212200</v>
      </c>
      <c r="M104" s="81">
        <v>800800</v>
      </c>
    </row>
    <row r="105" spans="1:13">
      <c r="A105" s="27" t="s">
        <v>158</v>
      </c>
      <c r="B105" s="95">
        <v>35600</v>
      </c>
      <c r="C105" s="96">
        <v>170900</v>
      </c>
      <c r="D105" s="96">
        <v>62200</v>
      </c>
      <c r="E105" s="81">
        <v>268700</v>
      </c>
      <c r="F105" s="95">
        <v>42100</v>
      </c>
      <c r="G105" s="96">
        <v>237200</v>
      </c>
      <c r="H105" s="96">
        <v>122700</v>
      </c>
      <c r="I105" s="81">
        <v>402000</v>
      </c>
      <c r="J105" s="95">
        <v>77700</v>
      </c>
      <c r="K105" s="96">
        <v>408100</v>
      </c>
      <c r="L105" s="96">
        <v>185000</v>
      </c>
      <c r="M105" s="81">
        <v>670700</v>
      </c>
    </row>
    <row r="106" spans="1:13">
      <c r="A106" s="27" t="s">
        <v>159</v>
      </c>
      <c r="B106" s="95">
        <v>44400</v>
      </c>
      <c r="C106" s="96">
        <v>187600</v>
      </c>
      <c r="D106" s="96">
        <v>68700</v>
      </c>
      <c r="E106" s="81">
        <v>300700</v>
      </c>
      <c r="F106" s="95">
        <v>50800</v>
      </c>
      <c r="G106" s="96">
        <v>251600</v>
      </c>
      <c r="H106" s="96">
        <v>127600</v>
      </c>
      <c r="I106" s="81">
        <v>430000</v>
      </c>
      <c r="J106" s="95">
        <v>95200</v>
      </c>
      <c r="K106" s="96">
        <v>439200</v>
      </c>
      <c r="L106" s="96">
        <v>196300</v>
      </c>
      <c r="M106" s="81">
        <v>730700</v>
      </c>
    </row>
    <row r="107" spans="1:13">
      <c r="A107" s="80" t="s">
        <v>160</v>
      </c>
      <c r="B107" s="97">
        <v>43600</v>
      </c>
      <c r="C107" s="98">
        <v>189900</v>
      </c>
      <c r="D107" s="98">
        <v>69300</v>
      </c>
      <c r="E107" s="82">
        <v>302900</v>
      </c>
      <c r="F107" s="97">
        <v>49700</v>
      </c>
      <c r="G107" s="98">
        <v>255100</v>
      </c>
      <c r="H107" s="98">
        <v>127900</v>
      </c>
      <c r="I107" s="82">
        <v>432700</v>
      </c>
      <c r="J107" s="97">
        <v>93300</v>
      </c>
      <c r="K107" s="98">
        <v>445100</v>
      </c>
      <c r="L107" s="98">
        <v>197200</v>
      </c>
      <c r="M107" s="82">
        <v>735600</v>
      </c>
    </row>
    <row r="108" spans="1:13">
      <c r="A108" s="27" t="s">
        <v>161</v>
      </c>
      <c r="B108" s="95">
        <v>44400</v>
      </c>
      <c r="C108" s="96">
        <v>192900</v>
      </c>
      <c r="D108" s="96">
        <v>69800</v>
      </c>
      <c r="E108" s="81">
        <v>307100</v>
      </c>
      <c r="F108" s="95">
        <v>50700</v>
      </c>
      <c r="G108" s="96">
        <v>256500</v>
      </c>
      <c r="H108" s="96">
        <v>127800</v>
      </c>
      <c r="I108" s="81">
        <v>434900</v>
      </c>
      <c r="J108" s="95">
        <v>95100</v>
      </c>
      <c r="K108" s="96">
        <v>449300</v>
      </c>
      <c r="L108" s="96">
        <v>197500</v>
      </c>
      <c r="M108" s="81">
        <v>741900</v>
      </c>
    </row>
    <row r="109" spans="1:13">
      <c r="A109" s="27" t="s">
        <v>162</v>
      </c>
      <c r="B109" s="95">
        <v>45000</v>
      </c>
      <c r="C109" s="96">
        <v>196600</v>
      </c>
      <c r="D109" s="96">
        <v>73900</v>
      </c>
      <c r="E109" s="81">
        <v>315500</v>
      </c>
      <c r="F109" s="95">
        <v>52500</v>
      </c>
      <c r="G109" s="96">
        <v>264700</v>
      </c>
      <c r="H109" s="96">
        <v>133000</v>
      </c>
      <c r="I109" s="81">
        <v>450200</v>
      </c>
      <c r="J109" s="95">
        <v>97600</v>
      </c>
      <c r="K109" s="96">
        <v>461300</v>
      </c>
      <c r="L109" s="96">
        <v>206900</v>
      </c>
      <c r="M109" s="81">
        <v>765700</v>
      </c>
    </row>
    <row r="110" spans="1:13">
      <c r="A110" s="27" t="s">
        <v>163</v>
      </c>
      <c r="B110" s="95">
        <v>43800</v>
      </c>
      <c r="C110" s="96">
        <v>195000</v>
      </c>
      <c r="D110" s="96">
        <v>75000</v>
      </c>
      <c r="E110" s="81">
        <v>313800</v>
      </c>
      <c r="F110" s="95">
        <v>49900</v>
      </c>
      <c r="G110" s="96">
        <v>258700</v>
      </c>
      <c r="H110" s="96">
        <v>131700</v>
      </c>
      <c r="I110" s="81">
        <v>440400</v>
      </c>
      <c r="J110" s="95">
        <v>93700</v>
      </c>
      <c r="K110" s="96">
        <v>453700</v>
      </c>
      <c r="L110" s="96">
        <v>206700</v>
      </c>
      <c r="M110" s="81">
        <v>754100</v>
      </c>
    </row>
    <row r="111" spans="1:13">
      <c r="A111" s="80" t="s">
        <v>164</v>
      </c>
      <c r="B111" s="97">
        <v>42000</v>
      </c>
      <c r="C111" s="98">
        <v>191800</v>
      </c>
      <c r="D111" s="98">
        <v>74800</v>
      </c>
      <c r="E111" s="82">
        <v>308600</v>
      </c>
      <c r="F111" s="97">
        <v>47000</v>
      </c>
      <c r="G111" s="98">
        <v>255100</v>
      </c>
      <c r="H111" s="98">
        <v>129600</v>
      </c>
      <c r="I111" s="82">
        <v>431700</v>
      </c>
      <c r="J111" s="97">
        <v>89100</v>
      </c>
      <c r="K111" s="98">
        <v>446900</v>
      </c>
      <c r="L111" s="98">
        <v>204400</v>
      </c>
      <c r="M111" s="82">
        <v>740300</v>
      </c>
    </row>
    <row r="112" spans="1:13">
      <c r="A112" s="27" t="s">
        <v>165</v>
      </c>
      <c r="B112" s="95">
        <v>50200</v>
      </c>
      <c r="C112" s="96">
        <v>195800</v>
      </c>
      <c r="D112" s="96">
        <v>74800</v>
      </c>
      <c r="E112" s="81">
        <v>320800</v>
      </c>
      <c r="F112" s="95">
        <v>54500</v>
      </c>
      <c r="G112" s="96">
        <v>257900</v>
      </c>
      <c r="H112" s="96">
        <v>128700</v>
      </c>
      <c r="I112" s="81">
        <v>441100</v>
      </c>
      <c r="J112" s="95">
        <v>104700</v>
      </c>
      <c r="K112" s="96">
        <v>453700</v>
      </c>
      <c r="L112" s="96">
        <v>203500</v>
      </c>
      <c r="M112" s="81">
        <v>761900</v>
      </c>
    </row>
    <row r="113" spans="1:13">
      <c r="A113" s="27" t="s">
        <v>166</v>
      </c>
      <c r="B113" s="95">
        <v>48600</v>
      </c>
      <c r="C113" s="96">
        <v>192800</v>
      </c>
      <c r="D113" s="96">
        <v>75700</v>
      </c>
      <c r="E113" s="81">
        <v>317200</v>
      </c>
      <c r="F113" s="95">
        <v>53200</v>
      </c>
      <c r="G113" s="96">
        <v>251700</v>
      </c>
      <c r="H113" s="96">
        <v>129300</v>
      </c>
      <c r="I113" s="81">
        <v>434100</v>
      </c>
      <c r="J113" s="95">
        <v>101800</v>
      </c>
      <c r="K113" s="96">
        <v>444500</v>
      </c>
      <c r="L113" s="96">
        <v>205000</v>
      </c>
      <c r="M113" s="81">
        <v>751300</v>
      </c>
    </row>
    <row r="114" spans="1:13">
      <c r="A114" s="27" t="s">
        <v>167</v>
      </c>
      <c r="B114" s="95">
        <v>49700</v>
      </c>
      <c r="C114" s="96">
        <v>201300</v>
      </c>
      <c r="D114" s="96">
        <v>78300</v>
      </c>
      <c r="E114" s="81">
        <v>329300</v>
      </c>
      <c r="F114" s="95">
        <v>54200</v>
      </c>
      <c r="G114" s="96">
        <v>258600</v>
      </c>
      <c r="H114" s="96">
        <v>130800</v>
      </c>
      <c r="I114" s="81">
        <v>443600</v>
      </c>
      <c r="J114" s="95">
        <v>103800</v>
      </c>
      <c r="K114" s="96">
        <v>459900</v>
      </c>
      <c r="L114" s="96">
        <v>209100</v>
      </c>
      <c r="M114" s="81">
        <v>772900</v>
      </c>
    </row>
    <row r="115" spans="1:13">
      <c r="A115" s="80" t="s">
        <v>168</v>
      </c>
      <c r="B115" s="97">
        <v>49700</v>
      </c>
      <c r="C115" s="98">
        <v>218700</v>
      </c>
      <c r="D115" s="98">
        <v>83600</v>
      </c>
      <c r="E115" s="82">
        <v>352100</v>
      </c>
      <c r="F115" s="97">
        <v>53600</v>
      </c>
      <c r="G115" s="98">
        <v>268000</v>
      </c>
      <c r="H115" s="98">
        <v>132500</v>
      </c>
      <c r="I115" s="82">
        <v>454000</v>
      </c>
      <c r="J115" s="97">
        <v>103400</v>
      </c>
      <c r="K115" s="98">
        <v>486700</v>
      </c>
      <c r="L115" s="98">
        <v>216100</v>
      </c>
      <c r="M115" s="82">
        <v>806200</v>
      </c>
    </row>
    <row r="116" spans="1:13">
      <c r="A116" s="27" t="s">
        <v>169</v>
      </c>
      <c r="B116" s="95">
        <v>50000</v>
      </c>
      <c r="C116" s="96">
        <v>220800</v>
      </c>
      <c r="D116" s="96">
        <v>84800</v>
      </c>
      <c r="E116" s="81">
        <v>355500</v>
      </c>
      <c r="F116" s="95">
        <v>53100</v>
      </c>
      <c r="G116" s="96">
        <v>268000</v>
      </c>
      <c r="H116" s="96">
        <v>132300</v>
      </c>
      <c r="I116" s="81">
        <v>453500</v>
      </c>
      <c r="J116" s="95">
        <v>103100</v>
      </c>
      <c r="K116" s="96">
        <v>488700</v>
      </c>
      <c r="L116" s="96">
        <v>217100</v>
      </c>
      <c r="M116" s="81">
        <v>809000</v>
      </c>
    </row>
    <row r="117" spans="1:13">
      <c r="A117" s="27" t="s">
        <v>170</v>
      </c>
      <c r="B117" s="95">
        <v>50000</v>
      </c>
      <c r="C117" s="96">
        <v>220400</v>
      </c>
      <c r="D117" s="96">
        <v>85800</v>
      </c>
      <c r="E117" s="81">
        <v>356200</v>
      </c>
      <c r="F117" s="95">
        <v>53900</v>
      </c>
      <c r="G117" s="96">
        <v>267300</v>
      </c>
      <c r="H117" s="96">
        <v>133300</v>
      </c>
      <c r="I117" s="81">
        <v>454600</v>
      </c>
      <c r="J117" s="95">
        <v>104000</v>
      </c>
      <c r="K117" s="96">
        <v>487700</v>
      </c>
      <c r="L117" s="96">
        <v>219100</v>
      </c>
      <c r="M117" s="81">
        <v>810700</v>
      </c>
    </row>
    <row r="118" spans="1:13">
      <c r="A118" s="27" t="s">
        <v>171</v>
      </c>
      <c r="B118" s="95">
        <v>51300</v>
      </c>
      <c r="C118" s="96">
        <v>224100</v>
      </c>
      <c r="D118" s="96">
        <v>87300</v>
      </c>
      <c r="E118" s="81">
        <v>362800</v>
      </c>
      <c r="F118" s="95">
        <v>55400</v>
      </c>
      <c r="G118" s="96">
        <v>270900</v>
      </c>
      <c r="H118" s="96">
        <v>134200</v>
      </c>
      <c r="I118" s="81">
        <v>460600</v>
      </c>
      <c r="J118" s="95">
        <v>106700</v>
      </c>
      <c r="K118" s="96">
        <v>495100</v>
      </c>
      <c r="L118" s="96">
        <v>221500</v>
      </c>
      <c r="M118" s="81">
        <v>823400</v>
      </c>
    </row>
    <row r="119" spans="1:13">
      <c r="A119" s="80" t="s">
        <v>172</v>
      </c>
      <c r="B119" s="97">
        <v>53100</v>
      </c>
      <c r="C119" s="98">
        <v>232600</v>
      </c>
      <c r="D119" s="98">
        <v>88800</v>
      </c>
      <c r="E119" s="82">
        <v>374500</v>
      </c>
      <c r="F119" s="97">
        <v>55400</v>
      </c>
      <c r="G119" s="98">
        <v>273800</v>
      </c>
      <c r="H119" s="98">
        <v>134500</v>
      </c>
      <c r="I119" s="82">
        <v>463600</v>
      </c>
      <c r="J119" s="97">
        <v>108500</v>
      </c>
      <c r="K119" s="98">
        <v>506300</v>
      </c>
      <c r="L119" s="98">
        <v>223200</v>
      </c>
      <c r="M119" s="82">
        <v>838100</v>
      </c>
    </row>
    <row r="120" spans="1:13">
      <c r="A120" s="27" t="s">
        <v>173</v>
      </c>
      <c r="B120" s="95">
        <v>53500</v>
      </c>
      <c r="C120" s="96">
        <v>235500</v>
      </c>
      <c r="D120" s="96">
        <v>90500</v>
      </c>
      <c r="E120" s="81">
        <v>379400</v>
      </c>
      <c r="F120" s="95">
        <v>55500</v>
      </c>
      <c r="G120" s="96">
        <v>276000</v>
      </c>
      <c r="H120" s="96">
        <v>135000</v>
      </c>
      <c r="I120" s="81">
        <v>466500</v>
      </c>
      <c r="J120" s="95">
        <v>109000</v>
      </c>
      <c r="K120" s="96">
        <v>511400</v>
      </c>
      <c r="L120" s="96">
        <v>225400</v>
      </c>
      <c r="M120" s="81">
        <v>845900</v>
      </c>
    </row>
    <row r="121" spans="1:13">
      <c r="A121" s="27" t="s">
        <v>174</v>
      </c>
      <c r="B121" s="95">
        <v>54000</v>
      </c>
      <c r="C121" s="96">
        <v>237100</v>
      </c>
      <c r="D121" s="96">
        <v>91800</v>
      </c>
      <c r="E121" s="81">
        <v>382800</v>
      </c>
      <c r="F121" s="95">
        <v>55500</v>
      </c>
      <c r="G121" s="96">
        <v>275300</v>
      </c>
      <c r="H121" s="96">
        <v>135400</v>
      </c>
      <c r="I121" s="81">
        <v>466300</v>
      </c>
      <c r="J121" s="95">
        <v>109500</v>
      </c>
      <c r="K121" s="96">
        <v>512400</v>
      </c>
      <c r="L121" s="96">
        <v>227300</v>
      </c>
      <c r="M121" s="81">
        <v>849100</v>
      </c>
    </row>
    <row r="122" spans="1:13">
      <c r="A122" s="27" t="s">
        <v>175</v>
      </c>
      <c r="B122" s="95">
        <v>54100</v>
      </c>
      <c r="C122" s="96">
        <v>237700</v>
      </c>
      <c r="D122" s="96">
        <v>92600</v>
      </c>
      <c r="E122" s="81">
        <v>384400</v>
      </c>
      <c r="F122" s="95">
        <v>56800</v>
      </c>
      <c r="G122" s="96">
        <v>278200</v>
      </c>
      <c r="H122" s="96">
        <v>136200</v>
      </c>
      <c r="I122" s="81">
        <v>471200</v>
      </c>
      <c r="J122" s="95">
        <v>110800</v>
      </c>
      <c r="K122" s="96">
        <v>516000</v>
      </c>
      <c r="L122" s="96">
        <v>228800</v>
      </c>
      <c r="M122" s="81">
        <v>855600</v>
      </c>
    </row>
    <row r="123" spans="1:13">
      <c r="A123" s="80" t="s">
        <v>176</v>
      </c>
      <c r="B123" s="97">
        <v>52100</v>
      </c>
      <c r="C123" s="98">
        <v>232700</v>
      </c>
      <c r="D123" s="98">
        <v>90500</v>
      </c>
      <c r="E123" s="82">
        <v>375200</v>
      </c>
      <c r="F123" s="97">
        <v>53400</v>
      </c>
      <c r="G123" s="98">
        <v>272100</v>
      </c>
      <c r="H123" s="98">
        <v>133000</v>
      </c>
      <c r="I123" s="82">
        <v>458500</v>
      </c>
      <c r="J123" s="97">
        <v>105400</v>
      </c>
      <c r="K123" s="98">
        <v>504800</v>
      </c>
      <c r="L123" s="98">
        <v>223500</v>
      </c>
      <c r="M123" s="82">
        <v>833700</v>
      </c>
    </row>
    <row r="124" spans="1:13">
      <c r="A124" s="27" t="s">
        <v>177</v>
      </c>
      <c r="B124" s="95">
        <v>50300</v>
      </c>
      <c r="C124" s="96">
        <v>226100</v>
      </c>
      <c r="D124" s="96">
        <v>89400</v>
      </c>
      <c r="E124" s="81">
        <v>365800</v>
      </c>
      <c r="F124" s="95">
        <v>51800</v>
      </c>
      <c r="G124" s="96">
        <v>265300</v>
      </c>
      <c r="H124" s="96">
        <v>130400</v>
      </c>
      <c r="I124" s="81">
        <v>447500</v>
      </c>
      <c r="J124" s="95">
        <v>102100</v>
      </c>
      <c r="K124" s="96">
        <v>491400</v>
      </c>
      <c r="L124" s="96">
        <v>219800</v>
      </c>
      <c r="M124" s="81">
        <v>813300</v>
      </c>
    </row>
    <row r="125" spans="1:13">
      <c r="A125" s="27" t="s">
        <v>178</v>
      </c>
      <c r="B125" s="95">
        <v>54100</v>
      </c>
      <c r="C125" s="96">
        <v>232000</v>
      </c>
      <c r="D125" s="96">
        <v>92900</v>
      </c>
      <c r="E125" s="81">
        <v>379000</v>
      </c>
      <c r="F125" s="95">
        <v>55700</v>
      </c>
      <c r="G125" s="96">
        <v>272000</v>
      </c>
      <c r="H125" s="96">
        <v>133400</v>
      </c>
      <c r="I125" s="81">
        <v>461100</v>
      </c>
      <c r="J125" s="95">
        <v>109800</v>
      </c>
      <c r="K125" s="96">
        <v>504000</v>
      </c>
      <c r="L125" s="96">
        <v>226200</v>
      </c>
      <c r="M125" s="81">
        <v>840000</v>
      </c>
    </row>
    <row r="126" spans="1:13">
      <c r="A126" s="27"/>
      <c r="B126" s="95"/>
      <c r="C126" s="96"/>
      <c r="D126" s="96"/>
      <c r="E126" s="81"/>
      <c r="F126" s="95"/>
      <c r="G126" s="96"/>
      <c r="H126" s="96"/>
      <c r="I126" s="81"/>
      <c r="J126" s="95"/>
      <c r="K126" s="96"/>
      <c r="L126" s="96"/>
      <c r="M126" s="81"/>
    </row>
    <row r="127" spans="1:13">
      <c r="A127" s="99"/>
      <c r="B127" s="100"/>
      <c r="C127" s="101"/>
      <c r="D127" s="101"/>
      <c r="E127" s="102"/>
      <c r="F127" s="100"/>
      <c r="G127" s="101"/>
      <c r="H127" s="101"/>
      <c r="I127" s="102"/>
      <c r="J127" s="100"/>
      <c r="K127" s="101"/>
      <c r="L127" s="101"/>
      <c r="M127" s="102"/>
    </row>
    <row r="128" spans="1:13">
      <c r="A128" s="27"/>
      <c r="B128" s="95"/>
      <c r="C128" s="96"/>
      <c r="D128" s="96"/>
      <c r="E128" s="81"/>
      <c r="F128" s="95"/>
      <c r="G128" s="96"/>
      <c r="H128" s="96"/>
      <c r="I128" s="81"/>
      <c r="J128" s="95"/>
      <c r="K128" s="96"/>
      <c r="L128" s="96"/>
      <c r="M128" s="81"/>
    </row>
    <row r="129" spans="1:13">
      <c r="A129" s="27"/>
      <c r="B129" s="95"/>
      <c r="C129" s="96"/>
      <c r="D129" s="96"/>
      <c r="E129" s="81"/>
      <c r="F129" s="95"/>
      <c r="G129" s="96"/>
      <c r="H129" s="96"/>
      <c r="I129" s="81"/>
      <c r="J129" s="95"/>
      <c r="K129" s="96"/>
      <c r="L129" s="96"/>
      <c r="M129" s="81"/>
    </row>
    <row r="130" spans="1:13">
      <c r="A130" s="27"/>
      <c r="B130" s="95"/>
      <c r="C130" s="96"/>
      <c r="D130" s="96"/>
      <c r="E130" s="81"/>
      <c r="F130" s="95"/>
      <c r="G130" s="96"/>
      <c r="H130" s="96"/>
      <c r="I130" s="81"/>
      <c r="J130" s="95"/>
      <c r="K130" s="96"/>
      <c r="L130" s="96"/>
      <c r="M130" s="81"/>
    </row>
    <row r="131" spans="1:13">
      <c r="A131" s="27"/>
      <c r="B131" s="95"/>
      <c r="C131" s="96"/>
      <c r="D131" s="96"/>
      <c r="E131" s="81"/>
      <c r="F131" s="95"/>
      <c r="G131" s="96"/>
      <c r="H131" s="96"/>
      <c r="I131" s="81"/>
      <c r="J131" s="95"/>
      <c r="K131" s="96"/>
      <c r="L131" s="96"/>
      <c r="M131" s="81"/>
    </row>
    <row r="132" spans="1:13">
      <c r="A132" s="27"/>
      <c r="B132" s="95"/>
      <c r="C132" s="96"/>
      <c r="D132" s="96"/>
      <c r="E132" s="81"/>
      <c r="F132" s="95"/>
      <c r="G132" s="96"/>
      <c r="H132" s="96"/>
      <c r="I132" s="81"/>
      <c r="J132" s="95"/>
      <c r="K132" s="96"/>
      <c r="L132" s="96"/>
      <c r="M132" s="81"/>
    </row>
    <row r="133" spans="1:13">
      <c r="A133" s="27"/>
      <c r="B133" s="95"/>
      <c r="C133" s="96"/>
      <c r="D133" s="96"/>
      <c r="E133" s="81"/>
      <c r="F133" s="95"/>
      <c r="G133" s="96"/>
      <c r="H133" s="96"/>
      <c r="I133" s="81"/>
      <c r="J133" s="95"/>
      <c r="K133" s="96"/>
      <c r="L133" s="96"/>
      <c r="M133" s="81"/>
    </row>
    <row r="134" spans="1:13">
      <c r="A134" s="27"/>
      <c r="B134" s="95"/>
      <c r="C134" s="96"/>
      <c r="D134" s="96"/>
      <c r="E134" s="81"/>
      <c r="F134" s="95"/>
      <c r="G134" s="96"/>
      <c r="H134" s="96"/>
      <c r="I134" s="81"/>
      <c r="J134" s="95"/>
      <c r="K134" s="96"/>
      <c r="L134" s="96"/>
      <c r="M134" s="81"/>
    </row>
    <row r="135" spans="1:13">
      <c r="A135" s="27"/>
      <c r="B135" s="95"/>
      <c r="C135" s="96"/>
      <c r="D135" s="96"/>
      <c r="E135" s="81"/>
      <c r="F135" s="95"/>
      <c r="G135" s="96"/>
      <c r="H135" s="96"/>
      <c r="I135" s="81"/>
      <c r="J135" s="95"/>
      <c r="K135" s="96"/>
      <c r="L135" s="96"/>
      <c r="M135" s="81"/>
    </row>
    <row r="136" spans="1:13">
      <c r="A136" s="27"/>
      <c r="B136" s="95"/>
      <c r="C136" s="96"/>
      <c r="D136" s="96"/>
      <c r="E136" s="81"/>
      <c r="F136" s="95"/>
      <c r="G136" s="96"/>
      <c r="H136" s="96"/>
      <c r="I136" s="81"/>
      <c r="J136" s="95"/>
      <c r="K136" s="96"/>
      <c r="L136" s="96"/>
      <c r="M136" s="81"/>
    </row>
    <row r="137" spans="1:13">
      <c r="A137" s="27"/>
      <c r="B137" s="95"/>
      <c r="C137" s="96"/>
      <c r="D137" s="96"/>
      <c r="E137" s="81"/>
      <c r="F137" s="95"/>
      <c r="G137" s="96"/>
      <c r="H137" s="96"/>
      <c r="I137" s="81"/>
      <c r="J137" s="95"/>
      <c r="K137" s="96"/>
      <c r="L137" s="96"/>
      <c r="M137" s="81"/>
    </row>
    <row r="138" spans="1:13">
      <c r="A138" s="27"/>
      <c r="B138" s="95"/>
      <c r="C138" s="96"/>
      <c r="D138" s="96"/>
      <c r="E138" s="81"/>
      <c r="F138" s="95"/>
      <c r="G138" s="96"/>
      <c r="H138" s="96"/>
      <c r="I138" s="81"/>
      <c r="J138" s="95"/>
      <c r="K138" s="96"/>
      <c r="L138" s="96"/>
      <c r="M138" s="81"/>
    </row>
    <row r="139" spans="1:13">
      <c r="A139" s="99"/>
      <c r="B139" s="100"/>
      <c r="C139" s="101"/>
      <c r="D139" s="101"/>
      <c r="E139" s="102"/>
      <c r="F139" s="100"/>
      <c r="G139" s="101"/>
      <c r="H139" s="101"/>
      <c r="I139" s="102"/>
      <c r="J139" s="100"/>
      <c r="K139" s="101"/>
      <c r="L139" s="101"/>
      <c r="M139" s="102"/>
    </row>
    <row r="140" spans="1:13">
      <c r="A140" s="27"/>
      <c r="B140" s="95"/>
      <c r="C140" s="96"/>
      <c r="D140" s="96"/>
      <c r="E140" s="81"/>
      <c r="F140" s="95"/>
      <c r="G140" s="96"/>
      <c r="H140" s="96"/>
      <c r="I140" s="81"/>
      <c r="J140" s="95"/>
      <c r="K140" s="96"/>
      <c r="L140" s="96"/>
      <c r="M140" s="81"/>
    </row>
    <row r="141" spans="1:13">
      <c r="A141" s="27"/>
      <c r="B141" s="95"/>
      <c r="C141" s="96"/>
      <c r="D141" s="96"/>
      <c r="E141" s="81"/>
      <c r="F141" s="95"/>
      <c r="G141" s="96"/>
      <c r="H141" s="96"/>
      <c r="I141" s="81"/>
      <c r="J141" s="95"/>
      <c r="K141" s="96"/>
      <c r="L141" s="96"/>
      <c r="M141" s="81"/>
    </row>
    <row r="142" spans="1:13">
      <c r="A142" s="27"/>
      <c r="B142" s="95"/>
      <c r="C142" s="96"/>
      <c r="D142" s="96"/>
      <c r="E142" s="81"/>
      <c r="F142" s="95"/>
      <c r="G142" s="96"/>
      <c r="H142" s="96"/>
      <c r="I142" s="81"/>
      <c r="J142" s="95"/>
      <c r="K142" s="96"/>
      <c r="L142" s="96"/>
      <c r="M142" s="81"/>
    </row>
    <row r="143" spans="1:13">
      <c r="A143" s="27"/>
      <c r="B143" s="95"/>
      <c r="C143" s="96"/>
      <c r="D143" s="96"/>
      <c r="E143" s="81"/>
      <c r="F143" s="95"/>
      <c r="G143" s="96"/>
      <c r="H143" s="96"/>
      <c r="I143" s="81"/>
      <c r="J143" s="95"/>
      <c r="K143" s="96"/>
      <c r="L143" s="96"/>
      <c r="M143" s="81"/>
    </row>
    <row r="144" spans="1:13">
      <c r="A144" s="27"/>
      <c r="B144" s="95"/>
      <c r="C144" s="96"/>
      <c r="D144" s="96"/>
      <c r="E144" s="81"/>
      <c r="F144" s="95"/>
      <c r="G144" s="96"/>
      <c r="H144" s="96"/>
      <c r="I144" s="81"/>
      <c r="J144" s="95"/>
      <c r="K144" s="96"/>
      <c r="L144" s="96"/>
      <c r="M144" s="81"/>
    </row>
    <row r="145" spans="1:13">
      <c r="A145" s="27"/>
      <c r="B145" s="95"/>
      <c r="C145" s="96"/>
      <c r="D145" s="96"/>
      <c r="E145" s="81"/>
      <c r="F145" s="95"/>
      <c r="G145" s="96"/>
      <c r="H145" s="96"/>
      <c r="I145" s="81"/>
      <c r="J145" s="95"/>
      <c r="K145" s="96"/>
      <c r="L145" s="96"/>
      <c r="M145" s="81"/>
    </row>
    <row r="146" spans="1:13">
      <c r="A146" s="27"/>
      <c r="B146" s="95"/>
      <c r="C146" s="96"/>
      <c r="D146" s="96"/>
      <c r="E146" s="81"/>
      <c r="F146" s="95"/>
      <c r="G146" s="96"/>
      <c r="H146" s="96"/>
      <c r="I146" s="81"/>
      <c r="J146" s="95"/>
      <c r="K146" s="96"/>
      <c r="L146" s="96"/>
      <c r="M146" s="81"/>
    </row>
    <row r="147" spans="1:13">
      <c r="A147" s="27"/>
      <c r="B147" s="95"/>
      <c r="C147" s="96"/>
      <c r="D147" s="96"/>
      <c r="E147" s="81"/>
      <c r="F147" s="95"/>
      <c r="G147" s="96"/>
      <c r="H147" s="96"/>
      <c r="I147" s="81"/>
      <c r="J147" s="95"/>
      <c r="K147" s="96"/>
      <c r="L147" s="96"/>
      <c r="M147" s="81"/>
    </row>
    <row r="148" spans="1:13">
      <c r="A148" s="27"/>
      <c r="B148" s="95"/>
      <c r="C148" s="96"/>
      <c r="D148" s="96"/>
      <c r="E148" s="81"/>
      <c r="F148" s="95"/>
      <c r="G148" s="96"/>
      <c r="H148" s="96"/>
      <c r="I148" s="81"/>
      <c r="J148" s="95"/>
      <c r="K148" s="96"/>
      <c r="L148" s="96"/>
      <c r="M148" s="81"/>
    </row>
    <row r="149" spans="1:13">
      <c r="A149" s="27"/>
      <c r="B149" s="95"/>
      <c r="C149" s="96"/>
      <c r="D149" s="96"/>
      <c r="E149" s="81"/>
      <c r="F149" s="95"/>
      <c r="G149" s="96"/>
      <c r="H149" s="96"/>
      <c r="I149" s="81"/>
      <c r="J149" s="95"/>
      <c r="K149" s="96"/>
      <c r="L149" s="96"/>
      <c r="M149" s="81"/>
    </row>
    <row r="150" spans="1:13">
      <c r="A150" s="27"/>
      <c r="B150" s="95"/>
      <c r="C150" s="96"/>
      <c r="D150" s="96"/>
      <c r="E150" s="81"/>
      <c r="F150" s="95"/>
      <c r="G150" s="96"/>
      <c r="H150" s="96"/>
      <c r="I150" s="81"/>
      <c r="J150" s="95"/>
      <c r="K150" s="96"/>
      <c r="L150" s="96"/>
      <c r="M150" s="81"/>
    </row>
    <row r="151" spans="1:13">
      <c r="A151" s="99"/>
      <c r="B151" s="100"/>
      <c r="C151" s="101"/>
      <c r="D151" s="101"/>
      <c r="E151" s="102"/>
      <c r="F151" s="100"/>
      <c r="G151" s="101"/>
      <c r="H151" s="101"/>
      <c r="I151" s="102"/>
      <c r="J151" s="100"/>
      <c r="K151" s="101"/>
      <c r="L151" s="101"/>
      <c r="M151" s="102"/>
    </row>
    <row r="152" spans="1:13">
      <c r="A152" s="27"/>
      <c r="B152" s="95"/>
      <c r="C152" s="96"/>
      <c r="D152" s="96"/>
      <c r="E152" s="81"/>
      <c r="F152" s="95"/>
      <c r="G152" s="96"/>
      <c r="H152" s="96"/>
      <c r="I152" s="81"/>
      <c r="J152" s="95"/>
      <c r="K152" s="96"/>
      <c r="L152" s="96"/>
      <c r="M152" s="81"/>
    </row>
    <row r="153" spans="1:13">
      <c r="A153" s="27"/>
      <c r="B153" s="95"/>
      <c r="C153" s="96"/>
      <c r="D153" s="96"/>
      <c r="E153" s="81"/>
      <c r="F153" s="95"/>
      <c r="G153" s="96"/>
      <c r="H153" s="96"/>
      <c r="I153" s="81"/>
      <c r="J153" s="95"/>
      <c r="K153" s="96"/>
      <c r="L153" s="96"/>
      <c r="M153" s="81"/>
    </row>
    <row r="154" spans="1:13">
      <c r="A154" s="27"/>
      <c r="B154" s="95"/>
      <c r="C154" s="96"/>
      <c r="D154" s="96"/>
      <c r="E154" s="81"/>
      <c r="F154" s="95"/>
      <c r="G154" s="96"/>
      <c r="H154" s="96"/>
      <c r="I154" s="81"/>
      <c r="J154" s="95"/>
      <c r="K154" s="96"/>
      <c r="L154" s="96"/>
      <c r="M154" s="81"/>
    </row>
    <row r="155" spans="1:13">
      <c r="A155" s="27"/>
      <c r="B155" s="95"/>
      <c r="C155" s="96"/>
      <c r="D155" s="96"/>
      <c r="E155" s="81"/>
      <c r="F155" s="95"/>
      <c r="G155" s="96"/>
      <c r="H155" s="96"/>
      <c r="I155" s="81"/>
      <c r="J155" s="95"/>
      <c r="K155" s="96"/>
      <c r="L155" s="96"/>
      <c r="M155" s="81"/>
    </row>
    <row r="156" spans="1:13">
      <c r="A156" s="27"/>
      <c r="B156" s="95"/>
      <c r="C156" s="96"/>
      <c r="D156" s="96"/>
      <c r="E156" s="81"/>
      <c r="F156" s="95"/>
      <c r="G156" s="96"/>
      <c r="H156" s="96"/>
      <c r="I156" s="81"/>
      <c r="J156" s="95"/>
      <c r="K156" s="96"/>
      <c r="L156" s="96"/>
      <c r="M156" s="81"/>
    </row>
    <row r="157" spans="1:13">
      <c r="A157" s="27"/>
      <c r="B157" s="95"/>
      <c r="C157" s="96"/>
      <c r="D157" s="96"/>
      <c r="E157" s="81"/>
      <c r="F157" s="95"/>
      <c r="G157" s="96"/>
      <c r="H157" s="96"/>
      <c r="I157" s="81"/>
      <c r="J157" s="95"/>
      <c r="K157" s="96"/>
      <c r="L157" s="96"/>
      <c r="M157" s="81"/>
    </row>
    <row r="158" spans="1:13">
      <c r="A158" s="27"/>
      <c r="B158" s="95"/>
      <c r="C158" s="96"/>
      <c r="D158" s="96"/>
      <c r="E158" s="81"/>
      <c r="F158" s="95"/>
      <c r="G158" s="96"/>
      <c r="H158" s="96"/>
      <c r="I158" s="81"/>
      <c r="J158" s="95"/>
      <c r="K158" s="96"/>
      <c r="L158" s="96"/>
      <c r="M158" s="81"/>
    </row>
    <row r="159" spans="1:13">
      <c r="A159" s="27"/>
      <c r="B159" s="95"/>
      <c r="C159" s="96"/>
      <c r="D159" s="96"/>
      <c r="E159" s="81"/>
      <c r="F159" s="95"/>
      <c r="G159" s="96"/>
      <c r="H159" s="96"/>
      <c r="I159" s="81"/>
      <c r="J159" s="95"/>
      <c r="K159" s="96"/>
      <c r="L159" s="96"/>
      <c r="M159" s="81"/>
    </row>
    <row r="160" spans="1:13">
      <c r="A160" s="27"/>
      <c r="B160" s="95"/>
      <c r="C160" s="96"/>
      <c r="D160" s="96"/>
      <c r="E160" s="81"/>
      <c r="F160" s="95"/>
      <c r="G160" s="96"/>
      <c r="H160" s="96"/>
      <c r="I160" s="81"/>
      <c r="J160" s="95"/>
      <c r="K160" s="96"/>
      <c r="L160" s="96"/>
      <c r="M160" s="81"/>
    </row>
    <row r="161" spans="1:13">
      <c r="A161" s="27"/>
      <c r="B161" s="95"/>
      <c r="C161" s="96"/>
      <c r="D161" s="96"/>
      <c r="E161" s="81"/>
      <c r="F161" s="95"/>
      <c r="G161" s="96"/>
      <c r="H161" s="96"/>
      <c r="I161" s="81"/>
      <c r="J161" s="95"/>
      <c r="K161" s="96"/>
      <c r="L161" s="96"/>
      <c r="M161" s="81"/>
    </row>
    <row r="162" spans="1:13">
      <c r="A162" s="27"/>
      <c r="B162" s="95"/>
      <c r="C162" s="96"/>
      <c r="D162" s="96"/>
      <c r="E162" s="81"/>
      <c r="F162" s="95"/>
      <c r="G162" s="96"/>
      <c r="H162" s="96"/>
      <c r="I162" s="81"/>
      <c r="J162" s="95"/>
      <c r="K162" s="96"/>
      <c r="L162" s="96"/>
      <c r="M162" s="81"/>
    </row>
    <row r="163" spans="1:13">
      <c r="A163" s="99"/>
      <c r="B163" s="100"/>
      <c r="C163" s="101"/>
      <c r="D163" s="101"/>
      <c r="E163" s="102"/>
      <c r="F163" s="100"/>
      <c r="G163" s="101"/>
      <c r="H163" s="101"/>
      <c r="I163" s="102"/>
      <c r="J163" s="100"/>
      <c r="K163" s="101"/>
      <c r="L163" s="101"/>
      <c r="M163" s="102"/>
    </row>
    <row r="164" spans="1:13">
      <c r="A164" s="27"/>
      <c r="B164" s="95"/>
      <c r="C164" s="96"/>
      <c r="D164" s="96"/>
      <c r="E164" s="81"/>
      <c r="F164" s="95"/>
      <c r="G164" s="96"/>
      <c r="H164" s="96"/>
      <c r="I164" s="81"/>
      <c r="J164" s="95"/>
      <c r="K164" s="96"/>
      <c r="L164" s="96"/>
      <c r="M164" s="81"/>
    </row>
    <row r="165" spans="1:13">
      <c r="A165" s="27"/>
      <c r="B165" s="95"/>
      <c r="C165" s="96"/>
      <c r="D165" s="96"/>
      <c r="E165" s="81"/>
      <c r="F165" s="95"/>
      <c r="G165" s="96"/>
      <c r="H165" s="96"/>
      <c r="I165" s="81"/>
      <c r="J165" s="95"/>
      <c r="K165" s="96"/>
      <c r="L165" s="96"/>
      <c r="M165" s="81"/>
    </row>
    <row r="166" spans="1:13">
      <c r="A166" s="27"/>
      <c r="B166" s="95"/>
      <c r="C166" s="96"/>
      <c r="D166" s="96"/>
      <c r="E166" s="81"/>
      <c r="F166" s="95"/>
      <c r="G166" s="96"/>
      <c r="H166" s="96"/>
      <c r="I166" s="81"/>
      <c r="J166" s="95"/>
      <c r="K166" s="96"/>
      <c r="L166" s="96"/>
      <c r="M166" s="81"/>
    </row>
    <row r="167" spans="1:13">
      <c r="A167" s="27"/>
      <c r="B167" s="95"/>
      <c r="C167" s="96"/>
      <c r="D167" s="96"/>
      <c r="E167" s="81"/>
      <c r="F167" s="95"/>
      <c r="G167" s="96"/>
      <c r="H167" s="96"/>
      <c r="I167" s="81"/>
      <c r="J167" s="95"/>
      <c r="K167" s="96"/>
      <c r="L167" s="96"/>
      <c r="M167" s="81"/>
    </row>
    <row r="168" spans="1:13">
      <c r="A168" s="27"/>
      <c r="B168" s="95"/>
      <c r="C168" s="96"/>
      <c r="D168" s="96"/>
      <c r="E168" s="81"/>
      <c r="F168" s="95"/>
      <c r="G168" s="96"/>
      <c r="H168" s="96"/>
      <c r="I168" s="81"/>
      <c r="J168" s="95"/>
      <c r="K168" s="96"/>
      <c r="L168" s="96"/>
      <c r="M168" s="81"/>
    </row>
    <row r="169" spans="1:13">
      <c r="A169" s="27"/>
      <c r="B169" s="95"/>
      <c r="C169" s="96"/>
      <c r="D169" s="96"/>
      <c r="E169" s="81"/>
      <c r="F169" s="95"/>
      <c r="G169" s="96"/>
      <c r="H169" s="96"/>
      <c r="I169" s="81"/>
      <c r="J169" s="95"/>
      <c r="K169" s="96"/>
      <c r="L169" s="96"/>
      <c r="M169" s="81"/>
    </row>
    <row r="170" spans="1:13">
      <c r="A170" s="27"/>
      <c r="B170" s="95"/>
      <c r="C170" s="96"/>
      <c r="D170" s="96"/>
      <c r="E170" s="81"/>
      <c r="F170" s="95"/>
      <c r="G170" s="96"/>
      <c r="H170" s="96"/>
      <c r="I170" s="81"/>
      <c r="J170" s="95"/>
      <c r="K170" s="96"/>
      <c r="L170" s="96"/>
      <c r="M170" s="81"/>
    </row>
    <row r="171" spans="1:13">
      <c r="A171" s="27"/>
      <c r="B171" s="95"/>
      <c r="C171" s="96"/>
      <c r="D171" s="96"/>
      <c r="E171" s="81"/>
      <c r="F171" s="95"/>
      <c r="G171" s="96"/>
      <c r="H171" s="96"/>
      <c r="I171" s="81"/>
      <c r="J171" s="95"/>
      <c r="K171" s="96"/>
      <c r="L171" s="96"/>
      <c r="M171" s="81"/>
    </row>
    <row r="172" spans="1:13">
      <c r="A172" s="27"/>
      <c r="B172" s="95"/>
      <c r="C172" s="96"/>
      <c r="D172" s="96"/>
      <c r="E172" s="81"/>
      <c r="F172" s="95"/>
      <c r="G172" s="96"/>
      <c r="H172" s="96"/>
      <c r="I172" s="81"/>
      <c r="J172" s="95"/>
      <c r="K172" s="96"/>
      <c r="L172" s="96"/>
      <c r="M172" s="81"/>
    </row>
    <row r="173" spans="1:13">
      <c r="A173" s="27"/>
      <c r="B173" s="95"/>
      <c r="C173" s="96"/>
      <c r="D173" s="96"/>
      <c r="E173" s="81"/>
      <c r="F173" s="95"/>
      <c r="G173" s="96"/>
      <c r="H173" s="96"/>
      <c r="I173" s="81"/>
      <c r="J173" s="95"/>
      <c r="K173" s="96"/>
      <c r="L173" s="96"/>
      <c r="M173" s="81"/>
    </row>
    <row r="174" spans="1:13">
      <c r="A174" s="27"/>
      <c r="B174" s="95"/>
      <c r="C174" s="96"/>
      <c r="D174" s="96"/>
      <c r="E174" s="81"/>
      <c r="F174" s="95"/>
      <c r="G174" s="96"/>
      <c r="H174" s="96"/>
      <c r="I174" s="81"/>
      <c r="J174" s="95"/>
      <c r="K174" s="96"/>
      <c r="L174" s="96"/>
      <c r="M174" s="81"/>
    </row>
    <row r="175" spans="1:13">
      <c r="A175" s="99"/>
      <c r="B175" s="100"/>
      <c r="C175" s="101"/>
      <c r="D175" s="101"/>
      <c r="E175" s="102"/>
      <c r="F175" s="100"/>
      <c r="G175" s="101"/>
      <c r="H175" s="101"/>
      <c r="I175" s="102"/>
      <c r="J175" s="100"/>
      <c r="K175" s="101"/>
      <c r="L175" s="101"/>
      <c r="M175" s="102"/>
    </row>
    <row r="176" spans="1:13">
      <c r="A176" s="27"/>
      <c r="B176" s="95"/>
      <c r="C176" s="96"/>
      <c r="D176" s="96"/>
      <c r="E176" s="81"/>
      <c r="F176" s="95"/>
      <c r="G176" s="96"/>
      <c r="H176" s="96"/>
      <c r="I176" s="81"/>
      <c r="J176" s="95"/>
      <c r="K176" s="96"/>
      <c r="L176" s="96"/>
      <c r="M176" s="81"/>
    </row>
    <row r="177" spans="1:15">
      <c r="A177" s="27"/>
      <c r="B177" s="95"/>
      <c r="C177" s="96"/>
      <c r="D177" s="96"/>
      <c r="E177" s="81"/>
      <c r="F177" s="95"/>
      <c r="G177" s="96"/>
      <c r="H177" s="96"/>
      <c r="I177" s="81"/>
      <c r="J177" s="95"/>
      <c r="K177" s="96"/>
      <c r="L177" s="96"/>
      <c r="M177" s="81"/>
      <c r="N177" s="55"/>
      <c r="O177" s="55"/>
    </row>
    <row r="178" spans="1:15">
      <c r="A178" s="27"/>
      <c r="B178" s="95"/>
      <c r="C178" s="96"/>
      <c r="D178" s="96"/>
      <c r="E178" s="81"/>
      <c r="F178" s="95"/>
      <c r="G178" s="96"/>
      <c r="H178" s="96"/>
      <c r="I178" s="81"/>
      <c r="J178" s="95"/>
      <c r="K178" s="96"/>
      <c r="L178" s="96"/>
      <c r="M178" s="81"/>
      <c r="N178" s="103"/>
      <c r="O178" s="103"/>
    </row>
    <row r="179" spans="1:15">
      <c r="A179" s="27"/>
      <c r="B179" s="95"/>
      <c r="C179" s="96"/>
      <c r="D179" s="96"/>
      <c r="E179" s="81"/>
      <c r="F179" s="95"/>
      <c r="G179" s="96"/>
      <c r="H179" s="96"/>
      <c r="I179" s="81"/>
      <c r="J179" s="95"/>
      <c r="K179" s="96"/>
      <c r="L179" s="96"/>
      <c r="M179" s="81"/>
      <c r="N179" s="103"/>
      <c r="O179" s="103"/>
    </row>
    <row r="180" spans="1:15">
      <c r="A180" s="27"/>
      <c r="B180" s="95"/>
      <c r="C180" s="96"/>
      <c r="D180" s="96"/>
      <c r="E180" s="81"/>
      <c r="F180" s="95"/>
      <c r="G180" s="96"/>
      <c r="H180" s="96"/>
      <c r="I180" s="81"/>
      <c r="J180" s="95"/>
      <c r="K180" s="96"/>
      <c r="L180" s="96"/>
      <c r="M180" s="81"/>
      <c r="N180" s="103"/>
      <c r="O180" s="103"/>
    </row>
    <row r="181" spans="1:15">
      <c r="A181" s="27"/>
      <c r="B181" s="95"/>
      <c r="C181" s="96"/>
      <c r="D181" s="96"/>
      <c r="E181" s="81"/>
      <c r="F181" s="95"/>
      <c r="G181" s="96"/>
      <c r="H181" s="96"/>
      <c r="I181" s="81"/>
      <c r="J181" s="95"/>
      <c r="K181" s="96"/>
      <c r="L181" s="96"/>
      <c r="M181" s="81"/>
      <c r="N181" s="103"/>
      <c r="O181" s="103"/>
    </row>
    <row r="182" spans="1:15">
      <c r="A182" s="27"/>
      <c r="B182" s="95"/>
      <c r="C182" s="96"/>
      <c r="D182" s="96"/>
      <c r="E182" s="81"/>
      <c r="F182" s="95"/>
      <c r="G182" s="96"/>
      <c r="H182" s="96"/>
      <c r="I182" s="81"/>
      <c r="J182" s="95"/>
      <c r="K182" s="96"/>
      <c r="L182" s="96"/>
      <c r="M182" s="81"/>
      <c r="N182" s="103"/>
      <c r="O182" s="103"/>
    </row>
    <row r="183" spans="1:15">
      <c r="A183" s="27"/>
      <c r="B183" s="95"/>
      <c r="C183" s="96"/>
      <c r="D183" s="96"/>
      <c r="E183" s="81"/>
      <c r="F183" s="95"/>
      <c r="G183" s="96"/>
      <c r="H183" s="96"/>
      <c r="I183" s="81"/>
      <c r="J183" s="95"/>
      <c r="K183" s="96"/>
      <c r="L183" s="96"/>
      <c r="M183" s="81"/>
      <c r="N183" s="103"/>
      <c r="O183" s="103"/>
    </row>
    <row r="184" spans="1:15">
      <c r="A184" s="27"/>
      <c r="B184" s="95"/>
      <c r="C184" s="96"/>
      <c r="D184" s="96"/>
      <c r="E184" s="81"/>
      <c r="F184" s="95"/>
      <c r="G184" s="96"/>
      <c r="H184" s="96"/>
      <c r="I184" s="81"/>
      <c r="J184" s="95"/>
      <c r="K184" s="96"/>
      <c r="L184" s="96"/>
      <c r="M184" s="81"/>
      <c r="N184" s="103"/>
      <c r="O184" s="103"/>
    </row>
    <row r="185" spans="1:15">
      <c r="A185" s="27"/>
      <c r="B185" s="95"/>
      <c r="C185" s="96"/>
      <c r="D185" s="96"/>
      <c r="E185" s="81"/>
      <c r="F185" s="95"/>
      <c r="G185" s="96"/>
      <c r="H185" s="96"/>
      <c r="I185" s="81"/>
      <c r="J185" s="95"/>
      <c r="K185" s="96"/>
      <c r="L185" s="96"/>
      <c r="M185" s="81"/>
      <c r="N185" s="103"/>
      <c r="O185" s="103"/>
    </row>
    <row r="186" spans="1:15">
      <c r="A186" s="27"/>
      <c r="B186" s="95"/>
      <c r="C186" s="96"/>
      <c r="D186" s="96"/>
      <c r="E186" s="81"/>
      <c r="F186" s="95"/>
      <c r="G186" s="96"/>
      <c r="H186" s="96"/>
      <c r="I186" s="81"/>
      <c r="J186" s="95"/>
      <c r="K186" s="96"/>
      <c r="L186" s="96"/>
      <c r="M186" s="81"/>
      <c r="N186" s="103"/>
      <c r="O186" s="103"/>
    </row>
    <row r="187" spans="1:15">
      <c r="A187" s="99"/>
      <c r="B187" s="100"/>
      <c r="C187" s="101"/>
      <c r="D187" s="101"/>
      <c r="E187" s="102"/>
      <c r="F187" s="100"/>
      <c r="G187" s="101"/>
      <c r="H187" s="101"/>
      <c r="I187" s="102"/>
      <c r="J187" s="100"/>
      <c r="K187" s="101"/>
      <c r="L187" s="101"/>
      <c r="M187" s="102"/>
      <c r="N187" s="103"/>
      <c r="O187" s="103"/>
    </row>
    <row r="188" spans="1:15">
      <c r="A188" s="27"/>
      <c r="B188" s="95"/>
      <c r="C188" s="96"/>
      <c r="D188" s="96"/>
      <c r="E188" s="81"/>
      <c r="F188" s="95"/>
      <c r="G188" s="96"/>
      <c r="H188" s="96"/>
      <c r="I188" s="81"/>
      <c r="J188" s="95"/>
      <c r="K188" s="96"/>
      <c r="L188" s="96"/>
      <c r="M188" s="81"/>
      <c r="N188" s="55"/>
      <c r="O188" s="55"/>
    </row>
    <row r="189" spans="1:15">
      <c r="A189" s="27"/>
      <c r="B189" s="95"/>
      <c r="C189" s="96"/>
      <c r="D189" s="96"/>
      <c r="E189" s="81"/>
      <c r="F189" s="95"/>
      <c r="G189" s="96"/>
      <c r="H189" s="96"/>
      <c r="I189" s="81"/>
      <c r="J189" s="95"/>
      <c r="K189" s="96"/>
      <c r="L189" s="96"/>
      <c r="M189" s="81"/>
      <c r="N189" s="55"/>
      <c r="O189" s="55"/>
    </row>
    <row r="190" spans="1:15">
      <c r="A190" s="27"/>
      <c r="B190" s="95"/>
      <c r="C190" s="96"/>
      <c r="D190" s="96"/>
      <c r="E190" s="81"/>
      <c r="F190" s="95"/>
      <c r="G190" s="96"/>
      <c r="H190" s="96"/>
      <c r="I190" s="81"/>
      <c r="J190" s="95"/>
      <c r="K190" s="96"/>
      <c r="L190" s="96"/>
      <c r="M190" s="81"/>
      <c r="N190" s="55"/>
      <c r="O190" s="55"/>
    </row>
    <row r="191" spans="1:15">
      <c r="A191" s="27"/>
      <c r="B191" s="95"/>
      <c r="C191" s="96"/>
      <c r="D191" s="96"/>
      <c r="E191" s="81"/>
      <c r="F191" s="95"/>
      <c r="G191" s="96"/>
      <c r="H191" s="96"/>
      <c r="I191" s="81"/>
      <c r="J191" s="95"/>
      <c r="K191" s="96"/>
      <c r="L191" s="96"/>
      <c r="M191" s="81"/>
      <c r="N191" s="55"/>
      <c r="O191" s="55"/>
    </row>
    <row r="192" spans="1:15">
      <c r="A192" s="27"/>
      <c r="B192" s="95"/>
      <c r="C192" s="96"/>
      <c r="D192" s="96"/>
      <c r="E192" s="81"/>
      <c r="F192" s="95"/>
      <c r="G192" s="96"/>
      <c r="H192" s="96"/>
      <c r="I192" s="81"/>
      <c r="J192" s="95"/>
      <c r="K192" s="96"/>
      <c r="L192" s="96"/>
      <c r="M192" s="81"/>
      <c r="N192" s="55"/>
      <c r="O192" s="55"/>
    </row>
    <row r="193" spans="1:13">
      <c r="A193" s="27"/>
      <c r="B193" s="95"/>
      <c r="C193" s="96"/>
      <c r="D193" s="96"/>
      <c r="E193" s="81"/>
      <c r="F193" s="95"/>
      <c r="G193" s="96"/>
      <c r="H193" s="96"/>
      <c r="I193" s="81"/>
      <c r="J193" s="95"/>
      <c r="K193" s="96"/>
      <c r="L193" s="96"/>
      <c r="M193" s="81"/>
    </row>
    <row r="194" spans="1:13">
      <c r="A194" s="27"/>
      <c r="B194" s="95"/>
      <c r="C194" s="96"/>
      <c r="D194" s="96"/>
      <c r="E194" s="81"/>
      <c r="F194" s="95"/>
      <c r="G194" s="96"/>
      <c r="H194" s="96"/>
      <c r="I194" s="81"/>
      <c r="J194" s="95"/>
      <c r="K194" s="96"/>
      <c r="L194" s="96"/>
      <c r="M194" s="81"/>
    </row>
    <row r="195" spans="1:13">
      <c r="A195" s="27"/>
      <c r="B195" s="95"/>
      <c r="C195" s="96"/>
      <c r="D195" s="96"/>
      <c r="E195" s="81"/>
      <c r="F195" s="95"/>
      <c r="G195" s="96"/>
      <c r="H195" s="96"/>
      <c r="I195" s="81"/>
      <c r="J195" s="95"/>
      <c r="K195" s="96"/>
      <c r="L195" s="96"/>
      <c r="M195" s="81"/>
    </row>
    <row r="196" spans="1:13">
      <c r="A196" s="27"/>
      <c r="B196" s="95"/>
      <c r="C196" s="96"/>
      <c r="D196" s="96"/>
      <c r="E196" s="81"/>
      <c r="F196" s="95"/>
      <c r="G196" s="96"/>
      <c r="H196" s="96"/>
      <c r="I196" s="81"/>
      <c r="J196" s="95"/>
      <c r="K196" s="96"/>
      <c r="L196" s="96"/>
      <c r="M196" s="81"/>
    </row>
    <row r="197" spans="1:13">
      <c r="A197" s="27"/>
      <c r="B197" s="95"/>
      <c r="C197" s="96"/>
      <c r="D197" s="96"/>
      <c r="E197" s="81"/>
      <c r="F197" s="95"/>
      <c r="G197" s="96"/>
      <c r="H197" s="96"/>
      <c r="I197" s="81"/>
      <c r="J197" s="95"/>
      <c r="K197" s="96"/>
      <c r="L197" s="96"/>
      <c r="M197" s="81"/>
    </row>
    <row r="198" spans="1:13">
      <c r="A198" s="27"/>
      <c r="B198" s="95"/>
      <c r="C198" s="96"/>
      <c r="D198" s="96"/>
      <c r="E198" s="81"/>
      <c r="F198" s="95"/>
      <c r="G198" s="96"/>
      <c r="H198" s="96"/>
      <c r="I198" s="81"/>
      <c r="J198" s="95"/>
      <c r="K198" s="96"/>
      <c r="L198" s="96"/>
      <c r="M198" s="81"/>
    </row>
    <row r="199" spans="1:13">
      <c r="A199" s="99"/>
      <c r="B199" s="100"/>
      <c r="C199" s="101"/>
      <c r="D199" s="101"/>
      <c r="E199" s="102"/>
      <c r="F199" s="100"/>
      <c r="G199" s="101"/>
      <c r="H199" s="101"/>
      <c r="I199" s="102"/>
      <c r="J199" s="100"/>
      <c r="K199" s="101"/>
      <c r="L199" s="101"/>
      <c r="M199" s="102"/>
    </row>
    <row r="200" spans="1:13">
      <c r="A200" s="27"/>
      <c r="B200" s="95"/>
      <c r="C200" s="96"/>
      <c r="D200" s="96"/>
      <c r="E200" s="81"/>
      <c r="F200" s="95"/>
      <c r="G200" s="96"/>
      <c r="H200" s="96"/>
      <c r="I200" s="81"/>
      <c r="J200" s="95"/>
      <c r="K200" s="96"/>
      <c r="L200" s="96"/>
      <c r="M200" s="81"/>
    </row>
    <row r="201" spans="1:13">
      <c r="A201" s="27"/>
      <c r="B201" s="95"/>
      <c r="C201" s="96"/>
      <c r="D201" s="96"/>
      <c r="E201" s="81"/>
      <c r="F201" s="95"/>
      <c r="G201" s="96"/>
      <c r="H201" s="96"/>
      <c r="I201" s="81"/>
      <c r="J201" s="95"/>
      <c r="K201" s="96"/>
      <c r="L201" s="96"/>
      <c r="M201" s="81"/>
    </row>
    <row r="202" spans="1:13">
      <c r="A202" s="27"/>
      <c r="B202" s="95"/>
      <c r="C202" s="96"/>
      <c r="D202" s="96"/>
      <c r="E202" s="81"/>
      <c r="F202" s="95"/>
      <c r="G202" s="96"/>
      <c r="H202" s="96"/>
      <c r="I202" s="81"/>
      <c r="J202" s="95"/>
      <c r="K202" s="96"/>
      <c r="L202" s="96"/>
      <c r="M202" s="81"/>
    </row>
    <row r="203" spans="1:13">
      <c r="A203" s="27"/>
      <c r="B203" s="95"/>
      <c r="C203" s="96"/>
      <c r="D203" s="96"/>
      <c r="E203" s="81"/>
      <c r="F203" s="95"/>
      <c r="G203" s="96"/>
      <c r="H203" s="96"/>
      <c r="I203" s="81"/>
      <c r="J203" s="95"/>
      <c r="K203" s="96"/>
      <c r="L203" s="96"/>
      <c r="M203" s="81"/>
    </row>
    <row r="204" spans="1:13">
      <c r="A204" s="27"/>
      <c r="B204" s="95"/>
      <c r="C204" s="96"/>
      <c r="D204" s="96"/>
      <c r="E204" s="81"/>
      <c r="F204" s="95"/>
      <c r="G204" s="96"/>
      <c r="H204" s="96"/>
      <c r="I204" s="81"/>
      <c r="J204" s="95"/>
      <c r="K204" s="96"/>
      <c r="L204" s="96"/>
      <c r="M204" s="81"/>
    </row>
    <row r="205" spans="1:13">
      <c r="A205" s="27"/>
      <c r="B205" s="95"/>
      <c r="C205" s="96"/>
      <c r="D205" s="96"/>
      <c r="E205" s="81"/>
      <c r="F205" s="95"/>
      <c r="G205" s="96"/>
      <c r="H205" s="96"/>
      <c r="I205" s="81"/>
      <c r="J205" s="95"/>
      <c r="K205" s="96"/>
      <c r="L205" s="96"/>
      <c r="M205" s="81"/>
    </row>
    <row r="206" spans="1:13">
      <c r="A206" s="27"/>
      <c r="B206" s="95"/>
      <c r="C206" s="96"/>
      <c r="D206" s="96"/>
      <c r="E206" s="81"/>
      <c r="F206" s="95"/>
      <c r="G206" s="96"/>
      <c r="H206" s="96"/>
      <c r="I206" s="81"/>
      <c r="J206" s="95"/>
      <c r="K206" s="96"/>
      <c r="L206" s="96"/>
      <c r="M206" s="81"/>
    </row>
    <row r="207" spans="1:13">
      <c r="A207" s="27"/>
      <c r="B207" s="95"/>
      <c r="C207" s="96"/>
      <c r="D207" s="96"/>
      <c r="E207" s="81"/>
      <c r="F207" s="95"/>
      <c r="G207" s="96"/>
      <c r="H207" s="96"/>
      <c r="I207" s="81"/>
      <c r="J207" s="95"/>
      <c r="K207" s="96"/>
      <c r="L207" s="96"/>
      <c r="M207" s="81"/>
    </row>
    <row r="208" spans="1:13">
      <c r="A208" s="27"/>
      <c r="B208" s="95"/>
      <c r="C208" s="96"/>
      <c r="D208" s="96"/>
      <c r="E208" s="81"/>
      <c r="F208" s="95"/>
      <c r="G208" s="96"/>
      <c r="H208" s="96"/>
      <c r="I208" s="81"/>
      <c r="J208" s="95"/>
      <c r="K208" s="96"/>
      <c r="L208" s="96"/>
      <c r="M208" s="81"/>
    </row>
    <row r="209" spans="1:13">
      <c r="A209" s="27"/>
      <c r="B209" s="95"/>
      <c r="C209" s="96"/>
      <c r="D209" s="96"/>
      <c r="E209" s="81"/>
      <c r="F209" s="95"/>
      <c r="G209" s="96"/>
      <c r="H209" s="96"/>
      <c r="I209" s="81"/>
      <c r="J209" s="95"/>
      <c r="K209" s="96"/>
      <c r="L209" s="96"/>
      <c r="M209" s="81"/>
    </row>
    <row r="210" spans="1:13">
      <c r="A210" s="27"/>
      <c r="B210" s="95"/>
      <c r="C210" s="96"/>
      <c r="D210" s="96"/>
      <c r="E210" s="81"/>
      <c r="F210" s="95"/>
      <c r="G210" s="96"/>
      <c r="H210" s="96"/>
      <c r="I210" s="81"/>
      <c r="J210" s="95"/>
      <c r="K210" s="96"/>
      <c r="L210" s="96"/>
      <c r="M210" s="81"/>
    </row>
    <row r="211" spans="1:13">
      <c r="A211" s="99"/>
      <c r="B211" s="100"/>
      <c r="C211" s="101"/>
      <c r="D211" s="101"/>
      <c r="E211" s="102"/>
      <c r="F211" s="100"/>
      <c r="G211" s="101"/>
      <c r="H211" s="101"/>
      <c r="I211" s="102"/>
      <c r="J211" s="100"/>
      <c r="K211" s="101"/>
      <c r="L211" s="101"/>
      <c r="M211" s="102"/>
    </row>
    <row r="212" spans="1:13">
      <c r="A212" s="27"/>
      <c r="B212" s="95"/>
      <c r="C212" s="96"/>
      <c r="D212" s="96"/>
      <c r="E212" s="81"/>
      <c r="F212" s="95"/>
      <c r="G212" s="96"/>
      <c r="H212" s="96"/>
      <c r="I212" s="81"/>
      <c r="J212" s="95"/>
      <c r="K212" s="96"/>
      <c r="L212" s="96"/>
      <c r="M212" s="81"/>
    </row>
    <row r="213" spans="1:13">
      <c r="A213" s="27"/>
      <c r="B213" s="95"/>
      <c r="C213" s="96"/>
      <c r="D213" s="96"/>
      <c r="E213" s="81"/>
      <c r="F213" s="95"/>
      <c r="G213" s="96"/>
      <c r="H213" s="96"/>
      <c r="I213" s="81"/>
      <c r="J213" s="95"/>
      <c r="K213" s="96"/>
      <c r="L213" s="96"/>
      <c r="M213" s="81"/>
    </row>
    <row r="214" spans="1:13">
      <c r="A214" s="27"/>
      <c r="B214" s="95"/>
      <c r="C214" s="96"/>
      <c r="D214" s="96"/>
      <c r="E214" s="81"/>
      <c r="F214" s="95"/>
      <c r="G214" s="96"/>
      <c r="H214" s="96"/>
      <c r="I214" s="81"/>
      <c r="J214" s="95"/>
      <c r="K214" s="96"/>
      <c r="L214" s="96"/>
      <c r="M214" s="81"/>
    </row>
    <row r="215" spans="1:13">
      <c r="A215" s="27"/>
      <c r="B215" s="95"/>
      <c r="C215" s="96"/>
      <c r="D215" s="96"/>
      <c r="E215" s="81"/>
      <c r="F215" s="95"/>
      <c r="G215" s="96"/>
      <c r="H215" s="96"/>
      <c r="I215" s="81"/>
      <c r="J215" s="95"/>
      <c r="K215" s="96"/>
      <c r="L215" s="96"/>
      <c r="M215" s="81"/>
    </row>
    <row r="216" spans="1:13">
      <c r="A216" s="27"/>
      <c r="B216" s="95"/>
      <c r="C216" s="96"/>
      <c r="D216" s="96"/>
      <c r="E216" s="81"/>
      <c r="F216" s="95"/>
      <c r="G216" s="96"/>
      <c r="H216" s="96"/>
      <c r="I216" s="81"/>
      <c r="J216" s="95"/>
      <c r="K216" s="96"/>
      <c r="L216" s="96"/>
      <c r="M216" s="81"/>
    </row>
    <row r="217" spans="1:13">
      <c r="A217" s="27"/>
      <c r="B217" s="95"/>
      <c r="C217" s="96"/>
      <c r="D217" s="96"/>
      <c r="E217" s="81"/>
      <c r="F217" s="95"/>
      <c r="G217" s="96"/>
      <c r="H217" s="96"/>
      <c r="I217" s="81"/>
      <c r="J217" s="95"/>
      <c r="K217" s="96"/>
      <c r="L217" s="96"/>
      <c r="M217" s="81"/>
    </row>
    <row r="218" spans="1:13">
      <c r="A218" s="27"/>
      <c r="B218" s="95"/>
      <c r="C218" s="96"/>
      <c r="D218" s="96"/>
      <c r="E218" s="81"/>
      <c r="F218" s="95"/>
      <c r="G218" s="96"/>
      <c r="H218" s="96"/>
      <c r="I218" s="81"/>
      <c r="J218" s="95"/>
      <c r="K218" s="96"/>
      <c r="L218" s="96"/>
      <c r="M218" s="81"/>
    </row>
    <row r="219" spans="1:13">
      <c r="A219" s="27"/>
      <c r="B219" s="95"/>
      <c r="C219" s="96"/>
      <c r="D219" s="96"/>
      <c r="E219" s="81"/>
      <c r="F219" s="95"/>
      <c r="G219" s="96"/>
      <c r="H219" s="96"/>
      <c r="I219" s="81"/>
      <c r="J219" s="95"/>
      <c r="K219" s="96"/>
      <c r="L219" s="96"/>
      <c r="M219" s="81"/>
    </row>
    <row r="220" spans="1:13">
      <c r="A220" s="27"/>
      <c r="B220" s="95"/>
      <c r="C220" s="96"/>
      <c r="D220" s="96"/>
      <c r="E220" s="81"/>
      <c r="F220" s="95"/>
      <c r="G220" s="96"/>
      <c r="H220" s="96"/>
      <c r="I220" s="81"/>
      <c r="J220" s="95"/>
      <c r="K220" s="96"/>
      <c r="L220" s="96"/>
      <c r="M220" s="81"/>
    </row>
    <row r="221" spans="1:13">
      <c r="A221" s="27"/>
      <c r="B221" s="95"/>
      <c r="C221" s="96"/>
      <c r="D221" s="96"/>
      <c r="E221" s="81"/>
      <c r="F221" s="95"/>
      <c r="G221" s="96"/>
      <c r="H221" s="96"/>
      <c r="I221" s="81"/>
      <c r="J221" s="95"/>
      <c r="K221" s="96"/>
      <c r="L221" s="96"/>
      <c r="M221" s="81"/>
    </row>
    <row r="222" spans="1:13">
      <c r="A222" s="27"/>
      <c r="B222" s="95"/>
      <c r="C222" s="96"/>
      <c r="D222" s="96"/>
      <c r="E222" s="81"/>
      <c r="F222" s="95"/>
      <c r="G222" s="96"/>
      <c r="H222" s="96"/>
      <c r="I222" s="81"/>
      <c r="J222" s="95"/>
      <c r="K222" s="96"/>
      <c r="L222" s="96"/>
      <c r="M222" s="81"/>
    </row>
    <row r="223" spans="1:13">
      <c r="A223" s="99"/>
      <c r="B223" s="100"/>
      <c r="C223" s="101"/>
      <c r="D223" s="101"/>
      <c r="E223" s="102"/>
      <c r="F223" s="100"/>
      <c r="G223" s="101"/>
      <c r="H223" s="101"/>
      <c r="I223" s="102"/>
      <c r="J223" s="100"/>
      <c r="K223" s="101"/>
      <c r="L223" s="101"/>
      <c r="M223" s="102"/>
    </row>
    <row r="224" spans="1:13">
      <c r="A224" s="27"/>
      <c r="B224" s="95"/>
      <c r="C224" s="96"/>
      <c r="D224" s="96"/>
      <c r="E224" s="81"/>
      <c r="F224" s="95"/>
      <c r="G224" s="96"/>
      <c r="H224" s="96"/>
      <c r="I224" s="81"/>
      <c r="J224" s="95"/>
      <c r="K224" s="96"/>
      <c r="L224" s="96"/>
      <c r="M224" s="81"/>
    </row>
    <row r="225" spans="1:13">
      <c r="A225" s="27"/>
      <c r="B225" s="95"/>
      <c r="C225" s="96"/>
      <c r="D225" s="96"/>
      <c r="E225" s="81"/>
      <c r="F225" s="95"/>
      <c r="G225" s="96"/>
      <c r="H225" s="96"/>
      <c r="I225" s="81"/>
      <c r="J225" s="95"/>
      <c r="K225" s="96"/>
      <c r="L225" s="96"/>
      <c r="M225" s="81"/>
    </row>
    <row r="226" spans="1:13">
      <c r="A226" s="27"/>
      <c r="B226" s="95"/>
      <c r="C226" s="96"/>
      <c r="D226" s="96"/>
      <c r="E226" s="81"/>
      <c r="F226" s="95"/>
      <c r="G226" s="96"/>
      <c r="H226" s="96"/>
      <c r="I226" s="81"/>
      <c r="J226" s="95"/>
      <c r="K226" s="96"/>
      <c r="L226" s="96"/>
      <c r="M226" s="81"/>
    </row>
    <row r="227" spans="1:13">
      <c r="A227" s="27"/>
      <c r="B227" s="95"/>
      <c r="C227" s="96"/>
      <c r="D227" s="96"/>
      <c r="E227" s="81"/>
      <c r="F227" s="95"/>
      <c r="G227" s="96"/>
      <c r="H227" s="96"/>
      <c r="I227" s="81"/>
      <c r="J227" s="95"/>
      <c r="K227" s="96"/>
      <c r="L227" s="96"/>
      <c r="M227" s="81"/>
    </row>
    <row r="228" spans="1:13">
      <c r="A228" s="27"/>
      <c r="B228" s="95"/>
      <c r="C228" s="96"/>
      <c r="D228" s="96"/>
      <c r="E228" s="81"/>
      <c r="F228" s="95"/>
      <c r="G228" s="96"/>
      <c r="H228" s="96"/>
      <c r="I228" s="81"/>
      <c r="J228" s="95"/>
      <c r="K228" s="96"/>
      <c r="L228" s="96"/>
      <c r="M228" s="81"/>
    </row>
    <row r="229" spans="1:13">
      <c r="A229" s="27"/>
      <c r="B229" s="95"/>
      <c r="C229" s="96"/>
      <c r="D229" s="96"/>
      <c r="E229" s="81"/>
      <c r="F229" s="95"/>
      <c r="G229" s="96"/>
      <c r="H229" s="96"/>
      <c r="I229" s="81"/>
      <c r="J229" s="95"/>
      <c r="K229" s="96"/>
      <c r="L229" s="96"/>
      <c r="M229" s="81"/>
    </row>
    <row r="230" spans="1:13">
      <c r="A230" s="27"/>
      <c r="B230" s="95"/>
      <c r="C230" s="96"/>
      <c r="D230" s="96"/>
      <c r="E230" s="81"/>
      <c r="F230" s="95"/>
      <c r="G230" s="96"/>
      <c r="H230" s="96"/>
      <c r="I230" s="81"/>
      <c r="J230" s="95"/>
      <c r="K230" s="96"/>
      <c r="L230" s="96"/>
      <c r="M230" s="81"/>
    </row>
    <row r="231" spans="1:13">
      <c r="A231" s="27"/>
      <c r="B231" s="95"/>
      <c r="C231" s="96"/>
      <c r="D231" s="96"/>
      <c r="E231" s="81"/>
      <c r="F231" s="95"/>
      <c r="G231" s="96"/>
      <c r="H231" s="96"/>
      <c r="I231" s="81"/>
      <c r="J231" s="95"/>
      <c r="K231" s="96"/>
      <c r="L231" s="96"/>
      <c r="M231" s="81"/>
    </row>
    <row r="232" spans="1:13">
      <c r="A232" s="27"/>
      <c r="B232" s="95"/>
      <c r="C232" s="96"/>
      <c r="D232" s="96"/>
      <c r="E232" s="81"/>
      <c r="F232" s="95"/>
      <c r="G232" s="96"/>
      <c r="H232" s="96"/>
      <c r="I232" s="81"/>
      <c r="J232" s="95"/>
      <c r="K232" s="96"/>
      <c r="L232" s="96"/>
      <c r="M232" s="81"/>
    </row>
    <row r="233" spans="1:13">
      <c r="A233" s="27"/>
      <c r="B233" s="95"/>
      <c r="C233" s="96"/>
      <c r="D233" s="96"/>
      <c r="E233" s="81"/>
      <c r="F233" s="95"/>
      <c r="G233" s="96"/>
      <c r="H233" s="96"/>
      <c r="I233" s="81"/>
      <c r="J233" s="95"/>
      <c r="K233" s="96"/>
      <c r="L233" s="96"/>
      <c r="M233" s="81"/>
    </row>
    <row r="234" spans="1:13">
      <c r="A234" s="27"/>
      <c r="B234" s="95"/>
      <c r="C234" s="96"/>
      <c r="D234" s="96"/>
      <c r="E234" s="81"/>
      <c r="F234" s="95"/>
      <c r="G234" s="96"/>
      <c r="H234" s="96"/>
      <c r="I234" s="81"/>
      <c r="J234" s="95"/>
      <c r="K234" s="96"/>
      <c r="L234" s="96"/>
      <c r="M234" s="81"/>
    </row>
    <row r="235" spans="1:13">
      <c r="A235" s="99"/>
      <c r="B235" s="100"/>
      <c r="C235" s="101"/>
      <c r="D235" s="101"/>
      <c r="E235" s="102"/>
      <c r="F235" s="100"/>
      <c r="G235" s="101"/>
      <c r="H235" s="101"/>
      <c r="I235" s="102"/>
      <c r="J235" s="100"/>
      <c r="K235" s="101"/>
      <c r="L235" s="101"/>
      <c r="M235" s="102"/>
    </row>
    <row r="236" spans="1:13">
      <c r="A236" s="27"/>
      <c r="B236" s="95"/>
      <c r="C236" s="96"/>
      <c r="D236" s="96"/>
      <c r="E236" s="81"/>
      <c r="F236" s="95"/>
      <c r="G236" s="96"/>
      <c r="H236" s="96"/>
      <c r="I236" s="81"/>
      <c r="J236" s="95"/>
      <c r="K236" s="96"/>
      <c r="L236" s="96"/>
      <c r="M236" s="81"/>
    </row>
    <row r="237" spans="1:13">
      <c r="A237" s="27"/>
      <c r="B237" s="95"/>
      <c r="C237" s="96"/>
      <c r="D237" s="96"/>
      <c r="E237" s="81"/>
      <c r="F237" s="95"/>
      <c r="G237" s="96"/>
      <c r="H237" s="96"/>
      <c r="I237" s="81"/>
      <c r="J237" s="95"/>
      <c r="K237" s="96"/>
      <c r="L237" s="96"/>
      <c r="M237" s="81"/>
    </row>
    <row r="238" spans="1:13">
      <c r="A238" s="27"/>
      <c r="B238" s="95"/>
      <c r="C238" s="96"/>
      <c r="D238" s="96"/>
      <c r="E238" s="81"/>
      <c r="F238" s="95"/>
      <c r="G238" s="96"/>
      <c r="H238" s="96"/>
      <c r="I238" s="81"/>
      <c r="J238" s="95"/>
      <c r="K238" s="96"/>
      <c r="L238" s="96"/>
      <c r="M238" s="81"/>
    </row>
    <row r="239" spans="1:13">
      <c r="A239" s="27"/>
      <c r="B239" s="95"/>
      <c r="C239" s="96"/>
      <c r="D239" s="96"/>
      <c r="E239" s="81"/>
      <c r="F239" s="95"/>
      <c r="G239" s="96"/>
      <c r="H239" s="96"/>
      <c r="I239" s="81"/>
      <c r="J239" s="95"/>
      <c r="K239" s="96"/>
      <c r="L239" s="96"/>
      <c r="M239" s="81"/>
    </row>
    <row r="240" spans="1:13">
      <c r="A240" s="27"/>
      <c r="B240" s="95"/>
      <c r="C240" s="96"/>
      <c r="D240" s="96"/>
      <c r="E240" s="81"/>
      <c r="F240" s="95"/>
      <c r="G240" s="96"/>
      <c r="H240" s="96"/>
      <c r="I240" s="81"/>
      <c r="J240" s="95"/>
      <c r="K240" s="96"/>
      <c r="L240" s="96"/>
      <c r="M240" s="81"/>
    </row>
    <row r="241" spans="1:13">
      <c r="A241" s="27"/>
      <c r="B241" s="95"/>
      <c r="C241" s="96"/>
      <c r="D241" s="96"/>
      <c r="E241" s="81"/>
      <c r="F241" s="95"/>
      <c r="G241" s="96"/>
      <c r="H241" s="96"/>
      <c r="I241" s="81"/>
      <c r="J241" s="95"/>
      <c r="K241" s="96"/>
      <c r="L241" s="96"/>
      <c r="M241" s="81"/>
    </row>
    <row r="242" spans="1:13">
      <c r="A242" s="27"/>
      <c r="B242" s="95"/>
      <c r="C242" s="96"/>
      <c r="D242" s="96"/>
      <c r="E242" s="81"/>
      <c r="F242" s="95"/>
      <c r="G242" s="96"/>
      <c r="H242" s="96"/>
      <c r="I242" s="81"/>
      <c r="J242" s="95"/>
      <c r="K242" s="96"/>
      <c r="L242" s="96"/>
      <c r="M242" s="81"/>
    </row>
    <row r="243" spans="1:13">
      <c r="A243" s="27"/>
      <c r="B243" s="95"/>
      <c r="C243" s="96"/>
      <c r="D243" s="96"/>
      <c r="E243" s="81"/>
      <c r="F243" s="95"/>
      <c r="G243" s="96"/>
      <c r="H243" s="96"/>
      <c r="I243" s="81"/>
      <c r="J243" s="95"/>
      <c r="K243" s="96"/>
      <c r="L243" s="96"/>
      <c r="M243" s="81"/>
    </row>
    <row r="244" spans="1:13">
      <c r="A244" s="27"/>
      <c r="B244" s="95"/>
      <c r="C244" s="96"/>
      <c r="D244" s="96"/>
      <c r="E244" s="81"/>
      <c r="F244" s="95"/>
      <c r="G244" s="96"/>
      <c r="H244" s="96"/>
      <c r="I244" s="81"/>
      <c r="J244" s="95"/>
      <c r="K244" s="96"/>
      <c r="L244" s="96"/>
      <c r="M244" s="81"/>
    </row>
    <row r="245" spans="1:13">
      <c r="A245" s="27"/>
      <c r="B245" s="95"/>
      <c r="C245" s="96"/>
      <c r="D245" s="96"/>
      <c r="E245" s="81"/>
      <c r="F245" s="95"/>
      <c r="G245" s="96"/>
      <c r="H245" s="96"/>
      <c r="I245" s="81"/>
      <c r="J245" s="95"/>
      <c r="K245" s="96"/>
      <c r="L245" s="96"/>
      <c r="M245" s="81"/>
    </row>
    <row r="246" spans="1:13">
      <c r="A246" s="27"/>
      <c r="B246" s="95"/>
      <c r="C246" s="96"/>
      <c r="D246" s="96"/>
      <c r="E246" s="81"/>
      <c r="F246" s="95"/>
      <c r="G246" s="96"/>
      <c r="H246" s="96"/>
      <c r="I246" s="81"/>
      <c r="J246" s="95"/>
      <c r="K246" s="96"/>
      <c r="L246" s="96"/>
      <c r="M246" s="81"/>
    </row>
    <row r="247" spans="1:13">
      <c r="A247" s="99"/>
      <c r="B247" s="100"/>
      <c r="C247" s="101"/>
      <c r="D247" s="101"/>
      <c r="E247" s="102"/>
      <c r="F247" s="100"/>
      <c r="G247" s="101"/>
      <c r="H247" s="101"/>
      <c r="I247" s="102"/>
      <c r="J247" s="100"/>
      <c r="K247" s="101"/>
      <c r="L247" s="101"/>
      <c r="M247" s="102"/>
    </row>
    <row r="248" spans="1:13">
      <c r="A248" s="27"/>
      <c r="B248" s="95"/>
      <c r="C248" s="96"/>
      <c r="D248" s="96"/>
      <c r="E248" s="81"/>
      <c r="F248" s="95"/>
      <c r="G248" s="96"/>
      <c r="H248" s="96"/>
      <c r="I248" s="81"/>
      <c r="J248" s="95"/>
      <c r="K248" s="96"/>
      <c r="L248" s="96"/>
      <c r="M248" s="81"/>
    </row>
    <row r="249" spans="1:13">
      <c r="A249" s="27"/>
      <c r="B249" s="95"/>
      <c r="C249" s="96"/>
      <c r="D249" s="96"/>
      <c r="E249" s="81"/>
      <c r="F249" s="95"/>
      <c r="G249" s="96"/>
      <c r="H249" s="96"/>
      <c r="I249" s="81"/>
      <c r="J249" s="95"/>
      <c r="K249" s="96"/>
      <c r="L249" s="96"/>
      <c r="M249" s="81"/>
    </row>
    <row r="250" spans="1:13">
      <c r="A250" s="27"/>
      <c r="B250" s="95"/>
      <c r="C250" s="96"/>
      <c r="D250" s="96"/>
      <c r="E250" s="81"/>
      <c r="F250" s="95"/>
      <c r="G250" s="96"/>
      <c r="H250" s="96"/>
      <c r="I250" s="81"/>
      <c r="J250" s="95"/>
      <c r="K250" s="96"/>
      <c r="L250" s="96"/>
      <c r="M250" s="81"/>
    </row>
    <row r="251" spans="1:13">
      <c r="A251" s="27"/>
      <c r="B251" s="95"/>
      <c r="C251" s="96"/>
      <c r="D251" s="96"/>
      <c r="E251" s="81"/>
      <c r="F251" s="95"/>
      <c r="G251" s="96"/>
      <c r="H251" s="96"/>
      <c r="I251" s="81"/>
      <c r="J251" s="95"/>
      <c r="K251" s="96"/>
      <c r="L251" s="96"/>
      <c r="M251" s="81"/>
    </row>
    <row r="252" spans="1:13">
      <c r="A252" s="104"/>
      <c r="B252" s="95"/>
      <c r="C252" s="96"/>
      <c r="D252" s="96"/>
      <c r="E252" s="81"/>
      <c r="F252" s="95"/>
      <c r="G252" s="96"/>
      <c r="H252" s="96"/>
      <c r="I252" s="81"/>
      <c r="J252" s="95"/>
      <c r="K252" s="96"/>
      <c r="L252" s="96"/>
      <c r="M252" s="81"/>
    </row>
    <row r="253" spans="1:13">
      <c r="A253" s="104"/>
      <c r="B253" s="95"/>
      <c r="C253" s="96"/>
      <c r="D253" s="96"/>
      <c r="E253" s="81"/>
      <c r="F253" s="95"/>
      <c r="G253" s="96"/>
      <c r="H253" s="96"/>
      <c r="I253" s="81"/>
      <c r="J253" s="95"/>
      <c r="K253" s="96"/>
      <c r="L253" s="96"/>
      <c r="M253" s="81"/>
    </row>
    <row r="254" spans="1:13">
      <c r="A254" s="104"/>
      <c r="B254" s="95"/>
      <c r="C254" s="96"/>
      <c r="D254" s="96"/>
      <c r="E254" s="81"/>
      <c r="F254" s="95"/>
      <c r="G254" s="96"/>
      <c r="H254" s="96"/>
      <c r="I254" s="81"/>
      <c r="J254" s="95"/>
      <c r="K254" s="96"/>
      <c r="L254" s="96"/>
      <c r="M254" s="81"/>
    </row>
    <row r="255" spans="1:13">
      <c r="A255" s="104"/>
      <c r="B255" s="95"/>
      <c r="C255" s="96"/>
      <c r="D255" s="96"/>
      <c r="E255" s="81"/>
      <c r="F255" s="95"/>
      <c r="G255" s="96"/>
      <c r="H255" s="96"/>
      <c r="I255" s="81"/>
      <c r="J255" s="95"/>
      <c r="K255" s="96"/>
      <c r="L255" s="96"/>
      <c r="M255" s="81"/>
    </row>
    <row r="256" spans="1:13">
      <c r="A256" s="104"/>
      <c r="B256" s="95"/>
      <c r="C256" s="96"/>
      <c r="D256" s="96"/>
      <c r="E256" s="81"/>
      <c r="F256" s="95"/>
      <c r="G256" s="96"/>
      <c r="H256" s="96"/>
      <c r="I256" s="81"/>
      <c r="J256" s="95"/>
      <c r="K256" s="96"/>
      <c r="L256" s="96"/>
      <c r="M256" s="81"/>
    </row>
    <row r="257" spans="1:13">
      <c r="A257" s="104"/>
      <c r="B257" s="95"/>
      <c r="C257" s="96"/>
      <c r="D257" s="96"/>
      <c r="E257" s="81"/>
      <c r="F257" s="95"/>
      <c r="G257" s="96"/>
      <c r="H257" s="96"/>
      <c r="I257" s="81"/>
      <c r="J257" s="95"/>
      <c r="K257" s="96"/>
      <c r="L257" s="96"/>
      <c r="M257" s="81"/>
    </row>
    <row r="258" spans="1:13">
      <c r="A258" s="104"/>
      <c r="B258" s="95"/>
      <c r="C258" s="96"/>
      <c r="D258" s="96"/>
      <c r="E258" s="81"/>
      <c r="F258" s="95"/>
      <c r="G258" s="96"/>
      <c r="H258" s="96"/>
      <c r="I258" s="81"/>
      <c r="J258" s="95"/>
      <c r="K258" s="96"/>
      <c r="L258" s="96"/>
      <c r="M258" s="81"/>
    </row>
    <row r="259" spans="1:13">
      <c r="A259" s="99"/>
      <c r="B259" s="100"/>
      <c r="C259" s="101"/>
      <c r="D259" s="101"/>
      <c r="E259" s="102"/>
      <c r="F259" s="100"/>
      <c r="G259" s="101"/>
      <c r="H259" s="101"/>
      <c r="I259" s="102"/>
      <c r="J259" s="100"/>
      <c r="K259" s="101"/>
      <c r="L259" s="101"/>
      <c r="M259" s="102"/>
    </row>
    <row r="260" spans="1:13">
      <c r="A260" s="104"/>
      <c r="B260" s="95"/>
      <c r="C260" s="96"/>
      <c r="D260" s="96"/>
      <c r="E260" s="81"/>
      <c r="F260" s="95"/>
      <c r="G260" s="96"/>
      <c r="H260" s="96"/>
      <c r="I260" s="81"/>
      <c r="J260" s="95"/>
      <c r="K260" s="96"/>
      <c r="L260" s="96"/>
      <c r="M260" s="81"/>
    </row>
    <row r="261" spans="1:13">
      <c r="A261" s="104"/>
      <c r="B261" s="95"/>
      <c r="C261" s="96"/>
      <c r="D261" s="96"/>
      <c r="E261" s="81"/>
      <c r="F261" s="95"/>
      <c r="G261" s="96"/>
      <c r="H261" s="96"/>
      <c r="I261" s="81"/>
      <c r="J261" s="95"/>
      <c r="K261" s="96"/>
      <c r="L261" s="96"/>
      <c r="M261" s="81"/>
    </row>
    <row r="262" spans="1:13">
      <c r="A262" s="104"/>
      <c r="B262" s="95"/>
      <c r="C262" s="96"/>
      <c r="D262" s="96"/>
      <c r="E262" s="81"/>
      <c r="F262" s="95"/>
      <c r="G262" s="96"/>
      <c r="H262" s="96"/>
      <c r="I262" s="81"/>
      <c r="J262" s="95"/>
      <c r="K262" s="96"/>
      <c r="L262" s="96"/>
      <c r="M262" s="81"/>
    </row>
    <row r="263" spans="1:13">
      <c r="A263" s="104"/>
      <c r="B263" s="95"/>
      <c r="C263" s="96"/>
      <c r="D263" s="96"/>
      <c r="E263" s="81"/>
      <c r="F263" s="95"/>
      <c r="G263" s="96"/>
      <c r="H263" s="96"/>
      <c r="I263" s="81"/>
      <c r="J263" s="95"/>
      <c r="K263" s="96"/>
      <c r="L263" s="96"/>
      <c r="M263" s="81"/>
    </row>
    <row r="264" spans="1:13">
      <c r="A264" s="104"/>
      <c r="B264" s="95"/>
      <c r="C264" s="96"/>
      <c r="D264" s="96"/>
      <c r="E264" s="81"/>
      <c r="F264" s="95"/>
      <c r="G264" s="96"/>
      <c r="H264" s="96"/>
      <c r="I264" s="81"/>
      <c r="J264" s="95"/>
      <c r="K264" s="96"/>
      <c r="L264" s="96"/>
      <c r="M264" s="81"/>
    </row>
    <row r="265" spans="1:13">
      <c r="A265" s="104"/>
      <c r="B265" s="95"/>
      <c r="C265" s="96"/>
      <c r="D265" s="96"/>
      <c r="E265" s="81"/>
      <c r="F265" s="95"/>
      <c r="G265" s="96"/>
      <c r="H265" s="96"/>
      <c r="I265" s="81"/>
      <c r="J265" s="95"/>
      <c r="K265" s="96"/>
      <c r="L265" s="96"/>
      <c r="M265" s="81"/>
    </row>
    <row r="266" spans="1:13">
      <c r="A266" s="104"/>
      <c r="B266" s="95"/>
      <c r="C266" s="96"/>
      <c r="D266" s="96"/>
      <c r="E266" s="81"/>
      <c r="F266" s="95"/>
      <c r="G266" s="96"/>
      <c r="H266" s="96"/>
      <c r="I266" s="81"/>
      <c r="J266" s="95"/>
      <c r="K266" s="96"/>
      <c r="L266" s="96"/>
      <c r="M266" s="81"/>
    </row>
    <row r="267" spans="1:13">
      <c r="A267" s="104"/>
      <c r="B267" s="95"/>
      <c r="C267" s="96"/>
      <c r="D267" s="96"/>
      <c r="E267" s="81"/>
      <c r="F267" s="95"/>
      <c r="G267" s="96"/>
      <c r="H267" s="96"/>
      <c r="I267" s="81"/>
      <c r="J267" s="95"/>
      <c r="K267" s="96"/>
      <c r="L267" s="96"/>
      <c r="M267" s="81"/>
    </row>
    <row r="268" spans="1:13">
      <c r="A268" s="104"/>
      <c r="B268" s="95"/>
      <c r="C268" s="96"/>
      <c r="D268" s="96"/>
      <c r="E268" s="81"/>
      <c r="F268" s="95"/>
      <c r="G268" s="96"/>
      <c r="H268" s="96"/>
      <c r="I268" s="81"/>
      <c r="J268" s="95"/>
      <c r="K268" s="96"/>
      <c r="L268" s="96"/>
      <c r="M268" s="81"/>
    </row>
    <row r="269" spans="1:13">
      <c r="A269" s="104"/>
      <c r="B269" s="95"/>
      <c r="C269" s="96"/>
      <c r="D269" s="96"/>
      <c r="E269" s="81"/>
      <c r="F269" s="95"/>
      <c r="G269" s="96"/>
      <c r="H269" s="96"/>
      <c r="I269" s="81"/>
      <c r="J269" s="95"/>
      <c r="K269" s="96"/>
      <c r="L269" s="96"/>
      <c r="M269" s="81"/>
    </row>
    <row r="270" spans="1:13">
      <c r="A270" s="104"/>
      <c r="B270" s="95"/>
      <c r="C270" s="96"/>
      <c r="D270" s="96"/>
      <c r="E270" s="81"/>
      <c r="F270" s="95"/>
      <c r="G270" s="96"/>
      <c r="H270" s="96"/>
      <c r="I270" s="81"/>
      <c r="J270" s="95"/>
      <c r="K270" s="96"/>
      <c r="L270" s="96"/>
      <c r="M270" s="81"/>
    </row>
    <row r="271" spans="1:13">
      <c r="A271" s="99"/>
      <c r="B271" s="100"/>
      <c r="C271" s="101"/>
      <c r="D271" s="101"/>
      <c r="E271" s="102"/>
      <c r="F271" s="100"/>
      <c r="G271" s="101"/>
      <c r="H271" s="101"/>
      <c r="I271" s="102"/>
      <c r="J271" s="100"/>
      <c r="K271" s="101"/>
      <c r="L271" s="101"/>
      <c r="M271" s="102"/>
    </row>
    <row r="272" spans="1:13">
      <c r="A272" s="104"/>
      <c r="B272" s="95"/>
      <c r="C272" s="96"/>
      <c r="D272" s="96"/>
      <c r="E272" s="81"/>
      <c r="F272" s="95"/>
      <c r="G272" s="96"/>
      <c r="H272" s="96"/>
      <c r="I272" s="81"/>
      <c r="J272" s="95"/>
      <c r="K272" s="96"/>
      <c r="L272" s="96"/>
      <c r="M272" s="81"/>
    </row>
    <row r="273" spans="1:1">
      <c r="A273" s="99"/>
    </row>
  </sheetData>
  <mergeCells count="4">
    <mergeCell ref="B6:E6"/>
    <mergeCell ref="F6:I6"/>
    <mergeCell ref="J6:M6"/>
    <mergeCell ref="A6:A7"/>
  </mergeCells>
  <phoneticPr fontId="2" type="noConversion"/>
  <pageMargins left="0.78740157499999996" right="0.78740157499999996" top="0.984251969" bottom="0.984251969" header="0.4921259845" footer="0.492125984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O273"/>
  <sheetViews>
    <sheetView workbookViewId="0">
      <pane xSplit="1" ySplit="7" topLeftCell="B8" activePane="bottomRight" state="frozen"/>
      <selection pane="bottomRight" activeCell="A121" sqref="A121"/>
      <selection pane="bottomLeft" activeCell="A259" sqref="A259"/>
      <selection pane="topRight" activeCell="A259" sqref="A259"/>
    </sheetView>
  </sheetViews>
  <sheetFormatPr defaultColWidth="11.42578125" defaultRowHeight="10.15"/>
  <cols>
    <col min="1" max="1" width="15.5703125" style="3" bestFit="1" customWidth="1"/>
    <col min="2" max="2" width="12.7109375" style="20" customWidth="1"/>
    <col min="3" max="3" width="10" style="21" bestFit="1" customWidth="1"/>
    <col min="4" max="4" width="11.28515625" style="21" bestFit="1" customWidth="1"/>
    <col min="5" max="5" width="8.85546875" style="22" customWidth="1"/>
    <col min="6" max="6" width="12.42578125" style="20" bestFit="1" customWidth="1"/>
    <col min="7" max="7" width="10" style="21" bestFit="1" customWidth="1"/>
    <col min="8" max="8" width="11.28515625" style="21" bestFit="1" customWidth="1"/>
    <col min="9" max="9" width="9" style="22" customWidth="1"/>
    <col min="10" max="10" width="12.42578125" style="20" bestFit="1" customWidth="1"/>
    <col min="11" max="12" width="11.28515625" style="21" bestFit="1" customWidth="1"/>
    <col min="13" max="13" width="12.140625" style="22" customWidth="1"/>
    <col min="14" max="16384" width="11.42578125" style="34"/>
  </cols>
  <sheetData>
    <row r="1" spans="1:15">
      <c r="A1" s="23" t="s">
        <v>44</v>
      </c>
      <c r="B1" s="23" t="s">
        <v>183</v>
      </c>
      <c r="C1" s="23"/>
      <c r="D1" s="23"/>
      <c r="E1" s="23"/>
      <c r="F1" s="23"/>
      <c r="G1" s="23"/>
      <c r="H1" s="23"/>
      <c r="I1" s="23"/>
      <c r="J1" s="23"/>
      <c r="K1" s="23"/>
      <c r="L1" s="23"/>
      <c r="M1" s="23"/>
      <c r="N1" s="55"/>
      <c r="O1" s="55"/>
    </row>
    <row r="2" spans="1:15">
      <c r="A2" s="23" t="s">
        <v>46</v>
      </c>
      <c r="B2" s="23" t="s">
        <v>47</v>
      </c>
      <c r="C2" s="23"/>
      <c r="D2" s="23"/>
      <c r="E2" s="23"/>
      <c r="F2" s="23"/>
      <c r="G2" s="23"/>
      <c r="H2" s="23"/>
      <c r="I2" s="23"/>
      <c r="J2" s="23"/>
      <c r="K2" s="23"/>
      <c r="L2" s="23"/>
      <c r="M2" s="23"/>
      <c r="N2" s="55"/>
      <c r="O2" s="55"/>
    </row>
    <row r="3" spans="1:15">
      <c r="A3" s="23" t="s">
        <v>48</v>
      </c>
      <c r="B3" s="23" t="s">
        <v>49</v>
      </c>
      <c r="C3" s="23"/>
      <c r="D3" s="23"/>
      <c r="E3" s="23"/>
      <c r="F3" s="23"/>
      <c r="G3" s="23"/>
      <c r="H3" s="23"/>
      <c r="I3" s="23"/>
      <c r="J3" s="23"/>
      <c r="K3" s="23"/>
      <c r="L3" s="23"/>
      <c r="M3" s="23"/>
      <c r="N3" s="55"/>
      <c r="O3" s="55"/>
    </row>
    <row r="4" spans="1:15">
      <c r="A4" s="23" t="s">
        <v>50</v>
      </c>
      <c r="B4" s="23" t="s">
        <v>51</v>
      </c>
      <c r="C4" s="23"/>
      <c r="D4" s="23"/>
      <c r="E4" s="23"/>
      <c r="F4" s="23"/>
      <c r="G4" s="23"/>
      <c r="H4" s="23"/>
      <c r="I4" s="23"/>
      <c r="J4" s="23"/>
      <c r="K4" s="23"/>
      <c r="L4" s="23"/>
      <c r="M4" s="23"/>
      <c r="N4" s="55"/>
      <c r="O4" s="55"/>
    </row>
    <row r="5" spans="1:15">
      <c r="A5" s="23" t="s">
        <v>52</v>
      </c>
      <c r="B5" s="23"/>
      <c r="C5" s="23"/>
      <c r="D5" s="23"/>
      <c r="E5" s="23"/>
      <c r="F5" s="23"/>
      <c r="G5" s="23"/>
      <c r="H5" s="23"/>
      <c r="I5" s="23"/>
      <c r="J5" s="23"/>
      <c r="K5" s="23"/>
      <c r="L5" s="23"/>
      <c r="M5" s="23"/>
      <c r="N5" s="55"/>
      <c r="O5" s="55"/>
    </row>
    <row r="6" spans="1:15" ht="13.15">
      <c r="A6" s="257" t="s">
        <v>53</v>
      </c>
      <c r="B6" s="254" t="s">
        <v>184</v>
      </c>
      <c r="C6" s="255"/>
      <c r="D6" s="255"/>
      <c r="E6" s="256"/>
      <c r="F6" s="254" t="s">
        <v>185</v>
      </c>
      <c r="G6" s="255"/>
      <c r="H6" s="255"/>
      <c r="I6" s="256"/>
      <c r="J6" s="254" t="s">
        <v>186</v>
      </c>
      <c r="K6" s="255"/>
      <c r="L6" s="255"/>
      <c r="M6" s="256"/>
      <c r="N6" s="89"/>
      <c r="O6" s="90"/>
    </row>
    <row r="7" spans="1:15">
      <c r="A7" s="258"/>
      <c r="B7" s="108" t="s">
        <v>57</v>
      </c>
      <c r="C7" s="109" t="s">
        <v>58</v>
      </c>
      <c r="D7" s="109" t="s">
        <v>59</v>
      </c>
      <c r="E7" s="110" t="s">
        <v>60</v>
      </c>
      <c r="F7" s="108" t="s">
        <v>57</v>
      </c>
      <c r="G7" s="109" t="s">
        <v>58</v>
      </c>
      <c r="H7" s="109" t="s">
        <v>59</v>
      </c>
      <c r="I7" s="110" t="s">
        <v>60</v>
      </c>
      <c r="J7" s="108" t="s">
        <v>57</v>
      </c>
      <c r="K7" s="109" t="s">
        <v>58</v>
      </c>
      <c r="L7" s="109" t="s">
        <v>59</v>
      </c>
      <c r="M7" s="110" t="s">
        <v>60</v>
      </c>
      <c r="N7" s="94"/>
      <c r="O7" s="94"/>
    </row>
    <row r="8" spans="1:15">
      <c r="A8" s="27" t="s">
        <v>61</v>
      </c>
      <c r="B8" s="95">
        <v>41500</v>
      </c>
      <c r="C8" s="96">
        <v>109700</v>
      </c>
      <c r="D8" s="96">
        <v>11600</v>
      </c>
      <c r="E8" s="81">
        <v>162800</v>
      </c>
      <c r="F8" s="95">
        <v>47900</v>
      </c>
      <c r="G8" s="96">
        <v>125100</v>
      </c>
      <c r="H8" s="96">
        <v>11200</v>
      </c>
      <c r="I8" s="81">
        <v>184100</v>
      </c>
      <c r="J8" s="95">
        <v>89300</v>
      </c>
      <c r="K8" s="96">
        <v>234800</v>
      </c>
      <c r="L8" s="96">
        <v>22800</v>
      </c>
      <c r="M8" s="81">
        <v>346900</v>
      </c>
      <c r="N8" s="55"/>
      <c r="O8" s="55"/>
    </row>
    <row r="9" spans="1:15">
      <c r="A9" s="27" t="s">
        <v>62</v>
      </c>
      <c r="B9" s="95">
        <v>44600</v>
      </c>
      <c r="C9" s="96">
        <v>115100</v>
      </c>
      <c r="D9" s="96">
        <v>12600</v>
      </c>
      <c r="E9" s="81">
        <v>172200</v>
      </c>
      <c r="F9" s="95">
        <v>49700</v>
      </c>
      <c r="G9" s="96">
        <v>128700</v>
      </c>
      <c r="H9" s="96">
        <v>11900</v>
      </c>
      <c r="I9" s="81">
        <v>190400</v>
      </c>
      <c r="J9" s="95">
        <v>94300</v>
      </c>
      <c r="K9" s="96">
        <v>243900</v>
      </c>
      <c r="L9" s="96">
        <v>24500</v>
      </c>
      <c r="M9" s="81">
        <v>362600</v>
      </c>
      <c r="N9" s="55"/>
      <c r="O9" s="55"/>
    </row>
    <row r="10" spans="1:15">
      <c r="A10" s="27" t="s">
        <v>63</v>
      </c>
      <c r="B10" s="95">
        <v>51300</v>
      </c>
      <c r="C10" s="96">
        <v>128700</v>
      </c>
      <c r="D10" s="96">
        <v>14400</v>
      </c>
      <c r="E10" s="81">
        <v>194400</v>
      </c>
      <c r="F10" s="95">
        <v>55500</v>
      </c>
      <c r="G10" s="96">
        <v>136600</v>
      </c>
      <c r="H10" s="96">
        <v>12900</v>
      </c>
      <c r="I10" s="81">
        <v>204900</v>
      </c>
      <c r="J10" s="95">
        <v>106900</v>
      </c>
      <c r="K10" s="96">
        <v>265300</v>
      </c>
      <c r="L10" s="96">
        <v>27200</v>
      </c>
      <c r="M10" s="81">
        <v>399300</v>
      </c>
      <c r="N10" s="55"/>
      <c r="O10" s="55"/>
    </row>
    <row r="11" spans="1:15">
      <c r="A11" s="80" t="s">
        <v>64</v>
      </c>
      <c r="B11" s="97">
        <v>49800</v>
      </c>
      <c r="C11" s="98">
        <v>128900</v>
      </c>
      <c r="D11" s="98">
        <v>14400</v>
      </c>
      <c r="E11" s="82">
        <v>193200</v>
      </c>
      <c r="F11" s="97">
        <v>55100</v>
      </c>
      <c r="G11" s="98">
        <v>139800</v>
      </c>
      <c r="H11" s="98">
        <v>13400</v>
      </c>
      <c r="I11" s="82">
        <v>208400</v>
      </c>
      <c r="J11" s="97">
        <v>104900</v>
      </c>
      <c r="K11" s="98">
        <v>268700</v>
      </c>
      <c r="L11" s="98">
        <v>28000</v>
      </c>
      <c r="M11" s="82">
        <v>401600</v>
      </c>
      <c r="N11" s="55"/>
      <c r="O11" s="55"/>
    </row>
    <row r="12" spans="1:15">
      <c r="A12" s="27" t="s">
        <v>65</v>
      </c>
      <c r="B12" s="95">
        <v>53800</v>
      </c>
      <c r="C12" s="96">
        <v>137900</v>
      </c>
      <c r="D12" s="96">
        <v>15500</v>
      </c>
      <c r="E12" s="81">
        <v>207200</v>
      </c>
      <c r="F12" s="95">
        <v>57900</v>
      </c>
      <c r="G12" s="96">
        <v>147500</v>
      </c>
      <c r="H12" s="96">
        <v>14400</v>
      </c>
      <c r="I12" s="81">
        <v>219800</v>
      </c>
      <c r="J12" s="95">
        <v>111700</v>
      </c>
      <c r="K12" s="96">
        <v>285400</v>
      </c>
      <c r="L12" s="96">
        <v>29900</v>
      </c>
      <c r="M12" s="81">
        <v>427100</v>
      </c>
      <c r="N12" s="55"/>
      <c r="O12" s="55"/>
    </row>
    <row r="13" spans="1:15">
      <c r="A13" s="27" t="s">
        <v>66</v>
      </c>
      <c r="B13" s="95">
        <v>57600</v>
      </c>
      <c r="C13" s="96">
        <v>147600</v>
      </c>
      <c r="D13" s="96">
        <v>16700</v>
      </c>
      <c r="E13" s="81">
        <v>222000</v>
      </c>
      <c r="F13" s="95">
        <v>61000</v>
      </c>
      <c r="G13" s="96">
        <v>155000</v>
      </c>
      <c r="H13" s="96">
        <v>15400</v>
      </c>
      <c r="I13" s="81">
        <v>231400</v>
      </c>
      <c r="J13" s="95">
        <v>118600</v>
      </c>
      <c r="K13" s="96">
        <v>302700</v>
      </c>
      <c r="L13" s="96">
        <v>32200</v>
      </c>
      <c r="M13" s="81">
        <v>453400</v>
      </c>
      <c r="N13" s="55"/>
      <c r="O13" s="55"/>
    </row>
    <row r="14" spans="1:15">
      <c r="A14" s="27" t="s">
        <v>67</v>
      </c>
      <c r="B14" s="95">
        <v>64600</v>
      </c>
      <c r="C14" s="96">
        <v>165900</v>
      </c>
      <c r="D14" s="96">
        <v>18800</v>
      </c>
      <c r="E14" s="81">
        <v>249300</v>
      </c>
      <c r="F14" s="95">
        <v>67900</v>
      </c>
      <c r="G14" s="96">
        <v>168300</v>
      </c>
      <c r="H14" s="96">
        <v>16700</v>
      </c>
      <c r="I14" s="81">
        <v>252800</v>
      </c>
      <c r="J14" s="95">
        <v>132500</v>
      </c>
      <c r="K14" s="96">
        <v>334200</v>
      </c>
      <c r="L14" s="96">
        <v>35400</v>
      </c>
      <c r="M14" s="81">
        <v>502200</v>
      </c>
      <c r="N14" s="55"/>
      <c r="O14" s="55"/>
    </row>
    <row r="15" spans="1:15">
      <c r="A15" s="80" t="s">
        <v>68</v>
      </c>
      <c r="B15" s="97">
        <v>65500</v>
      </c>
      <c r="C15" s="98">
        <v>170300</v>
      </c>
      <c r="D15" s="98">
        <v>19500</v>
      </c>
      <c r="E15" s="82">
        <v>255200</v>
      </c>
      <c r="F15" s="97">
        <v>69700</v>
      </c>
      <c r="G15" s="98">
        <v>175300</v>
      </c>
      <c r="H15" s="98">
        <v>17900</v>
      </c>
      <c r="I15" s="82">
        <v>262800</v>
      </c>
      <c r="J15" s="97">
        <v>135100</v>
      </c>
      <c r="K15" s="98">
        <v>345600</v>
      </c>
      <c r="L15" s="98">
        <v>37300</v>
      </c>
      <c r="M15" s="82">
        <v>518000</v>
      </c>
      <c r="N15" s="55"/>
      <c r="O15" s="55"/>
    </row>
    <row r="16" spans="1:15">
      <c r="A16" s="27" t="s">
        <v>69</v>
      </c>
      <c r="B16" s="95">
        <v>68800</v>
      </c>
      <c r="C16" s="96">
        <v>180300</v>
      </c>
      <c r="D16" s="96">
        <v>20800</v>
      </c>
      <c r="E16" s="81">
        <v>269800</v>
      </c>
      <c r="F16" s="95">
        <v>73100</v>
      </c>
      <c r="G16" s="96">
        <v>186700</v>
      </c>
      <c r="H16" s="96">
        <v>19000</v>
      </c>
      <c r="I16" s="81">
        <v>278900</v>
      </c>
      <c r="J16" s="95">
        <v>141900</v>
      </c>
      <c r="K16" s="96">
        <v>367000</v>
      </c>
      <c r="L16" s="96">
        <v>39800</v>
      </c>
      <c r="M16" s="81">
        <v>548700</v>
      </c>
      <c r="N16" s="55"/>
      <c r="O16" s="55"/>
    </row>
    <row r="17" spans="1:13">
      <c r="A17" s="27" t="s">
        <v>70</v>
      </c>
      <c r="B17" s="95">
        <v>68900</v>
      </c>
      <c r="C17" s="96">
        <v>185100</v>
      </c>
      <c r="D17" s="96">
        <v>21900</v>
      </c>
      <c r="E17" s="81">
        <v>275900</v>
      </c>
      <c r="F17" s="95">
        <v>74700</v>
      </c>
      <c r="G17" s="96">
        <v>195000</v>
      </c>
      <c r="H17" s="96">
        <v>20100</v>
      </c>
      <c r="I17" s="81">
        <v>289700</v>
      </c>
      <c r="J17" s="95">
        <v>143500</v>
      </c>
      <c r="K17" s="96">
        <v>380100</v>
      </c>
      <c r="L17" s="96">
        <v>42000</v>
      </c>
      <c r="M17" s="81">
        <v>565600</v>
      </c>
    </row>
    <row r="18" spans="1:13">
      <c r="A18" s="27" t="s">
        <v>71</v>
      </c>
      <c r="B18" s="95">
        <v>67000</v>
      </c>
      <c r="C18" s="96">
        <v>188200</v>
      </c>
      <c r="D18" s="96">
        <v>23500</v>
      </c>
      <c r="E18" s="81">
        <v>278600</v>
      </c>
      <c r="F18" s="95">
        <v>74300</v>
      </c>
      <c r="G18" s="96">
        <v>200700</v>
      </c>
      <c r="H18" s="96">
        <v>21400</v>
      </c>
      <c r="I18" s="81">
        <v>296400</v>
      </c>
      <c r="J18" s="95">
        <v>141200</v>
      </c>
      <c r="K18" s="96">
        <v>388900</v>
      </c>
      <c r="L18" s="96">
        <v>44900</v>
      </c>
      <c r="M18" s="81">
        <v>574900</v>
      </c>
    </row>
    <row r="19" spans="1:13">
      <c r="A19" s="80" t="s">
        <v>72</v>
      </c>
      <c r="B19" s="97">
        <v>66300</v>
      </c>
      <c r="C19" s="98">
        <v>187800</v>
      </c>
      <c r="D19" s="98">
        <v>24200</v>
      </c>
      <c r="E19" s="82">
        <v>278300</v>
      </c>
      <c r="F19" s="97">
        <v>73900</v>
      </c>
      <c r="G19" s="98">
        <v>206200</v>
      </c>
      <c r="H19" s="98">
        <v>22700</v>
      </c>
      <c r="I19" s="82">
        <v>302800</v>
      </c>
      <c r="J19" s="97">
        <v>140300</v>
      </c>
      <c r="K19" s="98">
        <v>393900</v>
      </c>
      <c r="L19" s="98">
        <v>46900</v>
      </c>
      <c r="M19" s="82">
        <v>581100</v>
      </c>
    </row>
    <row r="20" spans="1:13">
      <c r="A20" s="27" t="s">
        <v>73</v>
      </c>
      <c r="B20" s="95">
        <v>65400</v>
      </c>
      <c r="C20" s="96">
        <v>188200</v>
      </c>
      <c r="D20" s="96">
        <v>24900</v>
      </c>
      <c r="E20" s="81">
        <v>278500</v>
      </c>
      <c r="F20" s="95">
        <v>73900</v>
      </c>
      <c r="G20" s="96">
        <v>211300</v>
      </c>
      <c r="H20" s="96">
        <v>24100</v>
      </c>
      <c r="I20" s="81">
        <v>309300</v>
      </c>
      <c r="J20" s="95">
        <v>139300</v>
      </c>
      <c r="K20" s="96">
        <v>399600</v>
      </c>
      <c r="L20" s="96">
        <v>49000</v>
      </c>
      <c r="M20" s="81">
        <v>587900</v>
      </c>
    </row>
    <row r="21" spans="1:13">
      <c r="A21" s="27" t="s">
        <v>74</v>
      </c>
      <c r="B21" s="95">
        <v>67800</v>
      </c>
      <c r="C21" s="96">
        <v>193400</v>
      </c>
      <c r="D21" s="96">
        <v>26200</v>
      </c>
      <c r="E21" s="81">
        <v>287500</v>
      </c>
      <c r="F21" s="95">
        <v>75700</v>
      </c>
      <c r="G21" s="96">
        <v>219100</v>
      </c>
      <c r="H21" s="96">
        <v>25400</v>
      </c>
      <c r="I21" s="81">
        <v>320200</v>
      </c>
      <c r="J21" s="95">
        <v>143500</v>
      </c>
      <c r="K21" s="96">
        <v>412500</v>
      </c>
      <c r="L21" s="96">
        <v>51600</v>
      </c>
      <c r="M21" s="81">
        <v>607600</v>
      </c>
    </row>
    <row r="22" spans="1:13">
      <c r="A22" s="27" t="s">
        <v>75</v>
      </c>
      <c r="B22" s="95">
        <v>70300</v>
      </c>
      <c r="C22" s="96">
        <v>202700</v>
      </c>
      <c r="D22" s="96">
        <v>28000</v>
      </c>
      <c r="E22" s="81">
        <v>301000</v>
      </c>
      <c r="F22" s="95">
        <v>78600</v>
      </c>
      <c r="G22" s="96">
        <v>230500</v>
      </c>
      <c r="H22" s="96">
        <v>27100</v>
      </c>
      <c r="I22" s="81">
        <v>336200</v>
      </c>
      <c r="J22" s="95">
        <v>149000</v>
      </c>
      <c r="K22" s="96">
        <v>433200</v>
      </c>
      <c r="L22" s="96">
        <v>55000</v>
      </c>
      <c r="M22" s="81">
        <v>637200</v>
      </c>
    </row>
    <row r="23" spans="1:13">
      <c r="A23" s="80" t="s">
        <v>76</v>
      </c>
      <c r="B23" s="97">
        <v>69200</v>
      </c>
      <c r="C23" s="98">
        <v>202300</v>
      </c>
      <c r="D23" s="98">
        <v>28800</v>
      </c>
      <c r="E23" s="82">
        <v>300300</v>
      </c>
      <c r="F23" s="97">
        <v>77900</v>
      </c>
      <c r="G23" s="98">
        <v>235100</v>
      </c>
      <c r="H23" s="98">
        <v>28300</v>
      </c>
      <c r="I23" s="82">
        <v>341400</v>
      </c>
      <c r="J23" s="97">
        <v>147200</v>
      </c>
      <c r="K23" s="98">
        <v>437500</v>
      </c>
      <c r="L23" s="98">
        <v>57100</v>
      </c>
      <c r="M23" s="82">
        <v>641700</v>
      </c>
    </row>
    <row r="24" spans="1:13">
      <c r="A24" s="27" t="s">
        <v>77</v>
      </c>
      <c r="B24" s="95">
        <v>65200</v>
      </c>
      <c r="C24" s="96">
        <v>196000</v>
      </c>
      <c r="D24" s="96">
        <v>29300</v>
      </c>
      <c r="E24" s="81">
        <v>290400</v>
      </c>
      <c r="F24" s="95">
        <v>76300</v>
      </c>
      <c r="G24" s="96">
        <v>236800</v>
      </c>
      <c r="H24" s="96">
        <v>29400</v>
      </c>
      <c r="I24" s="81">
        <v>342500</v>
      </c>
      <c r="J24" s="95">
        <v>141500</v>
      </c>
      <c r="K24" s="96">
        <v>432800</v>
      </c>
      <c r="L24" s="96">
        <v>58700</v>
      </c>
      <c r="M24" s="81">
        <v>633000</v>
      </c>
    </row>
    <row r="25" spans="1:13">
      <c r="A25" s="27" t="s">
        <v>78</v>
      </c>
      <c r="B25" s="95">
        <v>60100</v>
      </c>
      <c r="C25" s="96">
        <v>187500</v>
      </c>
      <c r="D25" s="96">
        <v>29600</v>
      </c>
      <c r="E25" s="81">
        <v>277300</v>
      </c>
      <c r="F25" s="95">
        <v>74100</v>
      </c>
      <c r="G25" s="96">
        <v>235900</v>
      </c>
      <c r="H25" s="96">
        <v>30600</v>
      </c>
      <c r="I25" s="81">
        <v>340700</v>
      </c>
      <c r="J25" s="95">
        <v>134300</v>
      </c>
      <c r="K25" s="96">
        <v>423400</v>
      </c>
      <c r="L25" s="96">
        <v>60200</v>
      </c>
      <c r="M25" s="81">
        <v>618000</v>
      </c>
    </row>
    <row r="26" spans="1:13">
      <c r="A26" s="27" t="s">
        <v>79</v>
      </c>
      <c r="B26" s="95">
        <v>56000</v>
      </c>
      <c r="C26" s="96">
        <v>182500</v>
      </c>
      <c r="D26" s="96">
        <v>30100</v>
      </c>
      <c r="E26" s="81">
        <v>268500</v>
      </c>
      <c r="F26" s="95">
        <v>71000</v>
      </c>
      <c r="G26" s="96">
        <v>238000</v>
      </c>
      <c r="H26" s="96">
        <v>32600</v>
      </c>
      <c r="I26" s="81">
        <v>341600</v>
      </c>
      <c r="J26" s="95">
        <v>127000</v>
      </c>
      <c r="K26" s="96">
        <v>420500</v>
      </c>
      <c r="L26" s="96">
        <v>62700</v>
      </c>
      <c r="M26" s="81">
        <v>610100</v>
      </c>
    </row>
    <row r="27" spans="1:13">
      <c r="A27" s="80" t="s">
        <v>80</v>
      </c>
      <c r="B27" s="97">
        <v>56400</v>
      </c>
      <c r="C27" s="98">
        <v>187800</v>
      </c>
      <c r="D27" s="98">
        <v>32000</v>
      </c>
      <c r="E27" s="82">
        <v>276100</v>
      </c>
      <c r="F27" s="97">
        <v>71000</v>
      </c>
      <c r="G27" s="98">
        <v>240500</v>
      </c>
      <c r="H27" s="98">
        <v>33900</v>
      </c>
      <c r="I27" s="82">
        <v>345400</v>
      </c>
      <c r="J27" s="97">
        <v>127300</v>
      </c>
      <c r="K27" s="98">
        <v>428400</v>
      </c>
      <c r="L27" s="98">
        <v>65800</v>
      </c>
      <c r="M27" s="82">
        <v>621500</v>
      </c>
    </row>
    <row r="28" spans="1:13">
      <c r="A28" s="27" t="s">
        <v>81</v>
      </c>
      <c r="B28" s="95">
        <v>54700</v>
      </c>
      <c r="C28" s="96">
        <v>189700</v>
      </c>
      <c r="D28" s="96">
        <v>33900</v>
      </c>
      <c r="E28" s="81">
        <v>278300</v>
      </c>
      <c r="F28" s="95">
        <v>68300</v>
      </c>
      <c r="G28" s="96">
        <v>242000</v>
      </c>
      <c r="H28" s="96">
        <v>36300</v>
      </c>
      <c r="I28" s="81">
        <v>346600</v>
      </c>
      <c r="J28" s="95">
        <v>123000</v>
      </c>
      <c r="K28" s="96">
        <v>431600</v>
      </c>
      <c r="L28" s="96">
        <v>70300</v>
      </c>
      <c r="M28" s="81">
        <v>624900</v>
      </c>
    </row>
    <row r="29" spans="1:13">
      <c r="A29" s="27" t="s">
        <v>82</v>
      </c>
      <c r="B29" s="95">
        <v>51800</v>
      </c>
      <c r="C29" s="96">
        <v>185800</v>
      </c>
      <c r="D29" s="96">
        <v>34500</v>
      </c>
      <c r="E29" s="81">
        <v>272100</v>
      </c>
      <c r="F29" s="95">
        <v>66500</v>
      </c>
      <c r="G29" s="96">
        <v>242400</v>
      </c>
      <c r="H29" s="96">
        <v>38400</v>
      </c>
      <c r="I29" s="81">
        <v>347300</v>
      </c>
      <c r="J29" s="95">
        <v>118300</v>
      </c>
      <c r="K29" s="96">
        <v>428200</v>
      </c>
      <c r="L29" s="96">
        <v>72900</v>
      </c>
      <c r="M29" s="81">
        <v>619500</v>
      </c>
    </row>
    <row r="30" spans="1:13">
      <c r="A30" s="27" t="s">
        <v>83</v>
      </c>
      <c r="B30" s="95">
        <v>47800</v>
      </c>
      <c r="C30" s="96">
        <v>175600</v>
      </c>
      <c r="D30" s="96">
        <v>33700</v>
      </c>
      <c r="E30" s="81">
        <v>257100</v>
      </c>
      <c r="F30" s="95">
        <v>61600</v>
      </c>
      <c r="G30" s="96">
        <v>233000</v>
      </c>
      <c r="H30" s="96">
        <v>38900</v>
      </c>
      <c r="I30" s="81">
        <v>333500</v>
      </c>
      <c r="J30" s="95">
        <v>109400</v>
      </c>
      <c r="K30" s="96">
        <v>408600</v>
      </c>
      <c r="L30" s="96">
        <v>72600</v>
      </c>
      <c r="M30" s="81">
        <v>590600</v>
      </c>
    </row>
    <row r="31" spans="1:13">
      <c r="A31" s="80" t="s">
        <v>84</v>
      </c>
      <c r="B31" s="97">
        <v>48800</v>
      </c>
      <c r="C31" s="98">
        <v>172900</v>
      </c>
      <c r="D31" s="98">
        <v>33200</v>
      </c>
      <c r="E31" s="82">
        <v>255000</v>
      </c>
      <c r="F31" s="97">
        <v>61100</v>
      </c>
      <c r="G31" s="98">
        <v>231800</v>
      </c>
      <c r="H31" s="98">
        <v>39500</v>
      </c>
      <c r="I31" s="82">
        <v>332500</v>
      </c>
      <c r="J31" s="97">
        <v>110000</v>
      </c>
      <c r="K31" s="98">
        <v>404700</v>
      </c>
      <c r="L31" s="98">
        <v>72700</v>
      </c>
      <c r="M31" s="82">
        <v>587400</v>
      </c>
    </row>
    <row r="32" spans="1:13">
      <c r="A32" s="27" t="s">
        <v>85</v>
      </c>
      <c r="B32" s="95">
        <v>50300</v>
      </c>
      <c r="C32" s="96">
        <v>172200</v>
      </c>
      <c r="D32" s="96">
        <v>32500</v>
      </c>
      <c r="E32" s="81">
        <v>255000</v>
      </c>
      <c r="F32" s="95">
        <v>62100</v>
      </c>
      <c r="G32" s="96">
        <v>228700</v>
      </c>
      <c r="H32" s="96">
        <v>39100</v>
      </c>
      <c r="I32" s="81">
        <v>329900</v>
      </c>
      <c r="J32" s="95">
        <v>112400</v>
      </c>
      <c r="K32" s="96">
        <v>400900</v>
      </c>
      <c r="L32" s="96">
        <v>71600</v>
      </c>
      <c r="M32" s="81">
        <v>584800</v>
      </c>
    </row>
    <row r="33" spans="1:13">
      <c r="A33" s="27" t="s">
        <v>86</v>
      </c>
      <c r="B33" s="95">
        <v>50900</v>
      </c>
      <c r="C33" s="96">
        <v>173300</v>
      </c>
      <c r="D33" s="96">
        <v>32200</v>
      </c>
      <c r="E33" s="81">
        <v>256400</v>
      </c>
      <c r="F33" s="95">
        <v>58800</v>
      </c>
      <c r="G33" s="96">
        <v>224900</v>
      </c>
      <c r="H33" s="96">
        <v>39500</v>
      </c>
      <c r="I33" s="81">
        <v>323100</v>
      </c>
      <c r="J33" s="95">
        <v>109600</v>
      </c>
      <c r="K33" s="96">
        <v>398200</v>
      </c>
      <c r="L33" s="96">
        <v>71800</v>
      </c>
      <c r="M33" s="81">
        <v>579600</v>
      </c>
    </row>
    <row r="34" spans="1:13">
      <c r="A34" s="27" t="s">
        <v>87</v>
      </c>
      <c r="B34" s="95">
        <v>49100</v>
      </c>
      <c r="C34" s="96">
        <v>171800</v>
      </c>
      <c r="D34" s="96">
        <v>32300</v>
      </c>
      <c r="E34" s="81">
        <v>253300</v>
      </c>
      <c r="F34" s="95">
        <v>56300</v>
      </c>
      <c r="G34" s="96">
        <v>217900</v>
      </c>
      <c r="H34" s="96">
        <v>39400</v>
      </c>
      <c r="I34" s="81">
        <v>313700</v>
      </c>
      <c r="J34" s="95">
        <v>105500</v>
      </c>
      <c r="K34" s="96">
        <v>389700</v>
      </c>
      <c r="L34" s="96">
        <v>71800</v>
      </c>
      <c r="M34" s="81">
        <v>567000</v>
      </c>
    </row>
    <row r="35" spans="1:13">
      <c r="A35" s="80" t="s">
        <v>88</v>
      </c>
      <c r="B35" s="97">
        <v>49600</v>
      </c>
      <c r="C35" s="98">
        <v>174500</v>
      </c>
      <c r="D35" s="98">
        <v>32600</v>
      </c>
      <c r="E35" s="82">
        <v>256700</v>
      </c>
      <c r="F35" s="97">
        <v>57600</v>
      </c>
      <c r="G35" s="98">
        <v>220600</v>
      </c>
      <c r="H35" s="98">
        <v>40200</v>
      </c>
      <c r="I35" s="82">
        <v>318400</v>
      </c>
      <c r="J35" s="97">
        <v>107300</v>
      </c>
      <c r="K35" s="98">
        <v>395100</v>
      </c>
      <c r="L35" s="98">
        <v>72900</v>
      </c>
      <c r="M35" s="82">
        <v>575200</v>
      </c>
    </row>
    <row r="36" spans="1:13">
      <c r="A36" s="27" t="s">
        <v>89</v>
      </c>
      <c r="B36" s="95">
        <v>50100</v>
      </c>
      <c r="C36" s="96">
        <v>175800</v>
      </c>
      <c r="D36" s="96">
        <v>32600</v>
      </c>
      <c r="E36" s="81">
        <v>258400</v>
      </c>
      <c r="F36" s="95">
        <v>57300</v>
      </c>
      <c r="G36" s="96">
        <v>218000</v>
      </c>
      <c r="H36" s="96">
        <v>41100</v>
      </c>
      <c r="I36" s="81">
        <v>316300</v>
      </c>
      <c r="J36" s="95">
        <v>107400</v>
      </c>
      <c r="K36" s="96">
        <v>393700</v>
      </c>
      <c r="L36" s="96">
        <v>73600</v>
      </c>
      <c r="M36" s="81">
        <v>574700</v>
      </c>
    </row>
    <row r="37" spans="1:13">
      <c r="A37" s="27" t="s">
        <v>90</v>
      </c>
      <c r="B37" s="95">
        <v>50100</v>
      </c>
      <c r="C37" s="96">
        <v>178300</v>
      </c>
      <c r="D37" s="96">
        <v>32600</v>
      </c>
      <c r="E37" s="81">
        <v>261000</v>
      </c>
      <c r="F37" s="95">
        <v>56500</v>
      </c>
      <c r="G37" s="96">
        <v>216900</v>
      </c>
      <c r="H37" s="96">
        <v>41200</v>
      </c>
      <c r="I37" s="81">
        <v>314600</v>
      </c>
      <c r="J37" s="95">
        <v>106700</v>
      </c>
      <c r="K37" s="96">
        <v>395100</v>
      </c>
      <c r="L37" s="96">
        <v>73800</v>
      </c>
      <c r="M37" s="81">
        <v>575600</v>
      </c>
    </row>
    <row r="38" spans="1:13">
      <c r="A38" s="27" t="s">
        <v>91</v>
      </c>
      <c r="B38" s="95">
        <v>49600</v>
      </c>
      <c r="C38" s="96">
        <v>183400</v>
      </c>
      <c r="D38" s="96">
        <v>33400</v>
      </c>
      <c r="E38" s="81">
        <v>266400</v>
      </c>
      <c r="F38" s="95">
        <v>55800</v>
      </c>
      <c r="G38" s="96">
        <v>218800</v>
      </c>
      <c r="H38" s="96">
        <v>41400</v>
      </c>
      <c r="I38" s="81">
        <v>316000</v>
      </c>
      <c r="J38" s="95">
        <v>105300</v>
      </c>
      <c r="K38" s="96">
        <v>402200</v>
      </c>
      <c r="L38" s="96">
        <v>74900</v>
      </c>
      <c r="M38" s="81">
        <v>582400</v>
      </c>
    </row>
    <row r="39" spans="1:13">
      <c r="A39" s="80" t="s">
        <v>92</v>
      </c>
      <c r="B39" s="97">
        <v>50900</v>
      </c>
      <c r="C39" s="98">
        <v>188300</v>
      </c>
      <c r="D39" s="98">
        <v>34000</v>
      </c>
      <c r="E39" s="82">
        <v>273200</v>
      </c>
      <c r="F39" s="97">
        <v>57000</v>
      </c>
      <c r="G39" s="98">
        <v>223500</v>
      </c>
      <c r="H39" s="98">
        <v>42400</v>
      </c>
      <c r="I39" s="82">
        <v>322800</v>
      </c>
      <c r="J39" s="97">
        <v>107900</v>
      </c>
      <c r="K39" s="98">
        <v>411800</v>
      </c>
      <c r="L39" s="98">
        <v>76400</v>
      </c>
      <c r="M39" s="82">
        <v>596000</v>
      </c>
    </row>
    <row r="40" spans="1:13">
      <c r="A40" s="27" t="s">
        <v>93</v>
      </c>
      <c r="B40" s="95">
        <v>52000</v>
      </c>
      <c r="C40" s="96">
        <v>201700</v>
      </c>
      <c r="D40" s="96">
        <v>35900</v>
      </c>
      <c r="E40" s="81">
        <v>289500</v>
      </c>
      <c r="F40" s="95">
        <v>57800</v>
      </c>
      <c r="G40" s="96">
        <v>230600</v>
      </c>
      <c r="H40" s="96">
        <v>44000</v>
      </c>
      <c r="I40" s="81">
        <v>332400</v>
      </c>
      <c r="J40" s="95">
        <v>109800</v>
      </c>
      <c r="K40" s="96">
        <v>432300</v>
      </c>
      <c r="L40" s="96">
        <v>79900</v>
      </c>
      <c r="M40" s="81">
        <v>622000</v>
      </c>
    </row>
    <row r="41" spans="1:13">
      <c r="A41" s="27" t="s">
        <v>94</v>
      </c>
      <c r="B41" s="95">
        <v>53500</v>
      </c>
      <c r="C41" s="96">
        <v>207700</v>
      </c>
      <c r="D41" s="96">
        <v>36400</v>
      </c>
      <c r="E41" s="81">
        <v>297600</v>
      </c>
      <c r="F41" s="95">
        <v>59400</v>
      </c>
      <c r="G41" s="96">
        <v>237400</v>
      </c>
      <c r="H41" s="96">
        <v>45100</v>
      </c>
      <c r="I41" s="81">
        <v>342000</v>
      </c>
      <c r="J41" s="95">
        <v>113000</v>
      </c>
      <c r="K41" s="96">
        <v>445000</v>
      </c>
      <c r="L41" s="96">
        <v>81500</v>
      </c>
      <c r="M41" s="81">
        <v>639500</v>
      </c>
    </row>
    <row r="42" spans="1:13">
      <c r="A42" s="27" t="s">
        <v>95</v>
      </c>
      <c r="B42" s="95">
        <v>55000</v>
      </c>
      <c r="C42" s="96">
        <v>215000</v>
      </c>
      <c r="D42" s="96">
        <v>37600</v>
      </c>
      <c r="E42" s="81">
        <v>307500</v>
      </c>
      <c r="F42" s="95">
        <v>60900</v>
      </c>
      <c r="G42" s="96">
        <v>242800</v>
      </c>
      <c r="H42" s="96">
        <v>46500</v>
      </c>
      <c r="I42" s="81">
        <v>350100</v>
      </c>
      <c r="J42" s="95">
        <v>115800</v>
      </c>
      <c r="K42" s="96">
        <v>457800</v>
      </c>
      <c r="L42" s="96">
        <v>84100</v>
      </c>
      <c r="M42" s="81">
        <v>657600</v>
      </c>
    </row>
    <row r="43" spans="1:13">
      <c r="A43" s="80" t="s">
        <v>96</v>
      </c>
      <c r="B43" s="97">
        <v>56100</v>
      </c>
      <c r="C43" s="98">
        <v>223100</v>
      </c>
      <c r="D43" s="98">
        <v>39200</v>
      </c>
      <c r="E43" s="82">
        <v>318400</v>
      </c>
      <c r="F43" s="97">
        <v>61900</v>
      </c>
      <c r="G43" s="98">
        <v>250100</v>
      </c>
      <c r="H43" s="98">
        <v>48700</v>
      </c>
      <c r="I43" s="82">
        <v>360600</v>
      </c>
      <c r="J43" s="97">
        <v>117900</v>
      </c>
      <c r="K43" s="98">
        <v>473100</v>
      </c>
      <c r="L43" s="98">
        <v>87900</v>
      </c>
      <c r="M43" s="82">
        <v>679000</v>
      </c>
    </row>
    <row r="44" spans="1:13">
      <c r="A44" s="27" t="s">
        <v>97</v>
      </c>
      <c r="B44" s="95">
        <v>55200</v>
      </c>
      <c r="C44" s="96">
        <v>224300</v>
      </c>
      <c r="D44" s="96">
        <v>39700</v>
      </c>
      <c r="E44" s="81">
        <v>319100</v>
      </c>
      <c r="F44" s="95">
        <v>62000</v>
      </c>
      <c r="G44" s="96">
        <v>252700</v>
      </c>
      <c r="H44" s="96">
        <v>49900</v>
      </c>
      <c r="I44" s="81">
        <v>364600</v>
      </c>
      <c r="J44" s="95">
        <v>117200</v>
      </c>
      <c r="K44" s="96">
        <v>476900</v>
      </c>
      <c r="L44" s="96">
        <v>89600</v>
      </c>
      <c r="M44" s="81">
        <v>683700</v>
      </c>
    </row>
    <row r="45" spans="1:13">
      <c r="A45" s="27" t="s">
        <v>98</v>
      </c>
      <c r="B45" s="95">
        <v>54600</v>
      </c>
      <c r="C45" s="96">
        <v>226500</v>
      </c>
      <c r="D45" s="96">
        <v>40200</v>
      </c>
      <c r="E45" s="81">
        <v>321300</v>
      </c>
      <c r="F45" s="95">
        <v>61300</v>
      </c>
      <c r="G45" s="96">
        <v>253600</v>
      </c>
      <c r="H45" s="96">
        <v>50900</v>
      </c>
      <c r="I45" s="81">
        <v>365800</v>
      </c>
      <c r="J45" s="95">
        <v>115900</v>
      </c>
      <c r="K45" s="96">
        <v>480200</v>
      </c>
      <c r="L45" s="96">
        <v>91000</v>
      </c>
      <c r="M45" s="81">
        <v>687100</v>
      </c>
    </row>
    <row r="46" spans="1:13">
      <c r="A46" s="27" t="s">
        <v>99</v>
      </c>
      <c r="B46" s="95">
        <v>54700</v>
      </c>
      <c r="C46" s="96">
        <v>228200</v>
      </c>
      <c r="D46" s="96">
        <v>40600</v>
      </c>
      <c r="E46" s="81">
        <v>323500</v>
      </c>
      <c r="F46" s="95">
        <v>61000</v>
      </c>
      <c r="G46" s="96">
        <v>256100</v>
      </c>
      <c r="H46" s="96">
        <v>51800</v>
      </c>
      <c r="I46" s="81">
        <v>368900</v>
      </c>
      <c r="J46" s="95">
        <v>115700</v>
      </c>
      <c r="K46" s="96">
        <v>484400</v>
      </c>
      <c r="L46" s="96">
        <v>92400</v>
      </c>
      <c r="M46" s="81">
        <v>692400</v>
      </c>
    </row>
    <row r="47" spans="1:13">
      <c r="A47" s="80" t="s">
        <v>100</v>
      </c>
      <c r="B47" s="97">
        <v>52200</v>
      </c>
      <c r="C47" s="98">
        <v>228000</v>
      </c>
      <c r="D47" s="98">
        <v>40800</v>
      </c>
      <c r="E47" s="82">
        <v>321000</v>
      </c>
      <c r="F47" s="97">
        <v>58300</v>
      </c>
      <c r="G47" s="98">
        <v>253500</v>
      </c>
      <c r="H47" s="98">
        <v>51600</v>
      </c>
      <c r="I47" s="82">
        <v>363400</v>
      </c>
      <c r="J47" s="97">
        <v>110400</v>
      </c>
      <c r="K47" s="98">
        <v>481500</v>
      </c>
      <c r="L47" s="98">
        <v>92500</v>
      </c>
      <c r="M47" s="82">
        <v>684400</v>
      </c>
    </row>
    <row r="48" spans="1:13">
      <c r="A48" s="27" t="s">
        <v>101</v>
      </c>
      <c r="B48" s="95">
        <v>50200</v>
      </c>
      <c r="C48" s="96">
        <v>222200</v>
      </c>
      <c r="D48" s="96">
        <v>40400</v>
      </c>
      <c r="E48" s="81">
        <v>312800</v>
      </c>
      <c r="F48" s="95">
        <v>56000</v>
      </c>
      <c r="G48" s="96">
        <v>247800</v>
      </c>
      <c r="H48" s="96">
        <v>50700</v>
      </c>
      <c r="I48" s="81">
        <v>354500</v>
      </c>
      <c r="J48" s="95">
        <v>106200</v>
      </c>
      <c r="K48" s="96">
        <v>470000</v>
      </c>
      <c r="L48" s="96">
        <v>91100</v>
      </c>
      <c r="M48" s="81">
        <v>667400</v>
      </c>
    </row>
    <row r="49" spans="1:13">
      <c r="A49" s="27" t="s">
        <v>102</v>
      </c>
      <c r="B49" s="95">
        <v>49400</v>
      </c>
      <c r="C49" s="96">
        <v>221800</v>
      </c>
      <c r="D49" s="96">
        <v>40800</v>
      </c>
      <c r="E49" s="81">
        <v>311900</v>
      </c>
      <c r="F49" s="95">
        <v>55100</v>
      </c>
      <c r="G49" s="96">
        <v>247100</v>
      </c>
      <c r="H49" s="96">
        <v>51000</v>
      </c>
      <c r="I49" s="81">
        <v>353200</v>
      </c>
      <c r="J49" s="95">
        <v>104500</v>
      </c>
      <c r="K49" s="96">
        <v>468900</v>
      </c>
      <c r="L49" s="96">
        <v>91700</v>
      </c>
      <c r="M49" s="81">
        <v>665100</v>
      </c>
    </row>
    <row r="50" spans="1:13">
      <c r="A50" s="27" t="s">
        <v>103</v>
      </c>
      <c r="B50" s="95">
        <v>47800</v>
      </c>
      <c r="C50" s="96">
        <v>217000</v>
      </c>
      <c r="D50" s="96">
        <v>40200</v>
      </c>
      <c r="E50" s="81">
        <v>305000</v>
      </c>
      <c r="F50" s="95">
        <v>54300</v>
      </c>
      <c r="G50" s="96">
        <v>246100</v>
      </c>
      <c r="H50" s="96">
        <v>51600</v>
      </c>
      <c r="I50" s="81">
        <v>352000</v>
      </c>
      <c r="J50" s="95">
        <v>102100</v>
      </c>
      <c r="K50" s="96">
        <v>463100</v>
      </c>
      <c r="L50" s="96">
        <v>91800</v>
      </c>
      <c r="M50" s="81">
        <v>656900</v>
      </c>
    </row>
    <row r="51" spans="1:13">
      <c r="A51" s="80" t="s">
        <v>104</v>
      </c>
      <c r="B51" s="97">
        <v>46100</v>
      </c>
      <c r="C51" s="98">
        <v>207400</v>
      </c>
      <c r="D51" s="98">
        <v>38900</v>
      </c>
      <c r="E51" s="82">
        <v>292400</v>
      </c>
      <c r="F51" s="97">
        <v>52300</v>
      </c>
      <c r="G51" s="98">
        <v>240300</v>
      </c>
      <c r="H51" s="98">
        <v>51000</v>
      </c>
      <c r="I51" s="82">
        <v>343600</v>
      </c>
      <c r="J51" s="97">
        <v>98400</v>
      </c>
      <c r="K51" s="98">
        <v>447800</v>
      </c>
      <c r="L51" s="98">
        <v>89900</v>
      </c>
      <c r="M51" s="82">
        <v>636000</v>
      </c>
    </row>
    <row r="52" spans="1:13">
      <c r="A52" s="27" t="s">
        <v>105</v>
      </c>
      <c r="B52" s="95">
        <v>46600</v>
      </c>
      <c r="C52" s="96">
        <v>211700</v>
      </c>
      <c r="D52" s="96">
        <v>39200</v>
      </c>
      <c r="E52" s="81">
        <v>297600</v>
      </c>
      <c r="F52" s="95">
        <v>52500</v>
      </c>
      <c r="G52" s="96">
        <v>239800</v>
      </c>
      <c r="H52" s="96">
        <v>50900</v>
      </c>
      <c r="I52" s="81">
        <v>343200</v>
      </c>
      <c r="J52" s="95">
        <v>99100</v>
      </c>
      <c r="K52" s="96">
        <v>451600</v>
      </c>
      <c r="L52" s="96">
        <v>90100</v>
      </c>
      <c r="M52" s="81">
        <v>640800</v>
      </c>
    </row>
    <row r="53" spans="1:13">
      <c r="A53" s="27" t="s">
        <v>106</v>
      </c>
      <c r="B53" s="95">
        <v>45800</v>
      </c>
      <c r="C53" s="96">
        <v>211400</v>
      </c>
      <c r="D53" s="96">
        <v>39200</v>
      </c>
      <c r="E53" s="81">
        <v>296400</v>
      </c>
      <c r="F53" s="95">
        <v>53300</v>
      </c>
      <c r="G53" s="96">
        <v>242500</v>
      </c>
      <c r="H53" s="96">
        <v>52200</v>
      </c>
      <c r="I53" s="81">
        <v>348000</v>
      </c>
      <c r="J53" s="95">
        <v>99100</v>
      </c>
      <c r="K53" s="96">
        <v>454000</v>
      </c>
      <c r="L53" s="96">
        <v>91400</v>
      </c>
      <c r="M53" s="81">
        <v>644400</v>
      </c>
    </row>
    <row r="54" spans="1:13">
      <c r="A54" s="27" t="s">
        <v>107</v>
      </c>
      <c r="B54" s="95">
        <v>43100</v>
      </c>
      <c r="C54" s="96">
        <v>203000</v>
      </c>
      <c r="D54" s="96">
        <v>37900</v>
      </c>
      <c r="E54" s="81">
        <v>284000</v>
      </c>
      <c r="F54" s="95">
        <v>51600</v>
      </c>
      <c r="G54" s="96">
        <v>238200</v>
      </c>
      <c r="H54" s="96">
        <v>51800</v>
      </c>
      <c r="I54" s="81">
        <v>341600</v>
      </c>
      <c r="J54" s="95">
        <v>94700</v>
      </c>
      <c r="K54" s="96">
        <v>441200</v>
      </c>
      <c r="L54" s="96">
        <v>89600</v>
      </c>
      <c r="M54" s="81">
        <v>625500</v>
      </c>
    </row>
    <row r="55" spans="1:13">
      <c r="A55" s="80" t="s">
        <v>108</v>
      </c>
      <c r="B55" s="97">
        <v>43600</v>
      </c>
      <c r="C55" s="98">
        <v>207700</v>
      </c>
      <c r="D55" s="98">
        <v>38800</v>
      </c>
      <c r="E55" s="82">
        <v>290000</v>
      </c>
      <c r="F55" s="97">
        <v>51800</v>
      </c>
      <c r="G55" s="98">
        <v>240500</v>
      </c>
      <c r="H55" s="98">
        <v>52700</v>
      </c>
      <c r="I55" s="82">
        <v>345000</v>
      </c>
      <c r="J55" s="97">
        <v>95400</v>
      </c>
      <c r="K55" s="98">
        <v>448200</v>
      </c>
      <c r="L55" s="98">
        <v>91500</v>
      </c>
      <c r="M55" s="82">
        <v>635000</v>
      </c>
    </row>
    <row r="56" spans="1:13">
      <c r="A56" s="27" t="s">
        <v>109</v>
      </c>
      <c r="B56" s="95">
        <v>44000</v>
      </c>
      <c r="C56" s="96">
        <v>210600</v>
      </c>
      <c r="D56" s="96">
        <v>39400</v>
      </c>
      <c r="E56" s="81">
        <v>293900</v>
      </c>
      <c r="F56" s="95">
        <v>51700</v>
      </c>
      <c r="G56" s="96">
        <v>241400</v>
      </c>
      <c r="H56" s="96">
        <v>53600</v>
      </c>
      <c r="I56" s="81">
        <v>346800</v>
      </c>
      <c r="J56" s="95">
        <v>95700</v>
      </c>
      <c r="K56" s="96">
        <v>452000</v>
      </c>
      <c r="L56" s="96">
        <v>93000</v>
      </c>
      <c r="M56" s="81">
        <v>640700</v>
      </c>
    </row>
    <row r="57" spans="1:13">
      <c r="A57" s="27" t="s">
        <v>110</v>
      </c>
      <c r="B57" s="95">
        <v>40000</v>
      </c>
      <c r="C57" s="96">
        <v>199800</v>
      </c>
      <c r="D57" s="96">
        <v>37900</v>
      </c>
      <c r="E57" s="81">
        <v>277800</v>
      </c>
      <c r="F57" s="95">
        <v>49600</v>
      </c>
      <c r="G57" s="96">
        <v>235100</v>
      </c>
      <c r="H57" s="96">
        <v>53900</v>
      </c>
      <c r="I57" s="81">
        <v>338600</v>
      </c>
      <c r="J57" s="95">
        <v>89700</v>
      </c>
      <c r="K57" s="96">
        <v>434900</v>
      </c>
      <c r="L57" s="96">
        <v>91800</v>
      </c>
      <c r="M57" s="81">
        <v>616500</v>
      </c>
    </row>
    <row r="58" spans="1:13">
      <c r="A58" s="27" t="s">
        <v>111</v>
      </c>
      <c r="B58" s="95">
        <v>38100</v>
      </c>
      <c r="C58" s="96">
        <v>188800</v>
      </c>
      <c r="D58" s="96">
        <v>36100</v>
      </c>
      <c r="E58" s="81">
        <v>263000</v>
      </c>
      <c r="F58" s="95">
        <v>47800</v>
      </c>
      <c r="G58" s="96">
        <v>228500</v>
      </c>
      <c r="H58" s="96">
        <v>53300</v>
      </c>
      <c r="I58" s="81">
        <v>329600</v>
      </c>
      <c r="J58" s="95">
        <v>86000</v>
      </c>
      <c r="K58" s="96">
        <v>417300</v>
      </c>
      <c r="L58" s="96">
        <v>89400</v>
      </c>
      <c r="M58" s="81">
        <v>592600</v>
      </c>
    </row>
    <row r="59" spans="1:13">
      <c r="A59" s="80" t="s">
        <v>112</v>
      </c>
      <c r="B59" s="97">
        <v>37400</v>
      </c>
      <c r="C59" s="98">
        <v>183900</v>
      </c>
      <c r="D59" s="98">
        <v>35300</v>
      </c>
      <c r="E59" s="82">
        <v>256500</v>
      </c>
      <c r="F59" s="97">
        <v>47300</v>
      </c>
      <c r="G59" s="98">
        <v>224000</v>
      </c>
      <c r="H59" s="98">
        <v>53500</v>
      </c>
      <c r="I59" s="82">
        <v>324900</v>
      </c>
      <c r="J59" s="97">
        <v>84700</v>
      </c>
      <c r="K59" s="98">
        <v>407900</v>
      </c>
      <c r="L59" s="98">
        <v>88800</v>
      </c>
      <c r="M59" s="82">
        <v>581400</v>
      </c>
    </row>
    <row r="60" spans="1:13">
      <c r="A60" s="27" t="s">
        <v>113</v>
      </c>
      <c r="B60" s="95">
        <v>37400</v>
      </c>
      <c r="C60" s="96">
        <v>178100</v>
      </c>
      <c r="D60" s="96">
        <v>34200</v>
      </c>
      <c r="E60" s="81">
        <v>249700</v>
      </c>
      <c r="F60" s="95">
        <v>46700</v>
      </c>
      <c r="G60" s="96">
        <v>220200</v>
      </c>
      <c r="H60" s="96">
        <v>53800</v>
      </c>
      <c r="I60" s="81">
        <v>320700</v>
      </c>
      <c r="J60" s="95">
        <v>84100</v>
      </c>
      <c r="K60" s="96">
        <v>398300</v>
      </c>
      <c r="L60" s="96">
        <v>88100</v>
      </c>
      <c r="M60" s="81">
        <v>570400</v>
      </c>
    </row>
    <row r="61" spans="1:13">
      <c r="A61" s="27" t="s">
        <v>114</v>
      </c>
      <c r="B61" s="95">
        <v>42000</v>
      </c>
      <c r="C61" s="96">
        <v>188400</v>
      </c>
      <c r="D61" s="96">
        <v>35200</v>
      </c>
      <c r="E61" s="81">
        <v>265600</v>
      </c>
      <c r="F61" s="95">
        <v>50100</v>
      </c>
      <c r="G61" s="96">
        <v>227600</v>
      </c>
      <c r="H61" s="96">
        <v>55600</v>
      </c>
      <c r="I61" s="81">
        <v>333300</v>
      </c>
      <c r="J61" s="95">
        <v>92200</v>
      </c>
      <c r="K61" s="96">
        <v>416000</v>
      </c>
      <c r="L61" s="96">
        <v>90800</v>
      </c>
      <c r="M61" s="81">
        <v>598900</v>
      </c>
    </row>
    <row r="62" spans="1:13">
      <c r="A62" s="27" t="s">
        <v>115</v>
      </c>
      <c r="B62" s="95">
        <v>50800</v>
      </c>
      <c r="C62" s="96">
        <v>208700</v>
      </c>
      <c r="D62" s="96">
        <v>37300</v>
      </c>
      <c r="E62" s="81">
        <v>296700</v>
      </c>
      <c r="F62" s="95">
        <v>55500</v>
      </c>
      <c r="G62" s="96">
        <v>244500</v>
      </c>
      <c r="H62" s="96">
        <v>59000</v>
      </c>
      <c r="I62" s="81">
        <v>359000</v>
      </c>
      <c r="J62" s="95">
        <v>106200</v>
      </c>
      <c r="K62" s="96">
        <v>453200</v>
      </c>
      <c r="L62" s="96">
        <v>96300</v>
      </c>
      <c r="M62" s="81">
        <v>655700</v>
      </c>
    </row>
    <row r="63" spans="1:13">
      <c r="A63" s="80" t="s">
        <v>116</v>
      </c>
      <c r="B63" s="97">
        <v>52600</v>
      </c>
      <c r="C63" s="98">
        <v>221300</v>
      </c>
      <c r="D63" s="98">
        <v>38800</v>
      </c>
      <c r="E63" s="82">
        <v>312700</v>
      </c>
      <c r="F63" s="97">
        <v>57200</v>
      </c>
      <c r="G63" s="98">
        <v>254900</v>
      </c>
      <c r="H63" s="98">
        <v>61600</v>
      </c>
      <c r="I63" s="82">
        <v>373700</v>
      </c>
      <c r="J63" s="97">
        <v>109800</v>
      </c>
      <c r="K63" s="98">
        <v>476300</v>
      </c>
      <c r="L63" s="98">
        <v>100300</v>
      </c>
      <c r="M63" s="82">
        <v>686400</v>
      </c>
    </row>
    <row r="64" spans="1:13">
      <c r="A64" s="27" t="s">
        <v>117</v>
      </c>
      <c r="B64" s="95">
        <v>55100</v>
      </c>
      <c r="C64" s="96">
        <v>232700</v>
      </c>
      <c r="D64" s="96">
        <v>40900</v>
      </c>
      <c r="E64" s="81">
        <v>328700</v>
      </c>
      <c r="F64" s="95">
        <v>58600</v>
      </c>
      <c r="G64" s="96">
        <v>263800</v>
      </c>
      <c r="H64" s="96">
        <v>64300</v>
      </c>
      <c r="I64" s="81">
        <v>386700</v>
      </c>
      <c r="J64" s="95">
        <v>113700</v>
      </c>
      <c r="K64" s="96">
        <v>496500</v>
      </c>
      <c r="L64" s="96">
        <v>105200</v>
      </c>
      <c r="M64" s="81">
        <v>715400</v>
      </c>
    </row>
    <row r="65" spans="1:13">
      <c r="A65" s="27" t="s">
        <v>118</v>
      </c>
      <c r="B65" s="95">
        <v>57400</v>
      </c>
      <c r="C65" s="96">
        <v>247600</v>
      </c>
      <c r="D65" s="96">
        <v>43400</v>
      </c>
      <c r="E65" s="81">
        <v>348500</v>
      </c>
      <c r="F65" s="95">
        <v>59300</v>
      </c>
      <c r="G65" s="96">
        <v>269800</v>
      </c>
      <c r="H65" s="96">
        <v>66200</v>
      </c>
      <c r="I65" s="81">
        <v>395300</v>
      </c>
      <c r="J65" s="95">
        <v>116700</v>
      </c>
      <c r="K65" s="96">
        <v>517500</v>
      </c>
      <c r="L65" s="96">
        <v>109600</v>
      </c>
      <c r="M65" s="81">
        <v>743700</v>
      </c>
    </row>
    <row r="66" spans="1:13">
      <c r="A66" s="27" t="s">
        <v>119</v>
      </c>
      <c r="B66" s="95">
        <v>59700</v>
      </c>
      <c r="C66" s="96">
        <v>259200</v>
      </c>
      <c r="D66" s="96">
        <v>46100</v>
      </c>
      <c r="E66" s="81">
        <v>365000</v>
      </c>
      <c r="F66" s="95">
        <v>60900</v>
      </c>
      <c r="G66" s="96">
        <v>278500</v>
      </c>
      <c r="H66" s="96">
        <v>68500</v>
      </c>
      <c r="I66" s="81">
        <v>407800</v>
      </c>
      <c r="J66" s="95">
        <v>120700</v>
      </c>
      <c r="K66" s="96">
        <v>537600</v>
      </c>
      <c r="L66" s="96">
        <v>114500</v>
      </c>
      <c r="M66" s="81">
        <v>772800</v>
      </c>
    </row>
    <row r="67" spans="1:13">
      <c r="A67" s="80" t="s">
        <v>120</v>
      </c>
      <c r="B67" s="97">
        <v>61200</v>
      </c>
      <c r="C67" s="98">
        <v>270000</v>
      </c>
      <c r="D67" s="98">
        <v>48300</v>
      </c>
      <c r="E67" s="82">
        <v>379600</v>
      </c>
      <c r="F67" s="97">
        <v>62100</v>
      </c>
      <c r="G67" s="98">
        <v>286600</v>
      </c>
      <c r="H67" s="98">
        <v>71500</v>
      </c>
      <c r="I67" s="82">
        <v>420200</v>
      </c>
      <c r="J67" s="97">
        <v>123200</v>
      </c>
      <c r="K67" s="98">
        <v>556700</v>
      </c>
      <c r="L67" s="98">
        <v>119900</v>
      </c>
      <c r="M67" s="82">
        <v>799800</v>
      </c>
    </row>
    <row r="68" spans="1:13">
      <c r="A68" s="27" t="s">
        <v>121</v>
      </c>
      <c r="B68" s="95">
        <v>62200</v>
      </c>
      <c r="C68" s="96">
        <v>280600</v>
      </c>
      <c r="D68" s="96">
        <v>52100</v>
      </c>
      <c r="E68" s="81">
        <v>394900</v>
      </c>
      <c r="F68" s="95">
        <v>63300</v>
      </c>
      <c r="G68" s="96">
        <v>292800</v>
      </c>
      <c r="H68" s="96">
        <v>74300</v>
      </c>
      <c r="I68" s="81">
        <v>430500</v>
      </c>
      <c r="J68" s="95">
        <v>125500</v>
      </c>
      <c r="K68" s="96">
        <v>573500</v>
      </c>
      <c r="L68" s="96">
        <v>126300</v>
      </c>
      <c r="M68" s="81">
        <v>825300</v>
      </c>
    </row>
    <row r="69" spans="1:13">
      <c r="A69" s="27" t="s">
        <v>122</v>
      </c>
      <c r="B69" s="95">
        <v>62100</v>
      </c>
      <c r="C69" s="96">
        <v>286100</v>
      </c>
      <c r="D69" s="96">
        <v>54500</v>
      </c>
      <c r="E69" s="81">
        <v>402800</v>
      </c>
      <c r="F69" s="95">
        <v>65100</v>
      </c>
      <c r="G69" s="96">
        <v>300500</v>
      </c>
      <c r="H69" s="96">
        <v>77300</v>
      </c>
      <c r="I69" s="81">
        <v>442900</v>
      </c>
      <c r="J69" s="95">
        <v>127200</v>
      </c>
      <c r="K69" s="96">
        <v>586700</v>
      </c>
      <c r="L69" s="96">
        <v>131800</v>
      </c>
      <c r="M69" s="81">
        <v>845600</v>
      </c>
    </row>
    <row r="70" spans="1:13">
      <c r="A70" s="27" t="s">
        <v>123</v>
      </c>
      <c r="B70" s="95">
        <v>61400</v>
      </c>
      <c r="C70" s="96">
        <v>282500</v>
      </c>
      <c r="D70" s="96">
        <v>55800</v>
      </c>
      <c r="E70" s="81">
        <v>399700</v>
      </c>
      <c r="F70" s="95">
        <v>65100</v>
      </c>
      <c r="G70" s="96">
        <v>302800</v>
      </c>
      <c r="H70" s="96">
        <v>79700</v>
      </c>
      <c r="I70" s="81">
        <v>447600</v>
      </c>
      <c r="J70" s="95">
        <v>126500</v>
      </c>
      <c r="K70" s="96">
        <v>585300</v>
      </c>
      <c r="L70" s="96">
        <v>135500</v>
      </c>
      <c r="M70" s="81">
        <v>847400</v>
      </c>
    </row>
    <row r="71" spans="1:13">
      <c r="A71" s="80" t="s">
        <v>124</v>
      </c>
      <c r="B71" s="97">
        <v>60600</v>
      </c>
      <c r="C71" s="98">
        <v>285600</v>
      </c>
      <c r="D71" s="98">
        <v>57000</v>
      </c>
      <c r="E71" s="82">
        <v>403100</v>
      </c>
      <c r="F71" s="97">
        <v>65500</v>
      </c>
      <c r="G71" s="98">
        <v>305700</v>
      </c>
      <c r="H71" s="98">
        <v>82000</v>
      </c>
      <c r="I71" s="82">
        <v>453200</v>
      </c>
      <c r="J71" s="97">
        <v>126000</v>
      </c>
      <c r="K71" s="98">
        <v>591300</v>
      </c>
      <c r="L71" s="98">
        <v>139000</v>
      </c>
      <c r="M71" s="82">
        <v>856300</v>
      </c>
    </row>
    <row r="72" spans="1:13">
      <c r="A72" s="27" t="s">
        <v>125</v>
      </c>
      <c r="B72" s="95">
        <v>60600</v>
      </c>
      <c r="C72" s="96">
        <v>285600</v>
      </c>
      <c r="D72" s="96">
        <v>58000</v>
      </c>
      <c r="E72" s="81">
        <v>404200</v>
      </c>
      <c r="F72" s="95">
        <v>66600</v>
      </c>
      <c r="G72" s="96">
        <v>308900</v>
      </c>
      <c r="H72" s="96">
        <v>84100</v>
      </c>
      <c r="I72" s="81">
        <v>459600</v>
      </c>
      <c r="J72" s="95">
        <v>127200</v>
      </c>
      <c r="K72" s="96">
        <v>594500</v>
      </c>
      <c r="L72" s="96">
        <v>142100</v>
      </c>
      <c r="M72" s="81">
        <v>863800</v>
      </c>
    </row>
    <row r="73" spans="1:13">
      <c r="A73" s="27" t="s">
        <v>126</v>
      </c>
      <c r="B73" s="95">
        <v>61700</v>
      </c>
      <c r="C73" s="96">
        <v>288800</v>
      </c>
      <c r="D73" s="96">
        <v>59400</v>
      </c>
      <c r="E73" s="81">
        <v>409900</v>
      </c>
      <c r="F73" s="95">
        <v>68100</v>
      </c>
      <c r="G73" s="96">
        <v>312700</v>
      </c>
      <c r="H73" s="96">
        <v>86600</v>
      </c>
      <c r="I73" s="81">
        <v>467400</v>
      </c>
      <c r="J73" s="95">
        <v>129800</v>
      </c>
      <c r="K73" s="96">
        <v>601500</v>
      </c>
      <c r="L73" s="96">
        <v>146000</v>
      </c>
      <c r="M73" s="81">
        <v>877300</v>
      </c>
    </row>
    <row r="74" spans="1:13">
      <c r="A74" s="27" t="s">
        <v>127</v>
      </c>
      <c r="B74" s="95">
        <v>62400</v>
      </c>
      <c r="C74" s="96">
        <v>289200</v>
      </c>
      <c r="D74" s="96">
        <v>60100</v>
      </c>
      <c r="E74" s="81">
        <v>411700</v>
      </c>
      <c r="F74" s="95">
        <v>68500</v>
      </c>
      <c r="G74" s="96">
        <v>317600</v>
      </c>
      <c r="H74" s="96">
        <v>89100</v>
      </c>
      <c r="I74" s="81">
        <v>475100</v>
      </c>
      <c r="J74" s="95">
        <v>130900</v>
      </c>
      <c r="K74" s="96">
        <v>606800</v>
      </c>
      <c r="L74" s="96">
        <v>149100</v>
      </c>
      <c r="M74" s="81">
        <v>886800</v>
      </c>
    </row>
    <row r="75" spans="1:13">
      <c r="A75" s="80" t="s">
        <v>128</v>
      </c>
      <c r="B75" s="97">
        <v>62800</v>
      </c>
      <c r="C75" s="98">
        <v>289100</v>
      </c>
      <c r="D75" s="98">
        <v>60700</v>
      </c>
      <c r="E75" s="82">
        <v>412600</v>
      </c>
      <c r="F75" s="97">
        <v>69400</v>
      </c>
      <c r="G75" s="98">
        <v>319600</v>
      </c>
      <c r="H75" s="98">
        <v>91300</v>
      </c>
      <c r="I75" s="82">
        <v>480300</v>
      </c>
      <c r="J75" s="97">
        <v>132200</v>
      </c>
      <c r="K75" s="98">
        <v>608700</v>
      </c>
      <c r="L75" s="98">
        <v>152000</v>
      </c>
      <c r="M75" s="82">
        <v>892900</v>
      </c>
    </row>
    <row r="76" spans="1:13">
      <c r="A76" s="27" t="s">
        <v>129</v>
      </c>
      <c r="B76" s="95">
        <v>64300</v>
      </c>
      <c r="C76" s="96">
        <v>292900</v>
      </c>
      <c r="D76" s="96">
        <v>61700</v>
      </c>
      <c r="E76" s="81">
        <v>418800</v>
      </c>
      <c r="F76" s="95">
        <v>70200</v>
      </c>
      <c r="G76" s="96">
        <v>322300</v>
      </c>
      <c r="H76" s="96">
        <v>93000</v>
      </c>
      <c r="I76" s="81">
        <v>485500</v>
      </c>
      <c r="J76" s="95">
        <v>134400</v>
      </c>
      <c r="K76" s="96">
        <v>615200</v>
      </c>
      <c r="L76" s="96">
        <v>154700</v>
      </c>
      <c r="M76" s="81">
        <v>904300</v>
      </c>
    </row>
    <row r="77" spans="1:13">
      <c r="A77" s="27" t="s">
        <v>130</v>
      </c>
      <c r="B77" s="95">
        <v>65100</v>
      </c>
      <c r="C77" s="96">
        <v>300700</v>
      </c>
      <c r="D77" s="96">
        <v>63700</v>
      </c>
      <c r="E77" s="81">
        <v>429500</v>
      </c>
      <c r="F77" s="95">
        <v>70000</v>
      </c>
      <c r="G77" s="96">
        <v>324400</v>
      </c>
      <c r="H77" s="96">
        <v>94000</v>
      </c>
      <c r="I77" s="81">
        <v>488300</v>
      </c>
      <c r="J77" s="95">
        <v>135100</v>
      </c>
      <c r="K77" s="96">
        <v>625000</v>
      </c>
      <c r="L77" s="96">
        <v>157800</v>
      </c>
      <c r="M77" s="81">
        <v>917900</v>
      </c>
    </row>
    <row r="78" spans="1:13">
      <c r="A78" s="27" t="s">
        <v>131</v>
      </c>
      <c r="B78" s="95">
        <v>66800</v>
      </c>
      <c r="C78" s="96">
        <v>307400</v>
      </c>
      <c r="D78" s="96">
        <v>65600</v>
      </c>
      <c r="E78" s="81">
        <v>439900</v>
      </c>
      <c r="F78" s="95">
        <v>70300</v>
      </c>
      <c r="G78" s="96">
        <v>329100</v>
      </c>
      <c r="H78" s="96">
        <v>96000</v>
      </c>
      <c r="I78" s="81">
        <v>495500</v>
      </c>
      <c r="J78" s="95">
        <v>137200</v>
      </c>
      <c r="K78" s="96">
        <v>636500</v>
      </c>
      <c r="L78" s="96">
        <v>161600</v>
      </c>
      <c r="M78" s="81">
        <v>935300</v>
      </c>
    </row>
    <row r="79" spans="1:13">
      <c r="A79" s="80" t="s">
        <v>132</v>
      </c>
      <c r="B79" s="97">
        <v>68500</v>
      </c>
      <c r="C79" s="98">
        <v>320200</v>
      </c>
      <c r="D79" s="98">
        <v>68300</v>
      </c>
      <c r="E79" s="82">
        <v>457100</v>
      </c>
      <c r="F79" s="97">
        <v>71500</v>
      </c>
      <c r="G79" s="98">
        <v>337600</v>
      </c>
      <c r="H79" s="98">
        <v>99300</v>
      </c>
      <c r="I79" s="82">
        <v>508400</v>
      </c>
      <c r="J79" s="97">
        <v>140000</v>
      </c>
      <c r="K79" s="98">
        <v>657800</v>
      </c>
      <c r="L79" s="98">
        <v>167600</v>
      </c>
      <c r="M79" s="82">
        <v>965400</v>
      </c>
    </row>
    <row r="80" spans="1:13">
      <c r="A80" s="27" t="s">
        <v>133</v>
      </c>
      <c r="B80" s="95">
        <v>68100</v>
      </c>
      <c r="C80" s="96">
        <v>321800</v>
      </c>
      <c r="D80" s="96">
        <v>69600</v>
      </c>
      <c r="E80" s="81">
        <v>459500</v>
      </c>
      <c r="F80" s="95">
        <v>71200</v>
      </c>
      <c r="G80" s="96">
        <v>340400</v>
      </c>
      <c r="H80" s="96">
        <v>101500</v>
      </c>
      <c r="I80" s="81">
        <v>513100</v>
      </c>
      <c r="J80" s="95">
        <v>139300</v>
      </c>
      <c r="K80" s="96">
        <v>662200</v>
      </c>
      <c r="L80" s="96">
        <v>171100</v>
      </c>
      <c r="M80" s="81">
        <v>972600</v>
      </c>
    </row>
    <row r="81" spans="1:13">
      <c r="A81" s="27" t="s">
        <v>134</v>
      </c>
      <c r="B81" s="95">
        <v>69400</v>
      </c>
      <c r="C81" s="96">
        <v>327900</v>
      </c>
      <c r="D81" s="96">
        <v>71600</v>
      </c>
      <c r="E81" s="81">
        <v>468800</v>
      </c>
      <c r="F81" s="95">
        <v>72500</v>
      </c>
      <c r="G81" s="96">
        <v>347200</v>
      </c>
      <c r="H81" s="96">
        <v>104200</v>
      </c>
      <c r="I81" s="81">
        <v>523900</v>
      </c>
      <c r="J81" s="95">
        <v>141900</v>
      </c>
      <c r="K81" s="96">
        <v>675100</v>
      </c>
      <c r="L81" s="96">
        <v>175800</v>
      </c>
      <c r="M81" s="81">
        <v>992800</v>
      </c>
    </row>
    <row r="82" spans="1:13">
      <c r="A82" s="27" t="s">
        <v>135</v>
      </c>
      <c r="B82" s="95">
        <v>70600</v>
      </c>
      <c r="C82" s="96">
        <v>338700</v>
      </c>
      <c r="D82" s="96">
        <v>74400</v>
      </c>
      <c r="E82" s="81">
        <v>483600</v>
      </c>
      <c r="F82" s="95">
        <v>73900</v>
      </c>
      <c r="G82" s="96">
        <v>357400</v>
      </c>
      <c r="H82" s="96">
        <v>107100</v>
      </c>
      <c r="I82" s="81">
        <v>538400</v>
      </c>
      <c r="J82" s="95">
        <v>144400</v>
      </c>
      <c r="K82" s="96">
        <v>696000</v>
      </c>
      <c r="L82" s="96">
        <v>181500</v>
      </c>
      <c r="M82" s="81">
        <v>1022000</v>
      </c>
    </row>
    <row r="83" spans="1:13">
      <c r="A83" s="80" t="s">
        <v>136</v>
      </c>
      <c r="B83" s="97">
        <v>72500</v>
      </c>
      <c r="C83" s="98">
        <v>347200</v>
      </c>
      <c r="D83" s="98">
        <v>77000</v>
      </c>
      <c r="E83" s="82">
        <v>496600</v>
      </c>
      <c r="F83" s="97">
        <v>76100</v>
      </c>
      <c r="G83" s="98">
        <v>370000</v>
      </c>
      <c r="H83" s="98">
        <v>110900</v>
      </c>
      <c r="I83" s="82">
        <v>557000</v>
      </c>
      <c r="J83" s="97">
        <v>148600</v>
      </c>
      <c r="K83" s="98">
        <v>717100</v>
      </c>
      <c r="L83" s="98">
        <v>187900</v>
      </c>
      <c r="M83" s="82">
        <v>1053600</v>
      </c>
    </row>
    <row r="84" spans="1:13">
      <c r="A84" s="27" t="s">
        <v>137</v>
      </c>
      <c r="B84" s="95">
        <v>75900</v>
      </c>
      <c r="C84" s="96">
        <v>361900</v>
      </c>
      <c r="D84" s="96">
        <v>81100</v>
      </c>
      <c r="E84" s="81">
        <v>519000</v>
      </c>
      <c r="F84" s="95">
        <v>79600</v>
      </c>
      <c r="G84" s="96">
        <v>386400</v>
      </c>
      <c r="H84" s="96">
        <v>116200</v>
      </c>
      <c r="I84" s="81">
        <v>582300</v>
      </c>
      <c r="J84" s="95">
        <v>155500</v>
      </c>
      <c r="K84" s="96">
        <v>748400</v>
      </c>
      <c r="L84" s="96">
        <v>197400</v>
      </c>
      <c r="M84" s="81">
        <v>1101200</v>
      </c>
    </row>
    <row r="85" spans="1:13">
      <c r="A85" s="27" t="s">
        <v>138</v>
      </c>
      <c r="B85" s="95">
        <v>79700</v>
      </c>
      <c r="C85" s="96">
        <v>380100</v>
      </c>
      <c r="D85" s="96">
        <v>85500</v>
      </c>
      <c r="E85" s="81">
        <v>545300</v>
      </c>
      <c r="F85" s="95">
        <v>84900</v>
      </c>
      <c r="G85" s="96">
        <v>404600</v>
      </c>
      <c r="H85" s="96">
        <v>121700</v>
      </c>
      <c r="I85" s="81">
        <v>611200</v>
      </c>
      <c r="J85" s="95">
        <v>164500</v>
      </c>
      <c r="K85" s="96">
        <v>784800</v>
      </c>
      <c r="L85" s="96">
        <v>207300</v>
      </c>
      <c r="M85" s="81">
        <v>1156500</v>
      </c>
    </row>
    <row r="86" spans="1:13">
      <c r="A86" s="27" t="s">
        <v>139</v>
      </c>
      <c r="B86" s="95">
        <v>79600</v>
      </c>
      <c r="C86" s="96">
        <v>387100</v>
      </c>
      <c r="D86" s="96">
        <v>88400</v>
      </c>
      <c r="E86" s="81">
        <v>555100</v>
      </c>
      <c r="F86" s="95">
        <v>84800</v>
      </c>
      <c r="G86" s="96">
        <v>411900</v>
      </c>
      <c r="H86" s="96">
        <v>125300</v>
      </c>
      <c r="I86" s="81">
        <v>621900</v>
      </c>
      <c r="J86" s="95">
        <v>164400</v>
      </c>
      <c r="K86" s="96">
        <v>799000</v>
      </c>
      <c r="L86" s="96">
        <v>213600</v>
      </c>
      <c r="M86" s="81">
        <v>1177000</v>
      </c>
    </row>
    <row r="87" spans="1:13">
      <c r="A87" s="80" t="s">
        <v>140</v>
      </c>
      <c r="B87" s="97">
        <v>79500</v>
      </c>
      <c r="C87" s="98">
        <v>389500</v>
      </c>
      <c r="D87" s="98">
        <v>90100</v>
      </c>
      <c r="E87" s="82">
        <v>559100</v>
      </c>
      <c r="F87" s="97">
        <v>84800</v>
      </c>
      <c r="G87" s="98">
        <v>415300</v>
      </c>
      <c r="H87" s="98">
        <v>127200</v>
      </c>
      <c r="I87" s="82">
        <v>627300</v>
      </c>
      <c r="J87" s="97">
        <v>164300</v>
      </c>
      <c r="K87" s="98">
        <v>804800</v>
      </c>
      <c r="L87" s="98">
        <v>217200</v>
      </c>
      <c r="M87" s="82">
        <v>1186300</v>
      </c>
    </row>
    <row r="88" spans="1:13">
      <c r="A88" s="27" t="s">
        <v>141</v>
      </c>
      <c r="B88" s="95">
        <v>79800</v>
      </c>
      <c r="C88" s="96">
        <v>393700</v>
      </c>
      <c r="D88" s="96">
        <v>93400</v>
      </c>
      <c r="E88" s="81">
        <v>566900</v>
      </c>
      <c r="F88" s="95">
        <v>85700</v>
      </c>
      <c r="G88" s="96">
        <v>425300</v>
      </c>
      <c r="H88" s="96">
        <v>131300</v>
      </c>
      <c r="I88" s="81">
        <v>642300</v>
      </c>
      <c r="J88" s="95">
        <v>165600</v>
      </c>
      <c r="K88" s="96">
        <v>819000</v>
      </c>
      <c r="L88" s="96">
        <v>224600</v>
      </c>
      <c r="M88" s="81">
        <v>1209200</v>
      </c>
    </row>
    <row r="89" spans="1:13">
      <c r="A89" s="27" t="s">
        <v>142</v>
      </c>
      <c r="B89" s="95">
        <v>77600</v>
      </c>
      <c r="C89" s="96">
        <v>392700</v>
      </c>
      <c r="D89" s="96">
        <v>95400</v>
      </c>
      <c r="E89" s="81">
        <v>565700</v>
      </c>
      <c r="F89" s="95">
        <v>84400</v>
      </c>
      <c r="G89" s="96">
        <v>426500</v>
      </c>
      <c r="H89" s="96">
        <v>133900</v>
      </c>
      <c r="I89" s="81">
        <v>644800</v>
      </c>
      <c r="J89" s="95">
        <v>162000</v>
      </c>
      <c r="K89" s="96">
        <v>819200</v>
      </c>
      <c r="L89" s="96">
        <v>229300</v>
      </c>
      <c r="M89" s="81">
        <v>1210500</v>
      </c>
    </row>
    <row r="90" spans="1:13">
      <c r="A90" s="27" t="s">
        <v>143</v>
      </c>
      <c r="B90" s="95">
        <v>80900</v>
      </c>
      <c r="C90" s="96">
        <v>409400</v>
      </c>
      <c r="D90" s="96">
        <v>101400</v>
      </c>
      <c r="E90" s="81">
        <v>591700</v>
      </c>
      <c r="F90" s="95">
        <v>86700</v>
      </c>
      <c r="G90" s="96">
        <v>443000</v>
      </c>
      <c r="H90" s="96">
        <v>140500</v>
      </c>
      <c r="I90" s="81">
        <v>670200</v>
      </c>
      <c r="J90" s="95">
        <v>167600</v>
      </c>
      <c r="K90" s="96">
        <v>852400</v>
      </c>
      <c r="L90" s="96">
        <v>242000</v>
      </c>
      <c r="M90" s="81">
        <v>1261900</v>
      </c>
    </row>
    <row r="91" spans="1:13">
      <c r="A91" s="80" t="s">
        <v>144</v>
      </c>
      <c r="B91" s="97">
        <v>81600</v>
      </c>
      <c r="C91" s="98">
        <v>421800</v>
      </c>
      <c r="D91" s="98">
        <v>106800</v>
      </c>
      <c r="E91" s="82">
        <v>610300</v>
      </c>
      <c r="F91" s="97">
        <v>87500</v>
      </c>
      <c r="G91" s="98">
        <v>456800</v>
      </c>
      <c r="H91" s="98">
        <v>147600</v>
      </c>
      <c r="I91" s="82">
        <v>691900</v>
      </c>
      <c r="J91" s="97">
        <v>169100</v>
      </c>
      <c r="K91" s="98">
        <v>878600</v>
      </c>
      <c r="L91" s="98">
        <v>254400</v>
      </c>
      <c r="M91" s="82">
        <v>1302200</v>
      </c>
    </row>
    <row r="92" spans="1:13">
      <c r="A92" s="27" t="s">
        <v>145</v>
      </c>
      <c r="B92" s="95">
        <v>79900</v>
      </c>
      <c r="C92" s="96">
        <v>426900</v>
      </c>
      <c r="D92" s="96">
        <v>110900</v>
      </c>
      <c r="E92" s="81">
        <v>617700</v>
      </c>
      <c r="F92" s="95">
        <v>87000</v>
      </c>
      <c r="G92" s="96">
        <v>468800</v>
      </c>
      <c r="H92" s="96">
        <v>154200</v>
      </c>
      <c r="I92" s="81">
        <v>710000</v>
      </c>
      <c r="J92" s="95">
        <v>166900</v>
      </c>
      <c r="K92" s="96">
        <v>895700</v>
      </c>
      <c r="L92" s="96">
        <v>265100</v>
      </c>
      <c r="M92" s="81">
        <v>1327700</v>
      </c>
    </row>
    <row r="93" spans="1:13">
      <c r="A93" s="27" t="s">
        <v>146</v>
      </c>
      <c r="B93" s="95">
        <v>81800</v>
      </c>
      <c r="C93" s="96">
        <v>438000</v>
      </c>
      <c r="D93" s="96">
        <v>115700</v>
      </c>
      <c r="E93" s="81">
        <v>635500</v>
      </c>
      <c r="F93" s="95">
        <v>89600</v>
      </c>
      <c r="G93" s="96">
        <v>479600</v>
      </c>
      <c r="H93" s="96">
        <v>158600</v>
      </c>
      <c r="I93" s="81">
        <v>727800</v>
      </c>
      <c r="J93" s="95">
        <v>171400</v>
      </c>
      <c r="K93" s="96">
        <v>917600</v>
      </c>
      <c r="L93" s="96">
        <v>274300</v>
      </c>
      <c r="M93" s="81">
        <v>1363300</v>
      </c>
    </row>
    <row r="94" spans="1:13">
      <c r="A94" s="27" t="s">
        <v>147</v>
      </c>
      <c r="B94" s="95">
        <v>82700</v>
      </c>
      <c r="C94" s="96">
        <v>446200</v>
      </c>
      <c r="D94" s="96">
        <v>119700</v>
      </c>
      <c r="E94" s="81">
        <v>648600</v>
      </c>
      <c r="F94" s="95">
        <v>92000</v>
      </c>
      <c r="G94" s="96">
        <v>491100</v>
      </c>
      <c r="H94" s="96">
        <v>164300</v>
      </c>
      <c r="I94" s="81">
        <v>747400</v>
      </c>
      <c r="J94" s="95">
        <v>174700</v>
      </c>
      <c r="K94" s="96">
        <v>937300</v>
      </c>
      <c r="L94" s="96">
        <v>283900</v>
      </c>
      <c r="M94" s="81">
        <v>1396000</v>
      </c>
    </row>
    <row r="95" spans="1:13">
      <c r="A95" s="80" t="s">
        <v>148</v>
      </c>
      <c r="B95" s="97">
        <v>84500</v>
      </c>
      <c r="C95" s="98">
        <v>455800</v>
      </c>
      <c r="D95" s="98">
        <v>124900</v>
      </c>
      <c r="E95" s="82">
        <v>665200</v>
      </c>
      <c r="F95" s="97">
        <v>93300</v>
      </c>
      <c r="G95" s="98">
        <v>505500</v>
      </c>
      <c r="H95" s="98">
        <v>170300</v>
      </c>
      <c r="I95" s="82">
        <v>769100</v>
      </c>
      <c r="J95" s="97">
        <v>177800</v>
      </c>
      <c r="K95" s="98">
        <v>961300</v>
      </c>
      <c r="L95" s="98">
        <v>295200</v>
      </c>
      <c r="M95" s="82">
        <v>1434300</v>
      </c>
    </row>
    <row r="96" spans="1:13">
      <c r="A96" s="27" t="s">
        <v>149</v>
      </c>
      <c r="B96" s="95">
        <v>83200</v>
      </c>
      <c r="C96" s="96">
        <v>456700</v>
      </c>
      <c r="D96" s="96">
        <v>129100</v>
      </c>
      <c r="E96" s="81">
        <v>669100</v>
      </c>
      <c r="F96" s="95">
        <v>93100</v>
      </c>
      <c r="G96" s="96">
        <v>512800</v>
      </c>
      <c r="H96" s="96">
        <v>175200</v>
      </c>
      <c r="I96" s="81">
        <v>781100</v>
      </c>
      <c r="J96" s="95">
        <v>176400</v>
      </c>
      <c r="K96" s="96">
        <v>969500</v>
      </c>
      <c r="L96" s="96">
        <v>304300</v>
      </c>
      <c r="M96" s="81">
        <v>1450100</v>
      </c>
    </row>
    <row r="97" spans="1:13">
      <c r="A97" s="27" t="s">
        <v>150</v>
      </c>
      <c r="B97" s="95">
        <v>82200</v>
      </c>
      <c r="C97" s="96">
        <v>454500</v>
      </c>
      <c r="D97" s="96">
        <v>132200</v>
      </c>
      <c r="E97" s="81">
        <v>668900</v>
      </c>
      <c r="F97" s="95">
        <v>93200</v>
      </c>
      <c r="G97" s="96">
        <v>515500</v>
      </c>
      <c r="H97" s="96">
        <v>179900</v>
      </c>
      <c r="I97" s="81">
        <v>788600</v>
      </c>
      <c r="J97" s="95">
        <v>175400</v>
      </c>
      <c r="K97" s="96">
        <v>969900</v>
      </c>
      <c r="L97" s="96">
        <v>312200</v>
      </c>
      <c r="M97" s="81">
        <v>1457400</v>
      </c>
    </row>
    <row r="98" spans="1:13">
      <c r="A98" s="27" t="s">
        <v>151</v>
      </c>
      <c r="B98" s="95">
        <v>80400</v>
      </c>
      <c r="C98" s="96">
        <v>450500</v>
      </c>
      <c r="D98" s="96">
        <v>133400</v>
      </c>
      <c r="E98" s="81">
        <v>664300</v>
      </c>
      <c r="F98" s="95">
        <v>92800</v>
      </c>
      <c r="G98" s="96">
        <v>516100</v>
      </c>
      <c r="H98" s="96">
        <v>183300</v>
      </c>
      <c r="I98" s="81">
        <v>792200</v>
      </c>
      <c r="J98" s="95">
        <v>173200</v>
      </c>
      <c r="K98" s="96">
        <v>966600</v>
      </c>
      <c r="L98" s="96">
        <v>316700</v>
      </c>
      <c r="M98" s="81">
        <v>1456500</v>
      </c>
    </row>
    <row r="99" spans="1:13">
      <c r="A99" s="80" t="s">
        <v>152</v>
      </c>
      <c r="B99" s="97">
        <v>80600</v>
      </c>
      <c r="C99" s="98">
        <v>451100</v>
      </c>
      <c r="D99" s="98">
        <v>136600</v>
      </c>
      <c r="E99" s="82">
        <v>668200</v>
      </c>
      <c r="F99" s="97">
        <v>92100</v>
      </c>
      <c r="G99" s="98">
        <v>520100</v>
      </c>
      <c r="H99" s="98">
        <v>187700</v>
      </c>
      <c r="I99" s="82">
        <v>800000</v>
      </c>
      <c r="J99" s="97">
        <v>172700</v>
      </c>
      <c r="K99" s="98">
        <v>971200</v>
      </c>
      <c r="L99" s="98">
        <v>324300</v>
      </c>
      <c r="M99" s="82">
        <v>1468100</v>
      </c>
    </row>
    <row r="100" spans="1:13">
      <c r="A100" s="27" t="s">
        <v>153</v>
      </c>
      <c r="B100" s="95">
        <v>80600</v>
      </c>
      <c r="C100" s="96">
        <v>452900</v>
      </c>
      <c r="D100" s="96">
        <v>140400</v>
      </c>
      <c r="E100" s="81">
        <v>673900</v>
      </c>
      <c r="F100" s="95">
        <v>91900</v>
      </c>
      <c r="G100" s="96">
        <v>525100</v>
      </c>
      <c r="H100" s="96">
        <v>192000</v>
      </c>
      <c r="I100" s="81">
        <v>808900</v>
      </c>
      <c r="J100" s="95">
        <v>172500</v>
      </c>
      <c r="K100" s="96">
        <v>978000</v>
      </c>
      <c r="L100" s="96">
        <v>332400</v>
      </c>
      <c r="M100" s="81">
        <v>1482800</v>
      </c>
    </row>
    <row r="101" spans="1:13">
      <c r="A101" s="27" t="s">
        <v>154</v>
      </c>
      <c r="B101" s="95">
        <v>80200</v>
      </c>
      <c r="C101" s="96">
        <v>452500</v>
      </c>
      <c r="D101" s="96">
        <v>141700</v>
      </c>
      <c r="E101" s="81">
        <v>674400</v>
      </c>
      <c r="F101" s="95">
        <v>91700</v>
      </c>
      <c r="G101" s="96">
        <v>525500</v>
      </c>
      <c r="H101" s="96">
        <v>194400</v>
      </c>
      <c r="I101" s="81">
        <v>811500</v>
      </c>
      <c r="J101" s="95">
        <v>171900</v>
      </c>
      <c r="K101" s="96">
        <v>978000</v>
      </c>
      <c r="L101" s="96">
        <v>336100</v>
      </c>
      <c r="M101" s="81">
        <v>1486000</v>
      </c>
    </row>
    <row r="102" spans="1:13">
      <c r="A102" s="27" t="s">
        <v>155</v>
      </c>
      <c r="B102" s="95">
        <v>75900</v>
      </c>
      <c r="C102" s="96">
        <v>438900</v>
      </c>
      <c r="D102" s="96">
        <v>139200</v>
      </c>
      <c r="E102" s="81">
        <v>654000</v>
      </c>
      <c r="F102" s="95">
        <v>87700</v>
      </c>
      <c r="G102" s="96">
        <v>514900</v>
      </c>
      <c r="H102" s="96">
        <v>194900</v>
      </c>
      <c r="I102" s="81">
        <v>797500</v>
      </c>
      <c r="J102" s="95">
        <v>163500</v>
      </c>
      <c r="K102" s="96">
        <v>953800</v>
      </c>
      <c r="L102" s="96">
        <v>334200</v>
      </c>
      <c r="M102" s="81">
        <v>1451400</v>
      </c>
    </row>
    <row r="103" spans="1:13">
      <c r="A103" s="80" t="s">
        <v>156</v>
      </c>
      <c r="B103" s="97">
        <v>73400</v>
      </c>
      <c r="C103" s="98">
        <v>436700</v>
      </c>
      <c r="D103" s="98">
        <v>141900</v>
      </c>
      <c r="E103" s="82">
        <v>652000</v>
      </c>
      <c r="F103" s="97">
        <v>84500</v>
      </c>
      <c r="G103" s="98">
        <v>512900</v>
      </c>
      <c r="H103" s="98">
        <v>198600</v>
      </c>
      <c r="I103" s="82">
        <v>796000</v>
      </c>
      <c r="J103" s="97">
        <v>157900</v>
      </c>
      <c r="K103" s="98">
        <v>949600</v>
      </c>
      <c r="L103" s="98">
        <v>340400</v>
      </c>
      <c r="M103" s="82">
        <v>1448000</v>
      </c>
    </row>
    <row r="104" spans="1:13">
      <c r="A104" s="27" t="s">
        <v>157</v>
      </c>
      <c r="B104" s="95">
        <v>69000</v>
      </c>
      <c r="C104" s="96">
        <v>407700</v>
      </c>
      <c r="D104" s="96">
        <v>133800</v>
      </c>
      <c r="E104" s="81">
        <v>610500</v>
      </c>
      <c r="F104" s="95">
        <v>79500</v>
      </c>
      <c r="G104" s="96">
        <v>489700</v>
      </c>
      <c r="H104" s="96">
        <v>193300</v>
      </c>
      <c r="I104" s="81">
        <v>762400</v>
      </c>
      <c r="J104" s="95">
        <v>148500</v>
      </c>
      <c r="K104" s="96">
        <v>897400</v>
      </c>
      <c r="L104" s="96">
        <v>327100</v>
      </c>
      <c r="M104" s="81">
        <v>1373000</v>
      </c>
    </row>
    <row r="105" spans="1:13">
      <c r="A105" s="27" t="s">
        <v>158</v>
      </c>
      <c r="B105" s="95">
        <v>48900</v>
      </c>
      <c r="C105" s="96">
        <v>290000</v>
      </c>
      <c r="D105" s="96">
        <v>93900</v>
      </c>
      <c r="E105" s="81">
        <v>432800</v>
      </c>
      <c r="F105" s="95">
        <v>60900</v>
      </c>
      <c r="G105" s="96">
        <v>389900</v>
      </c>
      <c r="H105" s="96">
        <v>161100</v>
      </c>
      <c r="I105" s="81">
        <v>611900</v>
      </c>
      <c r="J105" s="95">
        <v>109800</v>
      </c>
      <c r="K105" s="96">
        <v>679900</v>
      </c>
      <c r="L105" s="96">
        <v>255000</v>
      </c>
      <c r="M105" s="81">
        <v>1044700</v>
      </c>
    </row>
    <row r="106" spans="1:13">
      <c r="A106" s="27" t="s">
        <v>159</v>
      </c>
      <c r="B106" s="95">
        <v>77500</v>
      </c>
      <c r="C106" s="96">
        <v>427700</v>
      </c>
      <c r="D106" s="96">
        <v>136600</v>
      </c>
      <c r="E106" s="81">
        <v>641800</v>
      </c>
      <c r="F106" s="95">
        <v>84000</v>
      </c>
      <c r="G106" s="96">
        <v>494900</v>
      </c>
      <c r="H106" s="96">
        <v>197300</v>
      </c>
      <c r="I106" s="81">
        <v>776300</v>
      </c>
      <c r="J106" s="95">
        <v>161500</v>
      </c>
      <c r="K106" s="96">
        <v>922700</v>
      </c>
      <c r="L106" s="96">
        <v>333900</v>
      </c>
      <c r="M106" s="81">
        <v>1418000</v>
      </c>
    </row>
    <row r="107" spans="1:13">
      <c r="A107" s="80" t="s">
        <v>160</v>
      </c>
      <c r="B107" s="97">
        <v>80800</v>
      </c>
      <c r="C107" s="98">
        <v>435800</v>
      </c>
      <c r="D107" s="98">
        <v>140000</v>
      </c>
      <c r="E107" s="82">
        <v>656600</v>
      </c>
      <c r="F107" s="97">
        <v>86600</v>
      </c>
      <c r="G107" s="98">
        <v>507900</v>
      </c>
      <c r="H107" s="98">
        <v>201900</v>
      </c>
      <c r="I107" s="82">
        <v>796400</v>
      </c>
      <c r="J107" s="97">
        <v>167400</v>
      </c>
      <c r="K107" s="98">
        <v>943700</v>
      </c>
      <c r="L107" s="98">
        <v>341900</v>
      </c>
      <c r="M107" s="82">
        <v>1453000</v>
      </c>
    </row>
    <row r="108" spans="1:13">
      <c r="A108" s="27" t="s">
        <v>161</v>
      </c>
      <c r="B108" s="95">
        <v>80600</v>
      </c>
      <c r="C108" s="96">
        <v>441600</v>
      </c>
      <c r="D108" s="96">
        <v>145600</v>
      </c>
      <c r="E108" s="81">
        <v>667800</v>
      </c>
      <c r="F108" s="95">
        <v>86200</v>
      </c>
      <c r="G108" s="96">
        <v>517800</v>
      </c>
      <c r="H108" s="96">
        <v>208000</v>
      </c>
      <c r="I108" s="81">
        <v>812000</v>
      </c>
      <c r="J108" s="95">
        <v>166800</v>
      </c>
      <c r="K108" s="96">
        <v>959300</v>
      </c>
      <c r="L108" s="96">
        <v>353600</v>
      </c>
      <c r="M108" s="81">
        <v>1479700</v>
      </c>
    </row>
    <row r="109" spans="1:13">
      <c r="A109" s="27" t="s">
        <v>162</v>
      </c>
      <c r="B109" s="95">
        <v>80400</v>
      </c>
      <c r="C109" s="96">
        <v>447300</v>
      </c>
      <c r="D109" s="96">
        <v>147900</v>
      </c>
      <c r="E109" s="81">
        <v>675700</v>
      </c>
      <c r="F109" s="95">
        <v>84300</v>
      </c>
      <c r="G109" s="96">
        <v>515500</v>
      </c>
      <c r="H109" s="96">
        <v>206400</v>
      </c>
      <c r="I109" s="81">
        <v>806300</v>
      </c>
      <c r="J109" s="95">
        <v>164800</v>
      </c>
      <c r="K109" s="96">
        <v>962900</v>
      </c>
      <c r="L109" s="96">
        <v>354300</v>
      </c>
      <c r="M109" s="81">
        <v>1481900</v>
      </c>
    </row>
    <row r="110" spans="1:13">
      <c r="A110" s="27" t="s">
        <v>163</v>
      </c>
      <c r="B110" s="95">
        <v>80700</v>
      </c>
      <c r="C110" s="96">
        <v>470000</v>
      </c>
      <c r="D110" s="96">
        <v>159700</v>
      </c>
      <c r="E110" s="81">
        <v>710400</v>
      </c>
      <c r="F110" s="95">
        <v>86800</v>
      </c>
      <c r="G110" s="96">
        <v>539700</v>
      </c>
      <c r="H110" s="96">
        <v>220200</v>
      </c>
      <c r="I110" s="81">
        <v>846700</v>
      </c>
      <c r="J110" s="95">
        <v>167500</v>
      </c>
      <c r="K110" s="96">
        <v>1009700</v>
      </c>
      <c r="L110" s="96">
        <v>379900</v>
      </c>
      <c r="M110" s="81">
        <v>1557100</v>
      </c>
    </row>
    <row r="111" spans="1:13">
      <c r="A111" s="80" t="s">
        <v>164</v>
      </c>
      <c r="B111" s="97">
        <v>81000</v>
      </c>
      <c r="C111" s="98">
        <v>473500</v>
      </c>
      <c r="D111" s="98">
        <v>166300</v>
      </c>
      <c r="E111" s="82">
        <v>720800</v>
      </c>
      <c r="F111" s="97">
        <v>84900</v>
      </c>
      <c r="G111" s="98">
        <v>541200</v>
      </c>
      <c r="H111" s="98">
        <v>226100</v>
      </c>
      <c r="I111" s="82">
        <v>852100</v>
      </c>
      <c r="J111" s="97">
        <v>165900</v>
      </c>
      <c r="K111" s="98">
        <v>1014700</v>
      </c>
      <c r="L111" s="98">
        <v>392400</v>
      </c>
      <c r="M111" s="82">
        <v>1572900</v>
      </c>
    </row>
    <row r="112" spans="1:13">
      <c r="A112" s="27" t="s">
        <v>165</v>
      </c>
      <c r="B112" s="95">
        <v>82200</v>
      </c>
      <c r="C112" s="96">
        <v>463400</v>
      </c>
      <c r="D112" s="96">
        <v>167800</v>
      </c>
      <c r="E112" s="81">
        <v>713400</v>
      </c>
      <c r="F112" s="95">
        <v>86600</v>
      </c>
      <c r="G112" s="96">
        <v>533500</v>
      </c>
      <c r="H112" s="96">
        <v>227500</v>
      </c>
      <c r="I112" s="81">
        <v>847500</v>
      </c>
      <c r="J112" s="95">
        <v>168800</v>
      </c>
      <c r="K112" s="96">
        <v>996900</v>
      </c>
      <c r="L112" s="96">
        <v>395300</v>
      </c>
      <c r="M112" s="81">
        <v>1561000</v>
      </c>
    </row>
    <row r="113" spans="1:13">
      <c r="A113" s="27" t="s">
        <v>166</v>
      </c>
      <c r="B113" s="95">
        <v>80200</v>
      </c>
      <c r="C113" s="96">
        <v>453000</v>
      </c>
      <c r="D113" s="96">
        <v>166200</v>
      </c>
      <c r="E113" s="81">
        <v>699400</v>
      </c>
      <c r="F113" s="95">
        <v>83800</v>
      </c>
      <c r="G113" s="96">
        <v>525300</v>
      </c>
      <c r="H113" s="96">
        <v>225500</v>
      </c>
      <c r="I113" s="81">
        <v>834700</v>
      </c>
      <c r="J113" s="95">
        <v>164000</v>
      </c>
      <c r="K113" s="96">
        <v>978400</v>
      </c>
      <c r="L113" s="96">
        <v>391700</v>
      </c>
      <c r="M113" s="81">
        <v>1534000</v>
      </c>
    </row>
    <row r="114" spans="1:13">
      <c r="A114" s="27" t="s">
        <v>167</v>
      </c>
      <c r="B114" s="95">
        <v>79400</v>
      </c>
      <c r="C114" s="96">
        <v>447100</v>
      </c>
      <c r="D114" s="96">
        <v>165500</v>
      </c>
      <c r="E114" s="81">
        <v>692000</v>
      </c>
      <c r="F114" s="95">
        <v>81800</v>
      </c>
      <c r="G114" s="96">
        <v>513000</v>
      </c>
      <c r="H114" s="96">
        <v>225400</v>
      </c>
      <c r="I114" s="81">
        <v>820100</v>
      </c>
      <c r="J114" s="95">
        <v>161200</v>
      </c>
      <c r="K114" s="96">
        <v>960100</v>
      </c>
      <c r="L114" s="96">
        <v>390900</v>
      </c>
      <c r="M114" s="81">
        <v>1512100</v>
      </c>
    </row>
    <row r="115" spans="1:13">
      <c r="A115" s="80" t="s">
        <v>168</v>
      </c>
      <c r="B115" s="97">
        <v>79900</v>
      </c>
      <c r="C115" s="98">
        <v>452400</v>
      </c>
      <c r="D115" s="98">
        <v>169600</v>
      </c>
      <c r="E115" s="82">
        <v>701800</v>
      </c>
      <c r="F115" s="97">
        <v>82000</v>
      </c>
      <c r="G115" s="98">
        <v>514900</v>
      </c>
      <c r="H115" s="98">
        <v>227900</v>
      </c>
      <c r="I115" s="82">
        <v>824800</v>
      </c>
      <c r="J115" s="97">
        <v>161900</v>
      </c>
      <c r="K115" s="98">
        <v>967200</v>
      </c>
      <c r="L115" s="98">
        <v>397500</v>
      </c>
      <c r="M115" s="82">
        <v>1526600</v>
      </c>
    </row>
    <row r="116" spans="1:13">
      <c r="A116" s="27" t="s">
        <v>169</v>
      </c>
      <c r="B116" s="95">
        <v>79300</v>
      </c>
      <c r="C116" s="96">
        <v>454500</v>
      </c>
      <c r="D116" s="96">
        <v>172100</v>
      </c>
      <c r="E116" s="81">
        <v>705900</v>
      </c>
      <c r="F116" s="95">
        <v>80600</v>
      </c>
      <c r="G116" s="96">
        <v>516000</v>
      </c>
      <c r="H116" s="96">
        <v>230100</v>
      </c>
      <c r="I116" s="81">
        <v>826700</v>
      </c>
      <c r="J116" s="95">
        <v>159900</v>
      </c>
      <c r="K116" s="96">
        <v>970500</v>
      </c>
      <c r="L116" s="96">
        <v>402300</v>
      </c>
      <c r="M116" s="81">
        <v>1532600</v>
      </c>
    </row>
    <row r="117" spans="1:13">
      <c r="A117" s="27" t="s">
        <v>170</v>
      </c>
      <c r="B117" s="95">
        <v>79700</v>
      </c>
      <c r="C117" s="96">
        <v>453400</v>
      </c>
      <c r="D117" s="96">
        <v>172700</v>
      </c>
      <c r="E117" s="81">
        <v>705700</v>
      </c>
      <c r="F117" s="95">
        <v>80200</v>
      </c>
      <c r="G117" s="96">
        <v>513100</v>
      </c>
      <c r="H117" s="96">
        <v>230000</v>
      </c>
      <c r="I117" s="81">
        <v>823200</v>
      </c>
      <c r="J117" s="95">
        <v>159800</v>
      </c>
      <c r="K117" s="96">
        <v>966400</v>
      </c>
      <c r="L117" s="96">
        <v>402600</v>
      </c>
      <c r="M117" s="81">
        <v>1528900</v>
      </c>
    </row>
    <row r="118" spans="1:13">
      <c r="A118" s="27" t="s">
        <v>171</v>
      </c>
      <c r="B118" s="95">
        <v>78700</v>
      </c>
      <c r="C118" s="96">
        <v>448600</v>
      </c>
      <c r="D118" s="96">
        <v>170900</v>
      </c>
      <c r="E118" s="81">
        <v>698200</v>
      </c>
      <c r="F118" s="95">
        <v>80000</v>
      </c>
      <c r="G118" s="96">
        <v>504700</v>
      </c>
      <c r="H118" s="96">
        <v>229400</v>
      </c>
      <c r="I118" s="81">
        <v>814000</v>
      </c>
      <c r="J118" s="95">
        <v>158700</v>
      </c>
      <c r="K118" s="96">
        <v>953300</v>
      </c>
      <c r="L118" s="96">
        <v>400200</v>
      </c>
      <c r="M118" s="81">
        <v>1512200</v>
      </c>
    </row>
    <row r="119" spans="1:13">
      <c r="A119" s="80" t="s">
        <v>172</v>
      </c>
      <c r="B119" s="97">
        <v>81500</v>
      </c>
      <c r="C119" s="98">
        <v>451200</v>
      </c>
      <c r="D119" s="98">
        <v>173000</v>
      </c>
      <c r="E119" s="82">
        <v>705600</v>
      </c>
      <c r="F119" s="97">
        <v>81800</v>
      </c>
      <c r="G119" s="98">
        <v>508900</v>
      </c>
      <c r="H119" s="98">
        <v>230500</v>
      </c>
      <c r="I119" s="82">
        <v>821200</v>
      </c>
      <c r="J119" s="97">
        <v>163300</v>
      </c>
      <c r="K119" s="98">
        <v>960100</v>
      </c>
      <c r="L119" s="98">
        <v>403500</v>
      </c>
      <c r="M119" s="82">
        <v>1526800</v>
      </c>
    </row>
    <row r="120" spans="1:13">
      <c r="A120" s="27" t="s">
        <v>173</v>
      </c>
      <c r="B120" s="95">
        <v>81100</v>
      </c>
      <c r="C120" s="96">
        <v>452000</v>
      </c>
      <c r="D120" s="96">
        <v>173200</v>
      </c>
      <c r="E120" s="81">
        <v>706200</v>
      </c>
      <c r="F120" s="95">
        <v>81100</v>
      </c>
      <c r="G120" s="96">
        <v>507100</v>
      </c>
      <c r="H120" s="96">
        <v>229600</v>
      </c>
      <c r="I120" s="81">
        <v>817800</v>
      </c>
      <c r="J120" s="95">
        <v>162100</v>
      </c>
      <c r="K120" s="96">
        <v>959100</v>
      </c>
      <c r="L120" s="96">
        <v>402900</v>
      </c>
      <c r="M120" s="81">
        <v>1524000</v>
      </c>
    </row>
    <row r="121" spans="1:13">
      <c r="A121" s="27" t="s">
        <v>174</v>
      </c>
      <c r="B121" s="95">
        <v>81500</v>
      </c>
      <c r="C121" s="96">
        <v>452400</v>
      </c>
      <c r="D121" s="96">
        <v>173800</v>
      </c>
      <c r="E121" s="81">
        <v>707700</v>
      </c>
      <c r="F121" s="95">
        <v>81100</v>
      </c>
      <c r="G121" s="96">
        <v>506800</v>
      </c>
      <c r="H121" s="96">
        <v>231000</v>
      </c>
      <c r="I121" s="81">
        <v>818900</v>
      </c>
      <c r="J121" s="95">
        <v>162700</v>
      </c>
      <c r="K121" s="96">
        <v>959100</v>
      </c>
      <c r="L121" s="96">
        <v>404800</v>
      </c>
      <c r="M121" s="81">
        <v>1526500</v>
      </c>
    </row>
    <row r="122" spans="1:13">
      <c r="A122" s="27" t="s">
        <v>175</v>
      </c>
      <c r="B122" s="95">
        <v>82500</v>
      </c>
      <c r="C122" s="96">
        <v>452900</v>
      </c>
      <c r="D122" s="96">
        <v>173400</v>
      </c>
      <c r="E122" s="81">
        <v>708800</v>
      </c>
      <c r="F122" s="95">
        <v>81500</v>
      </c>
      <c r="G122" s="96">
        <v>502800</v>
      </c>
      <c r="H122" s="96">
        <v>230800</v>
      </c>
      <c r="I122" s="81">
        <v>815200</v>
      </c>
      <c r="J122" s="95">
        <v>164000</v>
      </c>
      <c r="K122" s="96">
        <v>955700</v>
      </c>
      <c r="L122" s="96">
        <v>404300</v>
      </c>
      <c r="M122" s="81">
        <v>1524000</v>
      </c>
    </row>
    <row r="123" spans="1:13">
      <c r="A123" s="80" t="s">
        <v>176</v>
      </c>
      <c r="B123" s="97">
        <v>82900</v>
      </c>
      <c r="C123" s="98">
        <v>450400</v>
      </c>
      <c r="D123" s="98">
        <v>173800</v>
      </c>
      <c r="E123" s="82">
        <v>707200</v>
      </c>
      <c r="F123" s="97">
        <v>82300</v>
      </c>
      <c r="G123" s="98">
        <v>503400</v>
      </c>
      <c r="H123" s="98">
        <v>230100</v>
      </c>
      <c r="I123" s="82">
        <v>815800</v>
      </c>
      <c r="J123" s="97">
        <v>165300</v>
      </c>
      <c r="K123" s="98">
        <v>953800</v>
      </c>
      <c r="L123" s="98">
        <v>403900</v>
      </c>
      <c r="M123" s="82">
        <v>1523000</v>
      </c>
    </row>
    <row r="124" spans="1:13">
      <c r="A124" s="27" t="s">
        <v>177</v>
      </c>
      <c r="B124" s="95">
        <v>84000</v>
      </c>
      <c r="C124" s="96">
        <v>448100</v>
      </c>
      <c r="D124" s="96">
        <v>173200</v>
      </c>
      <c r="E124" s="81">
        <v>705200</v>
      </c>
      <c r="F124" s="95">
        <v>81800</v>
      </c>
      <c r="G124" s="96">
        <v>499900</v>
      </c>
      <c r="H124" s="96">
        <v>229800</v>
      </c>
      <c r="I124" s="81">
        <v>811500</v>
      </c>
      <c r="J124" s="95">
        <v>165700</v>
      </c>
      <c r="K124" s="96">
        <v>948000</v>
      </c>
      <c r="L124" s="96">
        <v>403000</v>
      </c>
      <c r="M124" s="81">
        <v>1516700</v>
      </c>
    </row>
    <row r="125" spans="1:13">
      <c r="A125" s="27" t="s">
        <v>178</v>
      </c>
      <c r="B125" s="95">
        <v>89500</v>
      </c>
      <c r="C125" s="96">
        <v>462100</v>
      </c>
      <c r="D125" s="96">
        <v>176900</v>
      </c>
      <c r="E125" s="81">
        <v>728500</v>
      </c>
      <c r="F125" s="95">
        <v>85600</v>
      </c>
      <c r="G125" s="96">
        <v>512400</v>
      </c>
      <c r="H125" s="96">
        <v>233200</v>
      </c>
      <c r="I125" s="81">
        <v>831200</v>
      </c>
      <c r="J125" s="95">
        <v>175100</v>
      </c>
      <c r="K125" s="96">
        <v>974500</v>
      </c>
      <c r="L125" s="96">
        <v>410100</v>
      </c>
      <c r="M125" s="81">
        <v>1559700</v>
      </c>
    </row>
    <row r="126" spans="1:13">
      <c r="A126" s="27"/>
      <c r="B126" s="95"/>
      <c r="C126" s="96"/>
      <c r="D126" s="96"/>
      <c r="E126" s="81"/>
      <c r="F126" s="95"/>
      <c r="G126" s="96"/>
      <c r="H126" s="96"/>
      <c r="I126" s="81"/>
      <c r="J126" s="95"/>
      <c r="K126" s="96"/>
      <c r="L126" s="96"/>
      <c r="M126" s="81"/>
    </row>
    <row r="127" spans="1:13">
      <c r="A127" s="99"/>
      <c r="B127" s="100"/>
      <c r="C127" s="101"/>
      <c r="D127" s="101"/>
      <c r="E127" s="102"/>
      <c r="F127" s="100"/>
      <c r="G127" s="101"/>
      <c r="H127" s="101"/>
      <c r="I127" s="102"/>
      <c r="J127" s="100"/>
      <c r="K127" s="101"/>
      <c r="L127" s="101"/>
      <c r="M127" s="102"/>
    </row>
    <row r="128" spans="1:13">
      <c r="A128" s="27"/>
      <c r="B128" s="95"/>
      <c r="C128" s="96"/>
      <c r="D128" s="96"/>
      <c r="E128" s="81"/>
      <c r="F128" s="95"/>
      <c r="G128" s="96"/>
      <c r="H128" s="96"/>
      <c r="I128" s="81"/>
      <c r="J128" s="95"/>
      <c r="K128" s="96"/>
      <c r="L128" s="96"/>
      <c r="M128" s="81"/>
    </row>
    <row r="129" spans="1:13">
      <c r="A129" s="27"/>
      <c r="B129" s="95"/>
      <c r="C129" s="96"/>
      <c r="D129" s="96"/>
      <c r="E129" s="81"/>
      <c r="F129" s="95"/>
      <c r="G129" s="96"/>
      <c r="H129" s="96"/>
      <c r="I129" s="81"/>
      <c r="J129" s="95"/>
      <c r="K129" s="96"/>
      <c r="L129" s="96"/>
      <c r="M129" s="81"/>
    </row>
    <row r="130" spans="1:13">
      <c r="A130" s="27"/>
      <c r="B130" s="95"/>
      <c r="C130" s="96"/>
      <c r="D130" s="96"/>
      <c r="E130" s="81"/>
      <c r="F130" s="95"/>
      <c r="G130" s="96"/>
      <c r="H130" s="96"/>
      <c r="I130" s="81"/>
      <c r="J130" s="95"/>
      <c r="K130" s="96"/>
      <c r="L130" s="96"/>
      <c r="M130" s="81"/>
    </row>
    <row r="131" spans="1:13">
      <c r="A131" s="27"/>
      <c r="B131" s="95"/>
      <c r="C131" s="96"/>
      <c r="D131" s="96"/>
      <c r="E131" s="81"/>
      <c r="F131" s="95"/>
      <c r="G131" s="96"/>
      <c r="H131" s="96"/>
      <c r="I131" s="81"/>
      <c r="J131" s="95"/>
      <c r="K131" s="96"/>
      <c r="L131" s="96"/>
      <c r="M131" s="81"/>
    </row>
    <row r="132" spans="1:13">
      <c r="A132" s="27"/>
      <c r="B132" s="95"/>
      <c r="C132" s="96"/>
      <c r="D132" s="96"/>
      <c r="E132" s="81"/>
      <c r="F132" s="95"/>
      <c r="G132" s="96"/>
      <c r="H132" s="96"/>
      <c r="I132" s="81"/>
      <c r="J132" s="95"/>
      <c r="K132" s="96"/>
      <c r="L132" s="96"/>
      <c r="M132" s="81"/>
    </row>
    <row r="133" spans="1:13">
      <c r="A133" s="27"/>
      <c r="B133" s="95"/>
      <c r="C133" s="96"/>
      <c r="D133" s="96"/>
      <c r="E133" s="81"/>
      <c r="F133" s="95"/>
      <c r="G133" s="96"/>
      <c r="H133" s="96"/>
      <c r="I133" s="81"/>
      <c r="J133" s="95"/>
      <c r="K133" s="96"/>
      <c r="L133" s="96"/>
      <c r="M133" s="81"/>
    </row>
    <row r="134" spans="1:13">
      <c r="A134" s="27"/>
      <c r="B134" s="95"/>
      <c r="C134" s="96"/>
      <c r="D134" s="96"/>
      <c r="E134" s="81"/>
      <c r="F134" s="95"/>
      <c r="G134" s="96"/>
      <c r="H134" s="96"/>
      <c r="I134" s="81"/>
      <c r="J134" s="95"/>
      <c r="K134" s="96"/>
      <c r="L134" s="96"/>
      <c r="M134" s="81"/>
    </row>
    <row r="135" spans="1:13">
      <c r="A135" s="27"/>
      <c r="B135" s="95"/>
      <c r="C135" s="96"/>
      <c r="D135" s="96"/>
      <c r="E135" s="81"/>
      <c r="F135" s="95"/>
      <c r="G135" s="96"/>
      <c r="H135" s="96"/>
      <c r="I135" s="81"/>
      <c r="J135" s="95"/>
      <c r="K135" s="96"/>
      <c r="L135" s="96"/>
      <c r="M135" s="81"/>
    </row>
    <row r="136" spans="1:13">
      <c r="A136" s="27"/>
      <c r="B136" s="95"/>
      <c r="C136" s="96"/>
      <c r="D136" s="96"/>
      <c r="E136" s="81"/>
      <c r="F136" s="95"/>
      <c r="G136" s="96"/>
      <c r="H136" s="96"/>
      <c r="I136" s="81"/>
      <c r="J136" s="95"/>
      <c r="K136" s="96"/>
      <c r="L136" s="96"/>
      <c r="M136" s="81"/>
    </row>
    <row r="137" spans="1:13">
      <c r="A137" s="27"/>
      <c r="B137" s="95"/>
      <c r="C137" s="96"/>
      <c r="D137" s="96"/>
      <c r="E137" s="81"/>
      <c r="F137" s="95"/>
      <c r="G137" s="96"/>
      <c r="H137" s="96"/>
      <c r="I137" s="81"/>
      <c r="J137" s="95"/>
      <c r="K137" s="96"/>
      <c r="L137" s="96"/>
      <c r="M137" s="81"/>
    </row>
    <row r="138" spans="1:13">
      <c r="A138" s="27"/>
      <c r="B138" s="95"/>
      <c r="C138" s="96"/>
      <c r="D138" s="96"/>
      <c r="E138" s="81"/>
      <c r="F138" s="95"/>
      <c r="G138" s="96"/>
      <c r="H138" s="96"/>
      <c r="I138" s="81"/>
      <c r="J138" s="95"/>
      <c r="K138" s="96"/>
      <c r="L138" s="96"/>
      <c r="M138" s="81"/>
    </row>
    <row r="139" spans="1:13">
      <c r="A139" s="99"/>
      <c r="B139" s="100"/>
      <c r="C139" s="101"/>
      <c r="D139" s="101"/>
      <c r="E139" s="102"/>
      <c r="F139" s="100"/>
      <c r="G139" s="101"/>
      <c r="H139" s="101"/>
      <c r="I139" s="102"/>
      <c r="J139" s="100"/>
      <c r="K139" s="101"/>
      <c r="L139" s="101"/>
      <c r="M139" s="102"/>
    </row>
    <row r="140" spans="1:13">
      <c r="A140" s="27"/>
      <c r="B140" s="95"/>
      <c r="C140" s="96"/>
      <c r="D140" s="96"/>
      <c r="E140" s="81"/>
      <c r="F140" s="95"/>
      <c r="G140" s="96"/>
      <c r="H140" s="96"/>
      <c r="I140" s="81"/>
      <c r="J140" s="95"/>
      <c r="K140" s="96"/>
      <c r="L140" s="96"/>
      <c r="M140" s="81"/>
    </row>
    <row r="141" spans="1:13">
      <c r="A141" s="27"/>
      <c r="B141" s="95"/>
      <c r="C141" s="96"/>
      <c r="D141" s="96"/>
      <c r="E141" s="81"/>
      <c r="F141" s="95"/>
      <c r="G141" s="96"/>
      <c r="H141" s="96"/>
      <c r="I141" s="81"/>
      <c r="J141" s="95"/>
      <c r="K141" s="96"/>
      <c r="L141" s="96"/>
      <c r="M141" s="81"/>
    </row>
    <row r="142" spans="1:13">
      <c r="A142" s="27"/>
      <c r="B142" s="95"/>
      <c r="C142" s="96"/>
      <c r="D142" s="96"/>
      <c r="E142" s="81"/>
      <c r="F142" s="95"/>
      <c r="G142" s="96"/>
      <c r="H142" s="96"/>
      <c r="I142" s="81"/>
      <c r="J142" s="95"/>
      <c r="K142" s="96"/>
      <c r="L142" s="96"/>
      <c r="M142" s="81"/>
    </row>
    <row r="143" spans="1:13">
      <c r="A143" s="27"/>
      <c r="B143" s="95"/>
      <c r="C143" s="96"/>
      <c r="D143" s="96"/>
      <c r="E143" s="81"/>
      <c r="F143" s="95"/>
      <c r="G143" s="96"/>
      <c r="H143" s="96"/>
      <c r="I143" s="81"/>
      <c r="J143" s="95"/>
      <c r="K143" s="96"/>
      <c r="L143" s="96"/>
      <c r="M143" s="81"/>
    </row>
    <row r="144" spans="1:13">
      <c r="A144" s="27"/>
      <c r="B144" s="95"/>
      <c r="C144" s="96"/>
      <c r="D144" s="96"/>
      <c r="E144" s="81"/>
      <c r="F144" s="95"/>
      <c r="G144" s="96"/>
      <c r="H144" s="96"/>
      <c r="I144" s="81"/>
      <c r="J144" s="95"/>
      <c r="K144" s="96"/>
      <c r="L144" s="96"/>
      <c r="M144" s="81"/>
    </row>
    <row r="145" spans="1:13">
      <c r="A145" s="27"/>
      <c r="B145" s="95"/>
      <c r="C145" s="96"/>
      <c r="D145" s="96"/>
      <c r="E145" s="81"/>
      <c r="F145" s="95"/>
      <c r="G145" s="96"/>
      <c r="H145" s="96"/>
      <c r="I145" s="81"/>
      <c r="J145" s="95"/>
      <c r="K145" s="96"/>
      <c r="L145" s="96"/>
      <c r="M145" s="81"/>
    </row>
    <row r="146" spans="1:13">
      <c r="A146" s="27"/>
      <c r="B146" s="95"/>
      <c r="C146" s="96"/>
      <c r="D146" s="96"/>
      <c r="E146" s="81"/>
      <c r="F146" s="95"/>
      <c r="G146" s="96"/>
      <c r="H146" s="96"/>
      <c r="I146" s="81"/>
      <c r="J146" s="95"/>
      <c r="K146" s="96"/>
      <c r="L146" s="96"/>
      <c r="M146" s="81"/>
    </row>
    <row r="147" spans="1:13">
      <c r="A147" s="27"/>
      <c r="B147" s="95"/>
      <c r="C147" s="96"/>
      <c r="D147" s="96"/>
      <c r="E147" s="81"/>
      <c r="F147" s="95"/>
      <c r="G147" s="96"/>
      <c r="H147" s="96"/>
      <c r="I147" s="81"/>
      <c r="J147" s="95"/>
      <c r="K147" s="96"/>
      <c r="L147" s="96"/>
      <c r="M147" s="81"/>
    </row>
    <row r="148" spans="1:13">
      <c r="A148" s="27"/>
      <c r="B148" s="95"/>
      <c r="C148" s="96"/>
      <c r="D148" s="96"/>
      <c r="E148" s="81"/>
      <c r="F148" s="95"/>
      <c r="G148" s="96"/>
      <c r="H148" s="96"/>
      <c r="I148" s="81"/>
      <c r="J148" s="95"/>
      <c r="K148" s="96"/>
      <c r="L148" s="96"/>
      <c r="M148" s="81"/>
    </row>
    <row r="149" spans="1:13">
      <c r="A149" s="27"/>
      <c r="B149" s="95"/>
      <c r="C149" s="96"/>
      <c r="D149" s="96"/>
      <c r="E149" s="81"/>
      <c r="F149" s="95"/>
      <c r="G149" s="96"/>
      <c r="H149" s="96"/>
      <c r="I149" s="81"/>
      <c r="J149" s="95"/>
      <c r="K149" s="96"/>
      <c r="L149" s="96"/>
      <c r="M149" s="81"/>
    </row>
    <row r="150" spans="1:13">
      <c r="A150" s="27"/>
      <c r="B150" s="95"/>
      <c r="C150" s="96"/>
      <c r="D150" s="96"/>
      <c r="E150" s="81"/>
      <c r="F150" s="95"/>
      <c r="G150" s="96"/>
      <c r="H150" s="96"/>
      <c r="I150" s="81"/>
      <c r="J150" s="95"/>
      <c r="K150" s="96"/>
      <c r="L150" s="96"/>
      <c r="M150" s="81"/>
    </row>
    <row r="151" spans="1:13">
      <c r="A151" s="99"/>
      <c r="B151" s="100"/>
      <c r="C151" s="101"/>
      <c r="D151" s="101"/>
      <c r="E151" s="102"/>
      <c r="F151" s="100"/>
      <c r="G151" s="101"/>
      <c r="H151" s="101"/>
      <c r="I151" s="102"/>
      <c r="J151" s="100"/>
      <c r="K151" s="101"/>
      <c r="L151" s="101"/>
      <c r="M151" s="102"/>
    </row>
    <row r="152" spans="1:13">
      <c r="A152" s="27"/>
      <c r="B152" s="95"/>
      <c r="C152" s="96"/>
      <c r="D152" s="96"/>
      <c r="E152" s="81"/>
      <c r="F152" s="95"/>
      <c r="G152" s="96"/>
      <c r="H152" s="96"/>
      <c r="I152" s="81"/>
      <c r="J152" s="95"/>
      <c r="K152" s="96"/>
      <c r="L152" s="96"/>
      <c r="M152" s="81"/>
    </row>
    <row r="153" spans="1:13">
      <c r="A153" s="27"/>
      <c r="B153" s="95"/>
      <c r="C153" s="96"/>
      <c r="D153" s="96"/>
      <c r="E153" s="81"/>
      <c r="F153" s="95"/>
      <c r="G153" s="96"/>
      <c r="H153" s="96"/>
      <c r="I153" s="81"/>
      <c r="J153" s="95"/>
      <c r="K153" s="96"/>
      <c r="L153" s="96"/>
      <c r="M153" s="81"/>
    </row>
    <row r="154" spans="1:13">
      <c r="A154" s="27"/>
      <c r="B154" s="95"/>
      <c r="C154" s="96"/>
      <c r="D154" s="96"/>
      <c r="E154" s="81"/>
      <c r="F154" s="95"/>
      <c r="G154" s="96"/>
      <c r="H154" s="96"/>
      <c r="I154" s="81"/>
      <c r="J154" s="95"/>
      <c r="K154" s="96"/>
      <c r="L154" s="96"/>
      <c r="M154" s="81"/>
    </row>
    <row r="155" spans="1:13">
      <c r="A155" s="27"/>
      <c r="B155" s="95"/>
      <c r="C155" s="96"/>
      <c r="D155" s="96"/>
      <c r="E155" s="81"/>
      <c r="F155" s="95"/>
      <c r="G155" s="96"/>
      <c r="H155" s="96"/>
      <c r="I155" s="81"/>
      <c r="J155" s="95"/>
      <c r="K155" s="96"/>
      <c r="L155" s="96"/>
      <c r="M155" s="81"/>
    </row>
    <row r="156" spans="1:13">
      <c r="A156" s="27"/>
      <c r="B156" s="95"/>
      <c r="C156" s="96"/>
      <c r="D156" s="96"/>
      <c r="E156" s="81"/>
      <c r="F156" s="95"/>
      <c r="G156" s="96"/>
      <c r="H156" s="96"/>
      <c r="I156" s="81"/>
      <c r="J156" s="95"/>
      <c r="K156" s="96"/>
      <c r="L156" s="96"/>
      <c r="M156" s="81"/>
    </row>
    <row r="157" spans="1:13">
      <c r="A157" s="27"/>
      <c r="B157" s="95"/>
      <c r="C157" s="96"/>
      <c r="D157" s="96"/>
      <c r="E157" s="81"/>
      <c r="F157" s="95"/>
      <c r="G157" s="96"/>
      <c r="H157" s="96"/>
      <c r="I157" s="81"/>
      <c r="J157" s="95"/>
      <c r="K157" s="96"/>
      <c r="L157" s="96"/>
      <c r="M157" s="81"/>
    </row>
    <row r="158" spans="1:13">
      <c r="A158" s="27"/>
      <c r="B158" s="95"/>
      <c r="C158" s="96"/>
      <c r="D158" s="96"/>
      <c r="E158" s="81"/>
      <c r="F158" s="95"/>
      <c r="G158" s="96"/>
      <c r="H158" s="96"/>
      <c r="I158" s="81"/>
      <c r="J158" s="95"/>
      <c r="K158" s="96"/>
      <c r="L158" s="96"/>
      <c r="M158" s="81"/>
    </row>
    <row r="159" spans="1:13">
      <c r="A159" s="27"/>
      <c r="B159" s="95"/>
      <c r="C159" s="96"/>
      <c r="D159" s="96"/>
      <c r="E159" s="81"/>
      <c r="F159" s="95"/>
      <c r="G159" s="96"/>
      <c r="H159" s="96"/>
      <c r="I159" s="81"/>
      <c r="J159" s="95"/>
      <c r="K159" s="96"/>
      <c r="L159" s="96"/>
      <c r="M159" s="81"/>
    </row>
    <row r="160" spans="1:13">
      <c r="A160" s="27"/>
      <c r="B160" s="95"/>
      <c r="C160" s="96"/>
      <c r="D160" s="96"/>
      <c r="E160" s="81"/>
      <c r="F160" s="95"/>
      <c r="G160" s="96"/>
      <c r="H160" s="96"/>
      <c r="I160" s="81"/>
      <c r="J160" s="95"/>
      <c r="K160" s="96"/>
      <c r="L160" s="96"/>
      <c r="M160" s="81"/>
    </row>
    <row r="161" spans="1:13">
      <c r="A161" s="27"/>
      <c r="B161" s="95"/>
      <c r="C161" s="96"/>
      <c r="D161" s="96"/>
      <c r="E161" s="81"/>
      <c r="F161" s="95"/>
      <c r="G161" s="96"/>
      <c r="H161" s="96"/>
      <c r="I161" s="81"/>
      <c r="J161" s="95"/>
      <c r="K161" s="96"/>
      <c r="L161" s="96"/>
      <c r="M161" s="81"/>
    </row>
    <row r="162" spans="1:13">
      <c r="A162" s="27"/>
      <c r="B162" s="95"/>
      <c r="C162" s="96"/>
      <c r="D162" s="96"/>
      <c r="E162" s="81"/>
      <c r="F162" s="95"/>
      <c r="G162" s="96"/>
      <c r="H162" s="96"/>
      <c r="I162" s="81"/>
      <c r="J162" s="95"/>
      <c r="K162" s="96"/>
      <c r="L162" s="96"/>
      <c r="M162" s="81"/>
    </row>
    <row r="163" spans="1:13">
      <c r="A163" s="99"/>
      <c r="B163" s="100"/>
      <c r="C163" s="101"/>
      <c r="D163" s="101"/>
      <c r="E163" s="102"/>
      <c r="F163" s="100"/>
      <c r="G163" s="101"/>
      <c r="H163" s="101"/>
      <c r="I163" s="102"/>
      <c r="J163" s="100"/>
      <c r="K163" s="101"/>
      <c r="L163" s="101"/>
      <c r="M163" s="102"/>
    </row>
    <row r="164" spans="1:13">
      <c r="A164" s="27"/>
      <c r="B164" s="95"/>
      <c r="C164" s="96"/>
      <c r="D164" s="96"/>
      <c r="E164" s="81"/>
      <c r="F164" s="95"/>
      <c r="G164" s="96"/>
      <c r="H164" s="96"/>
      <c r="I164" s="81"/>
      <c r="J164" s="95"/>
      <c r="K164" s="96"/>
      <c r="L164" s="96"/>
      <c r="M164" s="81"/>
    </row>
    <row r="165" spans="1:13">
      <c r="A165" s="27"/>
      <c r="B165" s="95"/>
      <c r="C165" s="96"/>
      <c r="D165" s="96"/>
      <c r="E165" s="81"/>
      <c r="F165" s="95"/>
      <c r="G165" s="96"/>
      <c r="H165" s="96"/>
      <c r="I165" s="81"/>
      <c r="J165" s="95"/>
      <c r="K165" s="96"/>
      <c r="L165" s="96"/>
      <c r="M165" s="81"/>
    </row>
    <row r="166" spans="1:13">
      <c r="A166" s="27"/>
      <c r="B166" s="95"/>
      <c r="C166" s="96"/>
      <c r="D166" s="96"/>
      <c r="E166" s="81"/>
      <c r="F166" s="95"/>
      <c r="G166" s="96"/>
      <c r="H166" s="96"/>
      <c r="I166" s="81"/>
      <c r="J166" s="95"/>
      <c r="K166" s="96"/>
      <c r="L166" s="96"/>
      <c r="M166" s="81"/>
    </row>
    <row r="167" spans="1:13">
      <c r="A167" s="27"/>
      <c r="B167" s="95"/>
      <c r="C167" s="96"/>
      <c r="D167" s="96"/>
      <c r="E167" s="81"/>
      <c r="F167" s="95"/>
      <c r="G167" s="96"/>
      <c r="H167" s="96"/>
      <c r="I167" s="81"/>
      <c r="J167" s="95"/>
      <c r="K167" s="96"/>
      <c r="L167" s="96"/>
      <c r="M167" s="81"/>
    </row>
    <row r="168" spans="1:13">
      <c r="A168" s="27"/>
      <c r="B168" s="95"/>
      <c r="C168" s="96"/>
      <c r="D168" s="96"/>
      <c r="E168" s="81"/>
      <c r="F168" s="95"/>
      <c r="G168" s="96"/>
      <c r="H168" s="96"/>
      <c r="I168" s="81"/>
      <c r="J168" s="95"/>
      <c r="K168" s="96"/>
      <c r="L168" s="96"/>
      <c r="M168" s="81"/>
    </row>
    <row r="169" spans="1:13">
      <c r="A169" s="27"/>
      <c r="B169" s="95"/>
      <c r="C169" s="96"/>
      <c r="D169" s="96"/>
      <c r="E169" s="81"/>
      <c r="F169" s="95"/>
      <c r="G169" s="96"/>
      <c r="H169" s="96"/>
      <c r="I169" s="81"/>
      <c r="J169" s="95"/>
      <c r="K169" s="96"/>
      <c r="L169" s="96"/>
      <c r="M169" s="81"/>
    </row>
    <row r="170" spans="1:13">
      <c r="A170" s="27"/>
      <c r="B170" s="95"/>
      <c r="C170" s="96"/>
      <c r="D170" s="96"/>
      <c r="E170" s="81"/>
      <c r="F170" s="95"/>
      <c r="G170" s="96"/>
      <c r="H170" s="96"/>
      <c r="I170" s="81"/>
      <c r="J170" s="95"/>
      <c r="K170" s="96"/>
      <c r="L170" s="96"/>
      <c r="M170" s="81"/>
    </row>
    <row r="171" spans="1:13">
      <c r="A171" s="27"/>
      <c r="B171" s="95"/>
      <c r="C171" s="96"/>
      <c r="D171" s="96"/>
      <c r="E171" s="81"/>
      <c r="F171" s="95"/>
      <c r="G171" s="96"/>
      <c r="H171" s="96"/>
      <c r="I171" s="81"/>
      <c r="J171" s="95"/>
      <c r="K171" s="96"/>
      <c r="L171" s="96"/>
      <c r="M171" s="81"/>
    </row>
    <row r="172" spans="1:13">
      <c r="A172" s="27"/>
      <c r="B172" s="95"/>
      <c r="C172" s="96"/>
      <c r="D172" s="96"/>
      <c r="E172" s="81"/>
      <c r="F172" s="95"/>
      <c r="G172" s="96"/>
      <c r="H172" s="96"/>
      <c r="I172" s="81"/>
      <c r="J172" s="95"/>
      <c r="K172" s="96"/>
      <c r="L172" s="96"/>
      <c r="M172" s="81"/>
    </row>
    <row r="173" spans="1:13">
      <c r="A173" s="27"/>
      <c r="B173" s="95"/>
      <c r="C173" s="96"/>
      <c r="D173" s="96"/>
      <c r="E173" s="81"/>
      <c r="F173" s="95"/>
      <c r="G173" s="96"/>
      <c r="H173" s="96"/>
      <c r="I173" s="81"/>
      <c r="J173" s="95"/>
      <c r="K173" s="96"/>
      <c r="L173" s="96"/>
      <c r="M173" s="81"/>
    </row>
    <row r="174" spans="1:13">
      <c r="A174" s="27"/>
      <c r="B174" s="95"/>
      <c r="C174" s="96"/>
      <c r="D174" s="96"/>
      <c r="E174" s="81"/>
      <c r="F174" s="95"/>
      <c r="G174" s="96"/>
      <c r="H174" s="96"/>
      <c r="I174" s="81"/>
      <c r="J174" s="95"/>
      <c r="K174" s="96"/>
      <c r="L174" s="96"/>
      <c r="M174" s="81"/>
    </row>
    <row r="175" spans="1:13">
      <c r="A175" s="99"/>
      <c r="B175" s="100"/>
      <c r="C175" s="101"/>
      <c r="D175" s="101"/>
      <c r="E175" s="102"/>
      <c r="F175" s="100"/>
      <c r="G175" s="101"/>
      <c r="H175" s="101"/>
      <c r="I175" s="102"/>
      <c r="J175" s="100"/>
      <c r="K175" s="101"/>
      <c r="L175" s="101"/>
      <c r="M175" s="102"/>
    </row>
    <row r="176" spans="1:13">
      <c r="A176" s="27"/>
      <c r="B176" s="95"/>
      <c r="C176" s="96"/>
      <c r="D176" s="96"/>
      <c r="E176" s="81"/>
      <c r="F176" s="95"/>
      <c r="G176" s="96"/>
      <c r="H176" s="96"/>
      <c r="I176" s="81"/>
      <c r="J176" s="95"/>
      <c r="K176" s="96"/>
      <c r="L176" s="96"/>
      <c r="M176" s="81"/>
    </row>
    <row r="177" spans="1:15">
      <c r="A177" s="27"/>
      <c r="B177" s="95"/>
      <c r="C177" s="96"/>
      <c r="D177" s="96"/>
      <c r="E177" s="81"/>
      <c r="F177" s="95"/>
      <c r="G177" s="96"/>
      <c r="H177" s="96"/>
      <c r="I177" s="81"/>
      <c r="J177" s="95"/>
      <c r="K177" s="96"/>
      <c r="L177" s="96"/>
      <c r="M177" s="81"/>
      <c r="N177" s="55"/>
      <c r="O177" s="55"/>
    </row>
    <row r="178" spans="1:15">
      <c r="A178" s="27"/>
      <c r="B178" s="95"/>
      <c r="C178" s="96"/>
      <c r="D178" s="96"/>
      <c r="E178" s="81"/>
      <c r="F178" s="95"/>
      <c r="G178" s="96"/>
      <c r="H178" s="96"/>
      <c r="I178" s="81"/>
      <c r="J178" s="95"/>
      <c r="K178" s="96"/>
      <c r="L178" s="96"/>
      <c r="M178" s="81"/>
      <c r="N178" s="103"/>
      <c r="O178" s="103"/>
    </row>
    <row r="179" spans="1:15">
      <c r="A179" s="27"/>
      <c r="B179" s="95"/>
      <c r="C179" s="96"/>
      <c r="D179" s="96"/>
      <c r="E179" s="81"/>
      <c r="F179" s="95"/>
      <c r="G179" s="96"/>
      <c r="H179" s="96"/>
      <c r="I179" s="81"/>
      <c r="J179" s="95"/>
      <c r="K179" s="96"/>
      <c r="L179" s="96"/>
      <c r="M179" s="81"/>
      <c r="N179" s="103"/>
      <c r="O179" s="103"/>
    </row>
    <row r="180" spans="1:15">
      <c r="A180" s="27"/>
      <c r="B180" s="95"/>
      <c r="C180" s="96"/>
      <c r="D180" s="96"/>
      <c r="E180" s="81"/>
      <c r="F180" s="95"/>
      <c r="G180" s="96"/>
      <c r="H180" s="96"/>
      <c r="I180" s="81"/>
      <c r="J180" s="95"/>
      <c r="K180" s="96"/>
      <c r="L180" s="96"/>
      <c r="M180" s="81"/>
      <c r="N180" s="103"/>
      <c r="O180" s="103"/>
    </row>
    <row r="181" spans="1:15">
      <c r="A181" s="27"/>
      <c r="B181" s="95"/>
      <c r="C181" s="96"/>
      <c r="D181" s="96"/>
      <c r="E181" s="81"/>
      <c r="F181" s="95"/>
      <c r="G181" s="96"/>
      <c r="H181" s="96"/>
      <c r="I181" s="81"/>
      <c r="J181" s="95"/>
      <c r="K181" s="96"/>
      <c r="L181" s="96"/>
      <c r="M181" s="81"/>
      <c r="N181" s="103"/>
      <c r="O181" s="103"/>
    </row>
    <row r="182" spans="1:15">
      <c r="A182" s="27"/>
      <c r="B182" s="95"/>
      <c r="C182" s="96"/>
      <c r="D182" s="96"/>
      <c r="E182" s="81"/>
      <c r="F182" s="95"/>
      <c r="G182" s="96"/>
      <c r="H182" s="96"/>
      <c r="I182" s="81"/>
      <c r="J182" s="95"/>
      <c r="K182" s="96"/>
      <c r="L182" s="96"/>
      <c r="M182" s="81"/>
      <c r="N182" s="103"/>
      <c r="O182" s="103"/>
    </row>
    <row r="183" spans="1:15">
      <c r="A183" s="27"/>
      <c r="B183" s="95"/>
      <c r="C183" s="96"/>
      <c r="D183" s="96"/>
      <c r="E183" s="81"/>
      <c r="F183" s="95"/>
      <c r="G183" s="96"/>
      <c r="H183" s="96"/>
      <c r="I183" s="81"/>
      <c r="J183" s="95"/>
      <c r="K183" s="96"/>
      <c r="L183" s="96"/>
      <c r="M183" s="81"/>
      <c r="N183" s="103"/>
      <c r="O183" s="103"/>
    </row>
    <row r="184" spans="1:15">
      <c r="A184" s="27"/>
      <c r="B184" s="95"/>
      <c r="C184" s="96"/>
      <c r="D184" s="96"/>
      <c r="E184" s="81"/>
      <c r="F184" s="95"/>
      <c r="G184" s="96"/>
      <c r="H184" s="96"/>
      <c r="I184" s="81"/>
      <c r="J184" s="95"/>
      <c r="K184" s="96"/>
      <c r="L184" s="96"/>
      <c r="M184" s="81"/>
      <c r="N184" s="103"/>
      <c r="O184" s="103"/>
    </row>
    <row r="185" spans="1:15">
      <c r="A185" s="27"/>
      <c r="B185" s="95"/>
      <c r="C185" s="96"/>
      <c r="D185" s="96"/>
      <c r="E185" s="81"/>
      <c r="F185" s="95"/>
      <c r="G185" s="96"/>
      <c r="H185" s="96"/>
      <c r="I185" s="81"/>
      <c r="J185" s="95"/>
      <c r="K185" s="96"/>
      <c r="L185" s="96"/>
      <c r="M185" s="81"/>
      <c r="N185" s="103"/>
      <c r="O185" s="103"/>
    </row>
    <row r="186" spans="1:15">
      <c r="A186" s="27"/>
      <c r="B186" s="95"/>
      <c r="C186" s="96"/>
      <c r="D186" s="96"/>
      <c r="E186" s="81"/>
      <c r="F186" s="95"/>
      <c r="G186" s="96"/>
      <c r="H186" s="96"/>
      <c r="I186" s="81"/>
      <c r="J186" s="95"/>
      <c r="K186" s="96"/>
      <c r="L186" s="96"/>
      <c r="M186" s="81"/>
      <c r="N186" s="103"/>
      <c r="O186" s="103"/>
    </row>
    <row r="187" spans="1:15">
      <c r="A187" s="99"/>
      <c r="B187" s="100"/>
      <c r="C187" s="101"/>
      <c r="D187" s="101"/>
      <c r="E187" s="102"/>
      <c r="F187" s="100"/>
      <c r="G187" s="101"/>
      <c r="H187" s="101"/>
      <c r="I187" s="102"/>
      <c r="J187" s="100"/>
      <c r="K187" s="101"/>
      <c r="L187" s="101"/>
      <c r="M187" s="102"/>
      <c r="N187" s="103"/>
      <c r="O187" s="103"/>
    </row>
    <row r="188" spans="1:15">
      <c r="A188" s="27"/>
      <c r="B188" s="95"/>
      <c r="C188" s="96"/>
      <c r="D188" s="96"/>
      <c r="E188" s="81"/>
      <c r="F188" s="95"/>
      <c r="G188" s="96"/>
      <c r="H188" s="96"/>
      <c r="I188" s="81"/>
      <c r="J188" s="95"/>
      <c r="K188" s="96"/>
      <c r="L188" s="96"/>
      <c r="M188" s="81"/>
      <c r="N188" s="55"/>
      <c r="O188" s="55"/>
    </row>
    <row r="189" spans="1:15">
      <c r="A189" s="27"/>
      <c r="B189" s="95"/>
      <c r="C189" s="96"/>
      <c r="D189" s="96"/>
      <c r="E189" s="81"/>
      <c r="F189" s="95"/>
      <c r="G189" s="96"/>
      <c r="H189" s="96"/>
      <c r="I189" s="81"/>
      <c r="J189" s="95"/>
      <c r="K189" s="96"/>
      <c r="L189" s="96"/>
      <c r="M189" s="81"/>
      <c r="N189" s="55"/>
      <c r="O189" s="55"/>
    </row>
    <row r="190" spans="1:15">
      <c r="A190" s="27"/>
      <c r="B190" s="95"/>
      <c r="C190" s="96"/>
      <c r="D190" s="96"/>
      <c r="E190" s="81"/>
      <c r="F190" s="95"/>
      <c r="G190" s="96"/>
      <c r="H190" s="96"/>
      <c r="I190" s="81"/>
      <c r="J190" s="95"/>
      <c r="K190" s="96"/>
      <c r="L190" s="96"/>
      <c r="M190" s="81"/>
      <c r="N190" s="55"/>
      <c r="O190" s="55"/>
    </row>
    <row r="191" spans="1:15">
      <c r="A191" s="27"/>
      <c r="B191" s="95"/>
      <c r="C191" s="96"/>
      <c r="D191" s="96"/>
      <c r="E191" s="81"/>
      <c r="F191" s="95"/>
      <c r="G191" s="96"/>
      <c r="H191" s="96"/>
      <c r="I191" s="81"/>
      <c r="J191" s="95"/>
      <c r="K191" s="96"/>
      <c r="L191" s="96"/>
      <c r="M191" s="81"/>
      <c r="N191" s="55"/>
      <c r="O191" s="55"/>
    </row>
    <row r="192" spans="1:15">
      <c r="A192" s="27"/>
      <c r="B192" s="95"/>
      <c r="C192" s="96"/>
      <c r="D192" s="96"/>
      <c r="E192" s="81"/>
      <c r="F192" s="95"/>
      <c r="G192" s="96"/>
      <c r="H192" s="96"/>
      <c r="I192" s="81"/>
      <c r="J192" s="95"/>
      <c r="K192" s="96"/>
      <c r="L192" s="96"/>
      <c r="M192" s="81"/>
      <c r="N192" s="55"/>
      <c r="O192" s="55"/>
    </row>
    <row r="193" spans="1:13">
      <c r="A193" s="27"/>
      <c r="B193" s="95"/>
      <c r="C193" s="96"/>
      <c r="D193" s="96"/>
      <c r="E193" s="81"/>
      <c r="F193" s="95"/>
      <c r="G193" s="96"/>
      <c r="H193" s="96"/>
      <c r="I193" s="81"/>
      <c r="J193" s="95"/>
      <c r="K193" s="96"/>
      <c r="L193" s="96"/>
      <c r="M193" s="81"/>
    </row>
    <row r="194" spans="1:13">
      <c r="A194" s="27"/>
      <c r="B194" s="95"/>
      <c r="C194" s="96"/>
      <c r="D194" s="96"/>
      <c r="E194" s="81"/>
      <c r="F194" s="95"/>
      <c r="G194" s="96"/>
      <c r="H194" s="96"/>
      <c r="I194" s="81"/>
      <c r="J194" s="95"/>
      <c r="K194" s="96"/>
      <c r="L194" s="96"/>
      <c r="M194" s="81"/>
    </row>
    <row r="195" spans="1:13">
      <c r="A195" s="27"/>
      <c r="B195" s="95"/>
      <c r="C195" s="96"/>
      <c r="D195" s="96"/>
      <c r="E195" s="81"/>
      <c r="F195" s="95"/>
      <c r="G195" s="96"/>
      <c r="H195" s="96"/>
      <c r="I195" s="81"/>
      <c r="J195" s="95"/>
      <c r="K195" s="96"/>
      <c r="L195" s="96"/>
      <c r="M195" s="81"/>
    </row>
    <row r="196" spans="1:13">
      <c r="A196" s="27"/>
      <c r="B196" s="95"/>
      <c r="C196" s="96"/>
      <c r="D196" s="96"/>
      <c r="E196" s="81"/>
      <c r="F196" s="95"/>
      <c r="G196" s="96"/>
      <c r="H196" s="96"/>
      <c r="I196" s="81"/>
      <c r="J196" s="95"/>
      <c r="K196" s="96"/>
      <c r="L196" s="96"/>
      <c r="M196" s="81"/>
    </row>
    <row r="197" spans="1:13">
      <c r="A197" s="27"/>
      <c r="B197" s="95"/>
      <c r="C197" s="96"/>
      <c r="D197" s="96"/>
      <c r="E197" s="81"/>
      <c r="F197" s="95"/>
      <c r="G197" s="96"/>
      <c r="H197" s="96"/>
      <c r="I197" s="81"/>
      <c r="J197" s="95"/>
      <c r="K197" s="96"/>
      <c r="L197" s="96"/>
      <c r="M197" s="81"/>
    </row>
    <row r="198" spans="1:13">
      <c r="A198" s="27"/>
      <c r="B198" s="95"/>
      <c r="C198" s="96"/>
      <c r="D198" s="96"/>
      <c r="E198" s="81"/>
      <c r="F198" s="95"/>
      <c r="G198" s="96"/>
      <c r="H198" s="96"/>
      <c r="I198" s="81"/>
      <c r="J198" s="95"/>
      <c r="K198" s="96"/>
      <c r="L198" s="96"/>
      <c r="M198" s="81"/>
    </row>
    <row r="199" spans="1:13">
      <c r="A199" s="99"/>
      <c r="B199" s="100"/>
      <c r="C199" s="101"/>
      <c r="D199" s="101"/>
      <c r="E199" s="102"/>
      <c r="F199" s="100"/>
      <c r="G199" s="101"/>
      <c r="H199" s="101"/>
      <c r="I199" s="102"/>
      <c r="J199" s="100"/>
      <c r="K199" s="101"/>
      <c r="L199" s="101"/>
      <c r="M199" s="102"/>
    </row>
    <row r="200" spans="1:13">
      <c r="A200" s="27"/>
      <c r="B200" s="95"/>
      <c r="C200" s="96"/>
      <c r="D200" s="96"/>
      <c r="E200" s="81"/>
      <c r="F200" s="95"/>
      <c r="G200" s="96"/>
      <c r="H200" s="96"/>
      <c r="I200" s="81"/>
      <c r="J200" s="95"/>
      <c r="K200" s="96"/>
      <c r="L200" s="96"/>
      <c r="M200" s="81"/>
    </row>
    <row r="201" spans="1:13">
      <c r="A201" s="27"/>
      <c r="B201" s="95"/>
      <c r="C201" s="96"/>
      <c r="D201" s="96"/>
      <c r="E201" s="81"/>
      <c r="F201" s="95"/>
      <c r="G201" s="96"/>
      <c r="H201" s="96"/>
      <c r="I201" s="81"/>
      <c r="J201" s="95"/>
      <c r="K201" s="96"/>
      <c r="L201" s="96"/>
      <c r="M201" s="81"/>
    </row>
    <row r="202" spans="1:13">
      <c r="A202" s="27"/>
      <c r="B202" s="95"/>
      <c r="C202" s="96"/>
      <c r="D202" s="96"/>
      <c r="E202" s="81"/>
      <c r="F202" s="95"/>
      <c r="G202" s="96"/>
      <c r="H202" s="96"/>
      <c r="I202" s="81"/>
      <c r="J202" s="95"/>
      <c r="K202" s="96"/>
      <c r="L202" s="96"/>
      <c r="M202" s="81"/>
    </row>
    <row r="203" spans="1:13">
      <c r="A203" s="27"/>
      <c r="B203" s="95"/>
      <c r="C203" s="96"/>
      <c r="D203" s="96"/>
      <c r="E203" s="81"/>
      <c r="F203" s="95"/>
      <c r="G203" s="96"/>
      <c r="H203" s="96"/>
      <c r="I203" s="81"/>
      <c r="J203" s="95"/>
      <c r="K203" s="96"/>
      <c r="L203" s="96"/>
      <c r="M203" s="81"/>
    </row>
    <row r="204" spans="1:13">
      <c r="A204" s="27"/>
      <c r="B204" s="95"/>
      <c r="C204" s="96"/>
      <c r="D204" s="96"/>
      <c r="E204" s="81"/>
      <c r="F204" s="95"/>
      <c r="G204" s="96"/>
      <c r="H204" s="96"/>
      <c r="I204" s="81"/>
      <c r="J204" s="95"/>
      <c r="K204" s="96"/>
      <c r="L204" s="96"/>
      <c r="M204" s="81"/>
    </row>
    <row r="205" spans="1:13">
      <c r="A205" s="27"/>
      <c r="B205" s="95"/>
      <c r="C205" s="96"/>
      <c r="D205" s="96"/>
      <c r="E205" s="81"/>
      <c r="F205" s="95"/>
      <c r="G205" s="96"/>
      <c r="H205" s="96"/>
      <c r="I205" s="81"/>
      <c r="J205" s="95"/>
      <c r="K205" s="96"/>
      <c r="L205" s="96"/>
      <c r="M205" s="81"/>
    </row>
    <row r="206" spans="1:13">
      <c r="A206" s="27"/>
      <c r="B206" s="95"/>
      <c r="C206" s="96"/>
      <c r="D206" s="96"/>
      <c r="E206" s="81"/>
      <c r="F206" s="95"/>
      <c r="G206" s="96"/>
      <c r="H206" s="96"/>
      <c r="I206" s="81"/>
      <c r="J206" s="95"/>
      <c r="K206" s="96"/>
      <c r="L206" s="96"/>
      <c r="M206" s="81"/>
    </row>
    <row r="207" spans="1:13">
      <c r="A207" s="27"/>
      <c r="B207" s="95"/>
      <c r="C207" s="96"/>
      <c r="D207" s="96"/>
      <c r="E207" s="81"/>
      <c r="F207" s="95"/>
      <c r="G207" s="96"/>
      <c r="H207" s="96"/>
      <c r="I207" s="81"/>
      <c r="J207" s="95"/>
      <c r="K207" s="96"/>
      <c r="L207" s="96"/>
      <c r="M207" s="81"/>
    </row>
    <row r="208" spans="1:13">
      <c r="A208" s="27"/>
      <c r="B208" s="95"/>
      <c r="C208" s="96"/>
      <c r="D208" s="96"/>
      <c r="E208" s="81"/>
      <c r="F208" s="95"/>
      <c r="G208" s="96"/>
      <c r="H208" s="96"/>
      <c r="I208" s="81"/>
      <c r="J208" s="95"/>
      <c r="K208" s="96"/>
      <c r="L208" s="96"/>
      <c r="M208" s="81"/>
    </row>
    <row r="209" spans="1:13">
      <c r="A209" s="27"/>
      <c r="B209" s="95"/>
      <c r="C209" s="96"/>
      <c r="D209" s="96"/>
      <c r="E209" s="81"/>
      <c r="F209" s="95"/>
      <c r="G209" s="96"/>
      <c r="H209" s="96"/>
      <c r="I209" s="81"/>
      <c r="J209" s="95"/>
      <c r="K209" s="96"/>
      <c r="L209" s="96"/>
      <c r="M209" s="81"/>
    </row>
    <row r="210" spans="1:13">
      <c r="A210" s="27"/>
      <c r="B210" s="95"/>
      <c r="C210" s="96"/>
      <c r="D210" s="96"/>
      <c r="E210" s="81"/>
      <c r="F210" s="95"/>
      <c r="G210" s="96"/>
      <c r="H210" s="96"/>
      <c r="I210" s="81"/>
      <c r="J210" s="95"/>
      <c r="K210" s="96"/>
      <c r="L210" s="96"/>
      <c r="M210" s="81"/>
    </row>
    <row r="211" spans="1:13">
      <c r="A211" s="99"/>
      <c r="B211" s="100"/>
      <c r="C211" s="101"/>
      <c r="D211" s="101"/>
      <c r="E211" s="102"/>
      <c r="F211" s="100"/>
      <c r="G211" s="101"/>
      <c r="H211" s="101"/>
      <c r="I211" s="102"/>
      <c r="J211" s="100"/>
      <c r="K211" s="101"/>
      <c r="L211" s="101"/>
      <c r="M211" s="102"/>
    </row>
    <row r="212" spans="1:13">
      <c r="A212" s="27"/>
      <c r="B212" s="95"/>
      <c r="C212" s="96"/>
      <c r="D212" s="96"/>
      <c r="E212" s="81"/>
      <c r="F212" s="95"/>
      <c r="G212" s="96"/>
      <c r="H212" s="96"/>
      <c r="I212" s="81"/>
      <c r="J212" s="95"/>
      <c r="K212" s="96"/>
      <c r="L212" s="96"/>
      <c r="M212" s="81"/>
    </row>
    <row r="213" spans="1:13">
      <c r="A213" s="27"/>
      <c r="B213" s="95"/>
      <c r="C213" s="96"/>
      <c r="D213" s="96"/>
      <c r="E213" s="81"/>
      <c r="F213" s="95"/>
      <c r="G213" s="96"/>
      <c r="H213" s="96"/>
      <c r="I213" s="81"/>
      <c r="J213" s="95"/>
      <c r="K213" s="96"/>
      <c r="L213" s="96"/>
      <c r="M213" s="81"/>
    </row>
    <row r="214" spans="1:13">
      <c r="A214" s="27"/>
      <c r="B214" s="95"/>
      <c r="C214" s="96"/>
      <c r="D214" s="96"/>
      <c r="E214" s="81"/>
      <c r="F214" s="95"/>
      <c r="G214" s="96"/>
      <c r="H214" s="96"/>
      <c r="I214" s="81"/>
      <c r="J214" s="95"/>
      <c r="K214" s="96"/>
      <c r="L214" s="96"/>
      <c r="M214" s="81"/>
    </row>
    <row r="215" spans="1:13">
      <c r="A215" s="27"/>
      <c r="B215" s="95"/>
      <c r="C215" s="96"/>
      <c r="D215" s="96"/>
      <c r="E215" s="81"/>
      <c r="F215" s="95"/>
      <c r="G215" s="96"/>
      <c r="H215" s="96"/>
      <c r="I215" s="81"/>
      <c r="J215" s="95"/>
      <c r="K215" s="96"/>
      <c r="L215" s="96"/>
      <c r="M215" s="81"/>
    </row>
    <row r="216" spans="1:13">
      <c r="A216" s="27"/>
      <c r="B216" s="95"/>
      <c r="C216" s="96"/>
      <c r="D216" s="96"/>
      <c r="E216" s="81"/>
      <c r="F216" s="95"/>
      <c r="G216" s="96"/>
      <c r="H216" s="96"/>
      <c r="I216" s="81"/>
      <c r="J216" s="95"/>
      <c r="K216" s="96"/>
      <c r="L216" s="96"/>
      <c r="M216" s="81"/>
    </row>
    <row r="217" spans="1:13">
      <c r="A217" s="27"/>
      <c r="B217" s="95"/>
      <c r="C217" s="96"/>
      <c r="D217" s="96"/>
      <c r="E217" s="81"/>
      <c r="F217" s="95"/>
      <c r="G217" s="96"/>
      <c r="H217" s="96"/>
      <c r="I217" s="81"/>
      <c r="J217" s="95"/>
      <c r="K217" s="96"/>
      <c r="L217" s="96"/>
      <c r="M217" s="81"/>
    </row>
    <row r="218" spans="1:13">
      <c r="A218" s="27"/>
      <c r="B218" s="95"/>
      <c r="C218" s="96"/>
      <c r="D218" s="96"/>
      <c r="E218" s="81"/>
      <c r="F218" s="95"/>
      <c r="G218" s="96"/>
      <c r="H218" s="96"/>
      <c r="I218" s="81"/>
      <c r="J218" s="95"/>
      <c r="K218" s="96"/>
      <c r="L218" s="96"/>
      <c r="M218" s="81"/>
    </row>
    <row r="219" spans="1:13">
      <c r="A219" s="27"/>
      <c r="B219" s="95"/>
      <c r="C219" s="96"/>
      <c r="D219" s="96"/>
      <c r="E219" s="81"/>
      <c r="F219" s="95"/>
      <c r="G219" s="96"/>
      <c r="H219" s="96"/>
      <c r="I219" s="81"/>
      <c r="J219" s="95"/>
      <c r="K219" s="96"/>
      <c r="L219" s="96"/>
      <c r="M219" s="81"/>
    </row>
    <row r="220" spans="1:13">
      <c r="A220" s="27"/>
      <c r="B220" s="95"/>
      <c r="C220" s="96"/>
      <c r="D220" s="96"/>
      <c r="E220" s="81"/>
      <c r="F220" s="95"/>
      <c r="G220" s="96"/>
      <c r="H220" s="96"/>
      <c r="I220" s="81"/>
      <c r="J220" s="95"/>
      <c r="K220" s="96"/>
      <c r="L220" s="96"/>
      <c r="M220" s="81"/>
    </row>
    <row r="221" spans="1:13">
      <c r="A221" s="27"/>
      <c r="B221" s="95"/>
      <c r="C221" s="96"/>
      <c r="D221" s="96"/>
      <c r="E221" s="81"/>
      <c r="F221" s="95"/>
      <c r="G221" s="96"/>
      <c r="H221" s="96"/>
      <c r="I221" s="81"/>
      <c r="J221" s="95"/>
      <c r="K221" s="96"/>
      <c r="L221" s="96"/>
      <c r="M221" s="81"/>
    </row>
    <row r="222" spans="1:13">
      <c r="A222" s="27"/>
      <c r="B222" s="95"/>
      <c r="C222" s="96"/>
      <c r="D222" s="96"/>
      <c r="E222" s="81"/>
      <c r="F222" s="95"/>
      <c r="G222" s="96"/>
      <c r="H222" s="96"/>
      <c r="I222" s="81"/>
      <c r="J222" s="95"/>
      <c r="K222" s="96"/>
      <c r="L222" s="96"/>
      <c r="M222" s="81"/>
    </row>
    <row r="223" spans="1:13">
      <c r="A223" s="99"/>
      <c r="B223" s="100"/>
      <c r="C223" s="101"/>
      <c r="D223" s="101"/>
      <c r="E223" s="102"/>
      <c r="F223" s="100"/>
      <c r="G223" s="101"/>
      <c r="H223" s="101"/>
      <c r="I223" s="102"/>
      <c r="J223" s="100"/>
      <c r="K223" s="101"/>
      <c r="L223" s="101"/>
      <c r="M223" s="102"/>
    </row>
    <row r="224" spans="1:13">
      <c r="A224" s="27"/>
      <c r="B224" s="95"/>
      <c r="C224" s="96"/>
      <c r="D224" s="96"/>
      <c r="E224" s="81"/>
      <c r="F224" s="95"/>
      <c r="G224" s="96"/>
      <c r="H224" s="96"/>
      <c r="I224" s="81"/>
      <c r="J224" s="95"/>
      <c r="K224" s="96"/>
      <c r="L224" s="96"/>
      <c r="M224" s="81"/>
    </row>
    <row r="225" spans="1:13">
      <c r="A225" s="27"/>
      <c r="B225" s="95"/>
      <c r="C225" s="96"/>
      <c r="D225" s="96"/>
      <c r="E225" s="81"/>
      <c r="F225" s="95"/>
      <c r="G225" s="96"/>
      <c r="H225" s="96"/>
      <c r="I225" s="81"/>
      <c r="J225" s="95"/>
      <c r="K225" s="96"/>
      <c r="L225" s="96"/>
      <c r="M225" s="81"/>
    </row>
    <row r="226" spans="1:13">
      <c r="A226" s="27"/>
      <c r="B226" s="95"/>
      <c r="C226" s="96"/>
      <c r="D226" s="96"/>
      <c r="E226" s="81"/>
      <c r="F226" s="95"/>
      <c r="G226" s="96"/>
      <c r="H226" s="96"/>
      <c r="I226" s="81"/>
      <c r="J226" s="95"/>
      <c r="K226" s="96"/>
      <c r="L226" s="96"/>
      <c r="M226" s="81"/>
    </row>
    <row r="227" spans="1:13">
      <c r="A227" s="27"/>
      <c r="B227" s="95"/>
      <c r="C227" s="96"/>
      <c r="D227" s="96"/>
      <c r="E227" s="81"/>
      <c r="F227" s="95"/>
      <c r="G227" s="96"/>
      <c r="H227" s="96"/>
      <c r="I227" s="81"/>
      <c r="J227" s="95"/>
      <c r="K227" s="96"/>
      <c r="L227" s="96"/>
      <c r="M227" s="81"/>
    </row>
    <row r="228" spans="1:13">
      <c r="A228" s="27"/>
      <c r="B228" s="95"/>
      <c r="C228" s="96"/>
      <c r="D228" s="96"/>
      <c r="E228" s="81"/>
      <c r="F228" s="95"/>
      <c r="G228" s="96"/>
      <c r="H228" s="96"/>
      <c r="I228" s="81"/>
      <c r="J228" s="95"/>
      <c r="K228" s="96"/>
      <c r="L228" s="96"/>
      <c r="M228" s="81"/>
    </row>
    <row r="229" spans="1:13">
      <c r="A229" s="27"/>
      <c r="B229" s="95"/>
      <c r="C229" s="96"/>
      <c r="D229" s="96"/>
      <c r="E229" s="81"/>
      <c r="F229" s="95"/>
      <c r="G229" s="96"/>
      <c r="H229" s="96"/>
      <c r="I229" s="81"/>
      <c r="J229" s="95"/>
      <c r="K229" s="96"/>
      <c r="L229" s="96"/>
      <c r="M229" s="81"/>
    </row>
    <row r="230" spans="1:13">
      <c r="A230" s="27"/>
      <c r="B230" s="95"/>
      <c r="C230" s="96"/>
      <c r="D230" s="96"/>
      <c r="E230" s="81"/>
      <c r="F230" s="95"/>
      <c r="G230" s="96"/>
      <c r="H230" s="96"/>
      <c r="I230" s="81"/>
      <c r="J230" s="95"/>
      <c r="K230" s="96"/>
      <c r="L230" s="96"/>
      <c r="M230" s="81"/>
    </row>
    <row r="231" spans="1:13">
      <c r="A231" s="27"/>
      <c r="B231" s="95"/>
      <c r="C231" s="96"/>
      <c r="D231" s="96"/>
      <c r="E231" s="81"/>
      <c r="F231" s="95"/>
      <c r="G231" s="96"/>
      <c r="H231" s="96"/>
      <c r="I231" s="81"/>
      <c r="J231" s="95"/>
      <c r="K231" s="96"/>
      <c r="L231" s="96"/>
      <c r="M231" s="81"/>
    </row>
    <row r="232" spans="1:13">
      <c r="A232" s="27"/>
      <c r="B232" s="95"/>
      <c r="C232" s="96"/>
      <c r="D232" s="96"/>
      <c r="E232" s="81"/>
      <c r="F232" s="95"/>
      <c r="G232" s="96"/>
      <c r="H232" s="96"/>
      <c r="I232" s="81"/>
      <c r="J232" s="95"/>
      <c r="K232" s="96"/>
      <c r="L232" s="96"/>
      <c r="M232" s="81"/>
    </row>
    <row r="233" spans="1:13">
      <c r="A233" s="27"/>
      <c r="B233" s="95"/>
      <c r="C233" s="96"/>
      <c r="D233" s="96"/>
      <c r="E233" s="81"/>
      <c r="F233" s="95"/>
      <c r="G233" s="96"/>
      <c r="H233" s="96"/>
      <c r="I233" s="81"/>
      <c r="J233" s="95"/>
      <c r="K233" s="96"/>
      <c r="L233" s="96"/>
      <c r="M233" s="81"/>
    </row>
    <row r="234" spans="1:13">
      <c r="A234" s="27"/>
      <c r="B234" s="95"/>
      <c r="C234" s="96"/>
      <c r="D234" s="96"/>
      <c r="E234" s="81"/>
      <c r="F234" s="95"/>
      <c r="G234" s="96"/>
      <c r="H234" s="96"/>
      <c r="I234" s="81"/>
      <c r="J234" s="95"/>
      <c r="K234" s="96"/>
      <c r="L234" s="96"/>
      <c r="M234" s="81"/>
    </row>
    <row r="235" spans="1:13">
      <c r="A235" s="99"/>
      <c r="B235" s="100"/>
      <c r="C235" s="101"/>
      <c r="D235" s="101"/>
      <c r="E235" s="102"/>
      <c r="F235" s="100"/>
      <c r="G235" s="101"/>
      <c r="H235" s="101"/>
      <c r="I235" s="102"/>
      <c r="J235" s="100"/>
      <c r="K235" s="101"/>
      <c r="L235" s="101"/>
      <c r="M235" s="102"/>
    </row>
    <row r="236" spans="1:13">
      <c r="A236" s="27"/>
      <c r="B236" s="95"/>
      <c r="C236" s="96"/>
      <c r="D236" s="96"/>
      <c r="E236" s="81"/>
      <c r="F236" s="95"/>
      <c r="G236" s="96"/>
      <c r="H236" s="96"/>
      <c r="I236" s="81"/>
      <c r="J236" s="95"/>
      <c r="K236" s="96"/>
      <c r="L236" s="96"/>
      <c r="M236" s="81"/>
    </row>
    <row r="237" spans="1:13">
      <c r="A237" s="27"/>
      <c r="B237" s="95"/>
      <c r="C237" s="96"/>
      <c r="D237" s="96"/>
      <c r="E237" s="81"/>
      <c r="F237" s="95"/>
      <c r="G237" s="96"/>
      <c r="H237" s="96"/>
      <c r="I237" s="81"/>
      <c r="J237" s="95"/>
      <c r="K237" s="96"/>
      <c r="L237" s="96"/>
      <c r="M237" s="81"/>
    </row>
    <row r="238" spans="1:13">
      <c r="A238" s="27"/>
      <c r="B238" s="95"/>
      <c r="C238" s="96"/>
      <c r="D238" s="96"/>
      <c r="E238" s="81"/>
      <c r="F238" s="95"/>
      <c r="G238" s="96"/>
      <c r="H238" s="96"/>
      <c r="I238" s="81"/>
      <c r="J238" s="95"/>
      <c r="K238" s="96"/>
      <c r="L238" s="96"/>
      <c r="M238" s="81"/>
    </row>
    <row r="239" spans="1:13">
      <c r="A239" s="27"/>
      <c r="B239" s="95"/>
      <c r="C239" s="96"/>
      <c r="D239" s="96"/>
      <c r="E239" s="81"/>
      <c r="F239" s="95"/>
      <c r="G239" s="96"/>
      <c r="H239" s="96"/>
      <c r="I239" s="81"/>
      <c r="J239" s="95"/>
      <c r="K239" s="96"/>
      <c r="L239" s="96"/>
      <c r="M239" s="81"/>
    </row>
    <row r="240" spans="1:13">
      <c r="A240" s="27"/>
      <c r="B240" s="95"/>
      <c r="C240" s="96"/>
      <c r="D240" s="96"/>
      <c r="E240" s="81"/>
      <c r="F240" s="95"/>
      <c r="G240" s="96"/>
      <c r="H240" s="96"/>
      <c r="I240" s="81"/>
      <c r="J240" s="95"/>
      <c r="K240" s="96"/>
      <c r="L240" s="96"/>
      <c r="M240" s="81"/>
    </row>
    <row r="241" spans="1:13">
      <c r="A241" s="27"/>
      <c r="B241" s="95"/>
      <c r="C241" s="96"/>
      <c r="D241" s="96"/>
      <c r="E241" s="81"/>
      <c r="F241" s="95"/>
      <c r="G241" s="96"/>
      <c r="H241" s="96"/>
      <c r="I241" s="81"/>
      <c r="J241" s="95"/>
      <c r="K241" s="96"/>
      <c r="L241" s="96"/>
      <c r="M241" s="81"/>
    </row>
    <row r="242" spans="1:13">
      <c r="A242" s="27"/>
      <c r="B242" s="95"/>
      <c r="C242" s="96"/>
      <c r="D242" s="96"/>
      <c r="E242" s="81"/>
      <c r="F242" s="95"/>
      <c r="G242" s="96"/>
      <c r="H242" s="96"/>
      <c r="I242" s="81"/>
      <c r="J242" s="95"/>
      <c r="K242" s="96"/>
      <c r="L242" s="96"/>
      <c r="M242" s="81"/>
    </row>
    <row r="243" spans="1:13">
      <c r="A243" s="27"/>
      <c r="B243" s="95"/>
      <c r="C243" s="96"/>
      <c r="D243" s="96"/>
      <c r="E243" s="81"/>
      <c r="F243" s="95"/>
      <c r="G243" s="96"/>
      <c r="H243" s="96"/>
      <c r="I243" s="81"/>
      <c r="J243" s="95"/>
      <c r="K243" s="96"/>
      <c r="L243" s="96"/>
      <c r="M243" s="81"/>
    </row>
    <row r="244" spans="1:13">
      <c r="A244" s="27"/>
      <c r="B244" s="95"/>
      <c r="C244" s="96"/>
      <c r="D244" s="96"/>
      <c r="E244" s="81"/>
      <c r="F244" s="95"/>
      <c r="G244" s="96"/>
      <c r="H244" s="96"/>
      <c r="I244" s="81"/>
      <c r="J244" s="95"/>
      <c r="K244" s="96"/>
      <c r="L244" s="96"/>
      <c r="M244" s="81"/>
    </row>
    <row r="245" spans="1:13">
      <c r="A245" s="27"/>
      <c r="B245" s="95"/>
      <c r="C245" s="96"/>
      <c r="D245" s="96"/>
      <c r="E245" s="81"/>
      <c r="F245" s="95"/>
      <c r="G245" s="96"/>
      <c r="H245" s="96"/>
      <c r="I245" s="81"/>
      <c r="J245" s="95"/>
      <c r="K245" s="96"/>
      <c r="L245" s="96"/>
      <c r="M245" s="81"/>
    </row>
    <row r="246" spans="1:13">
      <c r="A246" s="27"/>
      <c r="B246" s="95"/>
      <c r="C246" s="96"/>
      <c r="D246" s="96"/>
      <c r="E246" s="81"/>
      <c r="F246" s="95"/>
      <c r="G246" s="96"/>
      <c r="H246" s="96"/>
      <c r="I246" s="81"/>
      <c r="J246" s="95"/>
      <c r="K246" s="96"/>
      <c r="L246" s="96"/>
      <c r="M246" s="81"/>
    </row>
    <row r="247" spans="1:13">
      <c r="A247" s="99"/>
      <c r="B247" s="100"/>
      <c r="C247" s="101"/>
      <c r="D247" s="101"/>
      <c r="E247" s="102"/>
      <c r="F247" s="100"/>
      <c r="G247" s="101"/>
      <c r="H247" s="101"/>
      <c r="I247" s="102"/>
      <c r="J247" s="100"/>
      <c r="K247" s="101"/>
      <c r="L247" s="101"/>
      <c r="M247" s="102"/>
    </row>
    <row r="248" spans="1:13">
      <c r="A248" s="27"/>
      <c r="B248" s="95"/>
      <c r="C248" s="96"/>
      <c r="D248" s="96"/>
      <c r="E248" s="81"/>
      <c r="F248" s="95"/>
      <c r="G248" s="96"/>
      <c r="H248" s="96"/>
      <c r="I248" s="81"/>
      <c r="J248" s="95"/>
      <c r="K248" s="96"/>
      <c r="L248" s="96"/>
      <c r="M248" s="81"/>
    </row>
    <row r="249" spans="1:13">
      <c r="A249" s="27"/>
      <c r="B249" s="95"/>
      <c r="C249" s="96"/>
      <c r="D249" s="96"/>
      <c r="E249" s="81"/>
      <c r="F249" s="95"/>
      <c r="G249" s="96"/>
      <c r="H249" s="96"/>
      <c r="I249" s="81"/>
      <c r="J249" s="95"/>
      <c r="K249" s="96"/>
      <c r="L249" s="96"/>
      <c r="M249" s="81"/>
    </row>
    <row r="250" spans="1:13">
      <c r="A250" s="27"/>
      <c r="B250" s="95"/>
      <c r="C250" s="96"/>
      <c r="D250" s="96"/>
      <c r="E250" s="81"/>
      <c r="F250" s="95"/>
      <c r="G250" s="96"/>
      <c r="H250" s="96"/>
      <c r="I250" s="81"/>
      <c r="J250" s="95"/>
      <c r="K250" s="96"/>
      <c r="L250" s="96"/>
      <c r="M250" s="81"/>
    </row>
    <row r="251" spans="1:13">
      <c r="A251" s="27"/>
      <c r="B251" s="95"/>
      <c r="C251" s="96"/>
      <c r="D251" s="96"/>
      <c r="E251" s="81"/>
      <c r="F251" s="95"/>
      <c r="G251" s="96"/>
      <c r="H251" s="96"/>
      <c r="I251" s="81"/>
      <c r="J251" s="95"/>
      <c r="K251" s="96"/>
      <c r="L251" s="96"/>
      <c r="M251" s="81"/>
    </row>
    <row r="252" spans="1:13">
      <c r="A252" s="104"/>
      <c r="B252" s="95"/>
      <c r="C252" s="96"/>
      <c r="D252" s="96"/>
      <c r="E252" s="81"/>
      <c r="F252" s="95"/>
      <c r="G252" s="96"/>
      <c r="H252" s="96"/>
      <c r="I252" s="81"/>
      <c r="J252" s="95"/>
      <c r="K252" s="96"/>
      <c r="L252" s="96"/>
      <c r="M252" s="81"/>
    </row>
    <row r="253" spans="1:13">
      <c r="A253" s="104"/>
      <c r="B253" s="95"/>
      <c r="C253" s="96"/>
      <c r="D253" s="96"/>
      <c r="E253" s="81"/>
      <c r="F253" s="95"/>
      <c r="G253" s="96"/>
      <c r="H253" s="96"/>
      <c r="I253" s="81"/>
      <c r="J253" s="95"/>
      <c r="K253" s="96"/>
      <c r="L253" s="96"/>
      <c r="M253" s="81"/>
    </row>
    <row r="254" spans="1:13">
      <c r="A254" s="104"/>
      <c r="B254" s="95"/>
      <c r="C254" s="96"/>
      <c r="D254" s="96"/>
      <c r="E254" s="81"/>
      <c r="F254" s="95"/>
      <c r="G254" s="96"/>
      <c r="H254" s="96"/>
      <c r="I254" s="81"/>
      <c r="J254" s="95"/>
      <c r="K254" s="96"/>
      <c r="L254" s="96"/>
      <c r="M254" s="81"/>
    </row>
    <row r="255" spans="1:13">
      <c r="A255" s="104"/>
      <c r="B255" s="95"/>
      <c r="C255" s="96"/>
      <c r="D255" s="96"/>
      <c r="E255" s="81"/>
      <c r="F255" s="95"/>
      <c r="G255" s="96"/>
      <c r="H255" s="96"/>
      <c r="I255" s="81"/>
      <c r="J255" s="95"/>
      <c r="K255" s="96"/>
      <c r="L255" s="96"/>
      <c r="M255" s="81"/>
    </row>
    <row r="256" spans="1:13">
      <c r="A256" s="104"/>
      <c r="B256" s="95"/>
      <c r="C256" s="96"/>
      <c r="D256" s="96"/>
      <c r="E256" s="81"/>
      <c r="F256" s="95"/>
      <c r="G256" s="96"/>
      <c r="H256" s="96"/>
      <c r="I256" s="81"/>
      <c r="J256" s="95"/>
      <c r="K256" s="96"/>
      <c r="L256" s="96"/>
      <c r="M256" s="81"/>
    </row>
    <row r="257" spans="1:13">
      <c r="A257" s="104"/>
      <c r="B257" s="95"/>
      <c r="C257" s="96"/>
      <c r="D257" s="96"/>
      <c r="E257" s="81"/>
      <c r="F257" s="95"/>
      <c r="G257" s="96"/>
      <c r="H257" s="96"/>
      <c r="I257" s="81"/>
      <c r="J257" s="95"/>
      <c r="K257" s="96"/>
      <c r="L257" s="96"/>
      <c r="M257" s="81"/>
    </row>
    <row r="258" spans="1:13">
      <c r="A258" s="104"/>
      <c r="B258" s="95"/>
      <c r="C258" s="96"/>
      <c r="D258" s="96"/>
      <c r="E258" s="81"/>
      <c r="F258" s="95"/>
      <c r="G258" s="96"/>
      <c r="H258" s="96"/>
      <c r="I258" s="81"/>
      <c r="J258" s="95"/>
      <c r="K258" s="96"/>
      <c r="L258" s="96"/>
      <c r="M258" s="81"/>
    </row>
    <row r="259" spans="1:13">
      <c r="A259" s="99"/>
      <c r="B259" s="100"/>
      <c r="C259" s="101"/>
      <c r="D259" s="101"/>
      <c r="E259" s="102"/>
      <c r="F259" s="100"/>
      <c r="G259" s="101"/>
      <c r="H259" s="101"/>
      <c r="I259" s="102"/>
      <c r="J259" s="100"/>
      <c r="K259" s="101"/>
      <c r="L259" s="101"/>
      <c r="M259" s="102"/>
    </row>
    <row r="260" spans="1:13">
      <c r="A260" s="104"/>
      <c r="B260" s="95"/>
      <c r="C260" s="96"/>
      <c r="D260" s="96"/>
      <c r="E260" s="81"/>
      <c r="F260" s="95"/>
      <c r="G260" s="96"/>
      <c r="H260" s="96"/>
      <c r="I260" s="81"/>
      <c r="J260" s="95"/>
      <c r="K260" s="96"/>
      <c r="L260" s="96"/>
      <c r="M260" s="81"/>
    </row>
    <row r="261" spans="1:13">
      <c r="A261" s="104"/>
      <c r="B261" s="95"/>
      <c r="C261" s="96"/>
      <c r="D261" s="96"/>
      <c r="E261" s="81"/>
      <c r="F261" s="95"/>
      <c r="G261" s="96"/>
      <c r="H261" s="96"/>
      <c r="I261" s="81"/>
      <c r="J261" s="95"/>
      <c r="K261" s="96"/>
      <c r="L261" s="96"/>
      <c r="M261" s="81"/>
    </row>
    <row r="262" spans="1:13">
      <c r="A262" s="104"/>
      <c r="B262" s="95"/>
      <c r="C262" s="96"/>
      <c r="D262" s="96"/>
      <c r="E262" s="81"/>
      <c r="F262" s="95"/>
      <c r="G262" s="96"/>
      <c r="H262" s="96"/>
      <c r="I262" s="81"/>
      <c r="J262" s="95"/>
      <c r="K262" s="96"/>
      <c r="L262" s="96"/>
      <c r="M262" s="81"/>
    </row>
    <row r="263" spans="1:13">
      <c r="A263" s="104"/>
      <c r="B263" s="95"/>
      <c r="C263" s="96"/>
      <c r="D263" s="96"/>
      <c r="E263" s="81"/>
      <c r="F263" s="95"/>
      <c r="G263" s="96"/>
      <c r="H263" s="96"/>
      <c r="I263" s="81"/>
      <c r="J263" s="95"/>
      <c r="K263" s="96"/>
      <c r="L263" s="96"/>
      <c r="M263" s="81"/>
    </row>
    <row r="264" spans="1:13">
      <c r="A264" s="104"/>
      <c r="B264" s="95"/>
      <c r="C264" s="96"/>
      <c r="D264" s="96"/>
      <c r="E264" s="81"/>
      <c r="F264" s="95"/>
      <c r="G264" s="96"/>
      <c r="H264" s="96"/>
      <c r="I264" s="81"/>
      <c r="J264" s="95"/>
      <c r="K264" s="96"/>
      <c r="L264" s="96"/>
      <c r="M264" s="81"/>
    </row>
    <row r="265" spans="1:13">
      <c r="A265" s="104"/>
      <c r="B265" s="95"/>
      <c r="C265" s="96"/>
      <c r="D265" s="96"/>
      <c r="E265" s="81"/>
      <c r="F265" s="95"/>
      <c r="G265" s="96"/>
      <c r="H265" s="96"/>
      <c r="I265" s="81"/>
      <c r="J265" s="95"/>
      <c r="K265" s="96"/>
      <c r="L265" s="96"/>
      <c r="M265" s="81"/>
    </row>
    <row r="266" spans="1:13">
      <c r="A266" s="104"/>
      <c r="B266" s="95"/>
      <c r="C266" s="96"/>
      <c r="D266" s="96"/>
      <c r="E266" s="81"/>
      <c r="F266" s="95"/>
      <c r="G266" s="96"/>
      <c r="H266" s="96"/>
      <c r="I266" s="81"/>
      <c r="J266" s="95"/>
      <c r="K266" s="96"/>
      <c r="L266" s="96"/>
      <c r="M266" s="81"/>
    </row>
    <row r="267" spans="1:13">
      <c r="A267" s="104"/>
      <c r="B267" s="95"/>
      <c r="C267" s="96"/>
      <c r="D267" s="96"/>
      <c r="E267" s="81"/>
      <c r="F267" s="95"/>
      <c r="G267" s="96"/>
      <c r="H267" s="96"/>
      <c r="I267" s="81"/>
      <c r="J267" s="95"/>
      <c r="K267" s="96"/>
      <c r="L267" s="96"/>
      <c r="M267" s="81"/>
    </row>
    <row r="268" spans="1:13">
      <c r="A268" s="104"/>
      <c r="B268" s="95"/>
      <c r="C268" s="96"/>
      <c r="D268" s="96"/>
      <c r="E268" s="81"/>
      <c r="F268" s="95"/>
      <c r="G268" s="96"/>
      <c r="H268" s="96"/>
      <c r="I268" s="81"/>
      <c r="J268" s="95"/>
      <c r="K268" s="96"/>
      <c r="L268" s="96"/>
      <c r="M268" s="81"/>
    </row>
    <row r="269" spans="1:13">
      <c r="A269" s="104"/>
      <c r="B269" s="95"/>
      <c r="C269" s="96"/>
      <c r="D269" s="96"/>
      <c r="E269" s="81"/>
      <c r="F269" s="95"/>
      <c r="G269" s="96"/>
      <c r="H269" s="96"/>
      <c r="I269" s="81"/>
      <c r="J269" s="95"/>
      <c r="K269" s="96"/>
      <c r="L269" s="96"/>
      <c r="M269" s="81"/>
    </row>
    <row r="270" spans="1:13">
      <c r="A270" s="104"/>
      <c r="B270" s="95"/>
      <c r="C270" s="96"/>
      <c r="D270" s="96"/>
      <c r="E270" s="81"/>
      <c r="F270" s="95"/>
      <c r="G270" s="96"/>
      <c r="H270" s="96"/>
      <c r="I270" s="81"/>
      <c r="J270" s="95"/>
      <c r="K270" s="96"/>
      <c r="L270" s="96"/>
      <c r="M270" s="81"/>
    </row>
    <row r="271" spans="1:13">
      <c r="A271" s="99"/>
      <c r="B271" s="100"/>
      <c r="C271" s="101"/>
      <c r="D271" s="101"/>
      <c r="E271" s="102"/>
      <c r="F271" s="100"/>
      <c r="G271" s="101"/>
      <c r="H271" s="101"/>
      <c r="I271" s="102"/>
      <c r="J271" s="100"/>
      <c r="K271" s="101"/>
      <c r="L271" s="101"/>
      <c r="M271" s="102"/>
    </row>
    <row r="272" spans="1:13">
      <c r="A272" s="104"/>
      <c r="B272" s="95"/>
      <c r="C272" s="96"/>
      <c r="D272" s="96"/>
      <c r="E272" s="81"/>
      <c r="F272" s="95"/>
      <c r="G272" s="96"/>
      <c r="H272" s="96"/>
      <c r="I272" s="81"/>
      <c r="J272" s="95"/>
      <c r="K272" s="96"/>
      <c r="L272" s="96"/>
      <c r="M272" s="81"/>
    </row>
    <row r="273" spans="1:1">
      <c r="A273" s="99"/>
    </row>
  </sheetData>
  <mergeCells count="4">
    <mergeCell ref="B6:E6"/>
    <mergeCell ref="F6:I6"/>
    <mergeCell ref="J6:M6"/>
    <mergeCell ref="A6:A7"/>
  </mergeCells>
  <phoneticPr fontId="2" type="noConversion"/>
  <pageMargins left="0.78740157499999996" right="0.78740157499999996" top="0.984251969" bottom="0.984251969" header="0.4921259845" footer="0.492125984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S498"/>
  <sheetViews>
    <sheetView zoomScale="83" zoomScaleNormal="100" workbookViewId="0">
      <selection activeCell="F97" sqref="F97"/>
    </sheetView>
  </sheetViews>
  <sheetFormatPr defaultColWidth="11.42578125" defaultRowHeight="10.15"/>
  <cols>
    <col min="1" max="1" width="15.5703125" style="34" bestFit="1" customWidth="1"/>
    <col min="2" max="8" width="12.5703125" style="37" customWidth="1"/>
    <col min="9" max="9" width="12.5703125" style="84" customWidth="1"/>
    <col min="10" max="18" width="12.5703125" style="37" customWidth="1"/>
    <col min="19" max="19" width="16.140625" style="37" customWidth="1"/>
    <col min="20" max="16384" width="11.42578125" style="34"/>
  </cols>
  <sheetData>
    <row r="1" spans="1:19">
      <c r="A1" s="23" t="s">
        <v>44</v>
      </c>
      <c r="B1" s="42" t="s">
        <v>187</v>
      </c>
      <c r="C1" s="111"/>
      <c r="D1" s="111"/>
      <c r="E1" s="111"/>
      <c r="F1" s="111"/>
      <c r="G1" s="111"/>
      <c r="H1" s="111"/>
      <c r="I1" s="111"/>
      <c r="J1" s="111"/>
      <c r="K1" s="111"/>
      <c r="L1" s="111"/>
      <c r="M1" s="111"/>
      <c r="N1" s="111"/>
      <c r="O1" s="111"/>
      <c r="P1" s="111"/>
      <c r="Q1" s="111"/>
      <c r="R1" s="111"/>
      <c r="S1" s="112"/>
    </row>
    <row r="2" spans="1:19">
      <c r="A2" s="23" t="s">
        <v>46</v>
      </c>
      <c r="B2" s="42" t="s">
        <v>47</v>
      </c>
      <c r="C2" s="111"/>
      <c r="D2" s="111"/>
      <c r="E2" s="111"/>
      <c r="F2" s="111"/>
      <c r="G2" s="111"/>
      <c r="H2" s="111"/>
      <c r="I2" s="111"/>
      <c r="J2" s="111"/>
      <c r="K2" s="111"/>
      <c r="L2" s="111"/>
      <c r="M2" s="111"/>
      <c r="N2" s="111"/>
      <c r="O2" s="111"/>
      <c r="P2" s="111"/>
      <c r="Q2" s="111"/>
      <c r="R2" s="111"/>
      <c r="S2" s="112"/>
    </row>
    <row r="3" spans="1:19">
      <c r="A3" s="23" t="s">
        <v>48</v>
      </c>
      <c r="B3" s="42" t="s">
        <v>188</v>
      </c>
      <c r="C3" s="111"/>
      <c r="D3" s="111"/>
      <c r="E3" s="111"/>
      <c r="F3" s="111"/>
      <c r="G3" s="111"/>
      <c r="H3" s="111"/>
      <c r="I3" s="111"/>
      <c r="J3" s="111"/>
      <c r="K3" s="111"/>
      <c r="L3" s="111"/>
      <c r="M3" s="111"/>
      <c r="N3" s="111"/>
      <c r="O3" s="111"/>
      <c r="P3" s="111"/>
      <c r="Q3" s="111"/>
      <c r="R3" s="111"/>
      <c r="S3" s="112"/>
    </row>
    <row r="4" spans="1:19">
      <c r="A4" s="23" t="s">
        <v>50</v>
      </c>
      <c r="B4" s="42" t="s">
        <v>51</v>
      </c>
      <c r="C4" s="111"/>
      <c r="D4" s="111"/>
      <c r="E4" s="111"/>
      <c r="F4" s="111"/>
      <c r="G4" s="111"/>
      <c r="H4" s="111"/>
      <c r="I4" s="111"/>
      <c r="J4" s="111"/>
      <c r="K4" s="111"/>
      <c r="L4" s="111"/>
      <c r="M4" s="111"/>
      <c r="N4" s="111"/>
      <c r="O4" s="111"/>
      <c r="P4" s="111"/>
      <c r="Q4" s="111"/>
      <c r="R4" s="111"/>
      <c r="S4" s="112"/>
    </row>
    <row r="5" spans="1:19">
      <c r="A5" s="19" t="s">
        <v>189</v>
      </c>
      <c r="B5" s="111"/>
      <c r="C5" s="111"/>
      <c r="D5" s="111"/>
      <c r="E5" s="111"/>
      <c r="F5" s="111"/>
      <c r="G5" s="111"/>
      <c r="H5" s="111"/>
      <c r="I5" s="111"/>
      <c r="J5" s="111"/>
      <c r="K5" s="111"/>
      <c r="L5" s="111"/>
      <c r="M5" s="111"/>
      <c r="N5" s="111"/>
      <c r="O5" s="111"/>
      <c r="P5" s="111"/>
      <c r="Q5" s="111"/>
      <c r="R5" s="111"/>
      <c r="S5" s="112"/>
    </row>
    <row r="6" spans="1:19" ht="11.45">
      <c r="A6" s="36"/>
      <c r="B6" s="259" t="s">
        <v>190</v>
      </c>
      <c r="C6" s="259"/>
      <c r="D6" s="259"/>
      <c r="E6" s="259"/>
      <c r="F6" s="259"/>
      <c r="G6" s="259"/>
      <c r="H6" s="259"/>
      <c r="I6" s="259"/>
      <c r="J6" s="259"/>
      <c r="K6" s="259"/>
      <c r="L6" s="259"/>
      <c r="M6" s="259"/>
      <c r="N6" s="259"/>
      <c r="O6" s="259"/>
      <c r="P6" s="259"/>
      <c r="Q6" s="259"/>
      <c r="R6" s="259"/>
      <c r="S6" s="259"/>
    </row>
    <row r="7" spans="1:19" ht="43.5" customHeight="1">
      <c r="A7" s="113" t="s">
        <v>53</v>
      </c>
      <c r="B7" s="40" t="s">
        <v>191</v>
      </c>
      <c r="C7" s="41" t="s">
        <v>192</v>
      </c>
      <c r="D7" s="41" t="s">
        <v>193</v>
      </c>
      <c r="E7" s="41" t="s">
        <v>194</v>
      </c>
      <c r="F7" s="41" t="s">
        <v>195</v>
      </c>
      <c r="G7" s="41" t="s">
        <v>196</v>
      </c>
      <c r="H7" s="41" t="s">
        <v>197</v>
      </c>
      <c r="I7" s="41" t="s">
        <v>198</v>
      </c>
      <c r="J7" s="41" t="s">
        <v>199</v>
      </c>
      <c r="K7" s="41" t="s">
        <v>200</v>
      </c>
      <c r="L7" s="41" t="s">
        <v>201</v>
      </c>
      <c r="M7" s="41" t="s">
        <v>202</v>
      </c>
      <c r="N7" s="41" t="s">
        <v>203</v>
      </c>
      <c r="O7" s="41" t="s">
        <v>204</v>
      </c>
      <c r="P7" s="41" t="s">
        <v>205</v>
      </c>
      <c r="Q7" s="41" t="s">
        <v>206</v>
      </c>
      <c r="R7" s="41" t="s">
        <v>207</v>
      </c>
      <c r="S7" s="43" t="str">
        <f>UPPER("France METROPOLITAINE")</f>
        <v>FRANCE METROPOLITAINE</v>
      </c>
    </row>
    <row r="8" spans="1:19">
      <c r="A8" s="27" t="s">
        <v>61</v>
      </c>
      <c r="B8" s="83">
        <v>46670</v>
      </c>
      <c r="C8" s="83">
        <v>46180</v>
      </c>
      <c r="D8" s="83">
        <v>9960</v>
      </c>
      <c r="E8" s="83">
        <v>93890</v>
      </c>
      <c r="F8" s="83">
        <v>595380</v>
      </c>
      <c r="G8" s="83">
        <v>113830</v>
      </c>
      <c r="H8" s="83">
        <v>122650</v>
      </c>
      <c r="I8" s="83">
        <v>182690</v>
      </c>
      <c r="J8" s="83">
        <v>365990</v>
      </c>
      <c r="K8" s="83">
        <v>239340</v>
      </c>
      <c r="L8" s="83">
        <v>158190</v>
      </c>
      <c r="M8" s="83">
        <v>127270</v>
      </c>
      <c r="N8" s="83">
        <v>265240</v>
      </c>
      <c r="O8" s="83">
        <v>282740</v>
      </c>
      <c r="P8" s="83">
        <v>361530</v>
      </c>
      <c r="Q8" s="83">
        <v>298650</v>
      </c>
      <c r="R8" s="83">
        <v>14700</v>
      </c>
      <c r="S8" s="114">
        <v>3128200</v>
      </c>
    </row>
    <row r="9" spans="1:19">
      <c r="A9" s="27" t="s">
        <v>62</v>
      </c>
      <c r="B9" s="83">
        <v>44440</v>
      </c>
      <c r="C9" s="83">
        <v>46120</v>
      </c>
      <c r="D9" s="83">
        <v>10540</v>
      </c>
      <c r="E9" s="83">
        <v>96300</v>
      </c>
      <c r="F9" s="83">
        <v>591650</v>
      </c>
      <c r="G9" s="83">
        <v>114840</v>
      </c>
      <c r="H9" s="83">
        <v>123810</v>
      </c>
      <c r="I9" s="83">
        <v>184260</v>
      </c>
      <c r="J9" s="83">
        <v>367130</v>
      </c>
      <c r="K9" s="83">
        <v>243400</v>
      </c>
      <c r="L9" s="83">
        <v>158090</v>
      </c>
      <c r="M9" s="83">
        <v>127560</v>
      </c>
      <c r="N9" s="83">
        <v>265490</v>
      </c>
      <c r="O9" s="83">
        <v>284260</v>
      </c>
      <c r="P9" s="83">
        <v>362070</v>
      </c>
      <c r="Q9" s="83">
        <v>299250</v>
      </c>
      <c r="R9" s="83">
        <v>15360</v>
      </c>
      <c r="S9" s="115">
        <v>3137200</v>
      </c>
    </row>
    <row r="10" spans="1:19">
      <c r="A10" s="27" t="s">
        <v>63</v>
      </c>
      <c r="B10" s="83">
        <v>45630</v>
      </c>
      <c r="C10" s="83">
        <v>45970</v>
      </c>
      <c r="D10" s="83">
        <v>10810</v>
      </c>
      <c r="E10" s="83">
        <v>98330</v>
      </c>
      <c r="F10" s="83">
        <v>592620</v>
      </c>
      <c r="G10" s="83">
        <v>116420</v>
      </c>
      <c r="H10" s="83">
        <v>123330</v>
      </c>
      <c r="I10" s="83">
        <v>183140</v>
      </c>
      <c r="J10" s="83">
        <v>373220</v>
      </c>
      <c r="K10" s="83">
        <v>245240</v>
      </c>
      <c r="L10" s="83">
        <v>155810</v>
      </c>
      <c r="M10" s="83">
        <v>125820</v>
      </c>
      <c r="N10" s="83">
        <v>265570</v>
      </c>
      <c r="O10" s="83">
        <v>286290</v>
      </c>
      <c r="P10" s="83">
        <v>358180</v>
      </c>
      <c r="Q10" s="83">
        <v>300880</v>
      </c>
      <c r="R10" s="83">
        <v>16120</v>
      </c>
      <c r="S10" s="115">
        <v>3142600</v>
      </c>
    </row>
    <row r="11" spans="1:19">
      <c r="A11" s="60" t="s">
        <v>64</v>
      </c>
      <c r="B11" s="86">
        <v>48100</v>
      </c>
      <c r="C11" s="86">
        <v>45040</v>
      </c>
      <c r="D11" s="86">
        <v>11230</v>
      </c>
      <c r="E11" s="86">
        <v>101220</v>
      </c>
      <c r="F11" s="86">
        <v>597530</v>
      </c>
      <c r="G11" s="86">
        <v>118310</v>
      </c>
      <c r="H11" s="86">
        <v>125690</v>
      </c>
      <c r="I11" s="86">
        <v>184720</v>
      </c>
      <c r="J11" s="86">
        <v>374610</v>
      </c>
      <c r="K11" s="86">
        <v>248130</v>
      </c>
      <c r="L11" s="86">
        <v>158000</v>
      </c>
      <c r="M11" s="86">
        <v>126930</v>
      </c>
      <c r="N11" s="86">
        <v>265390</v>
      </c>
      <c r="O11" s="86">
        <v>286650</v>
      </c>
      <c r="P11" s="86">
        <v>362040</v>
      </c>
      <c r="Q11" s="86">
        <v>303280</v>
      </c>
      <c r="R11" s="86">
        <v>15180</v>
      </c>
      <c r="S11" s="116">
        <v>3166500</v>
      </c>
    </row>
    <row r="12" spans="1:19">
      <c r="A12" s="27" t="s">
        <v>65</v>
      </c>
      <c r="B12" s="83">
        <v>46590</v>
      </c>
      <c r="C12" s="83">
        <v>46590</v>
      </c>
      <c r="D12" s="83">
        <v>12060</v>
      </c>
      <c r="E12" s="83">
        <v>102460</v>
      </c>
      <c r="F12" s="83">
        <v>602260</v>
      </c>
      <c r="G12" s="83">
        <v>117660</v>
      </c>
      <c r="H12" s="83">
        <v>126640</v>
      </c>
      <c r="I12" s="83">
        <v>184280</v>
      </c>
      <c r="J12" s="83">
        <v>375820</v>
      </c>
      <c r="K12" s="83">
        <v>250280</v>
      </c>
      <c r="L12" s="83">
        <v>157880</v>
      </c>
      <c r="M12" s="83">
        <v>127230</v>
      </c>
      <c r="N12" s="83">
        <v>267810</v>
      </c>
      <c r="O12" s="83">
        <v>288870</v>
      </c>
      <c r="P12" s="83">
        <v>362710</v>
      </c>
      <c r="Q12" s="83">
        <v>307080</v>
      </c>
      <c r="R12" s="83">
        <v>15310</v>
      </c>
      <c r="S12" s="115">
        <v>3183800</v>
      </c>
    </row>
    <row r="13" spans="1:19">
      <c r="A13" s="27" t="s">
        <v>66</v>
      </c>
      <c r="B13" s="83">
        <v>48100</v>
      </c>
      <c r="C13" s="83">
        <v>45450</v>
      </c>
      <c r="D13" s="83">
        <v>12550</v>
      </c>
      <c r="E13" s="83">
        <v>104120</v>
      </c>
      <c r="F13" s="83">
        <v>604340</v>
      </c>
      <c r="G13" s="83">
        <v>116710</v>
      </c>
      <c r="H13" s="83">
        <v>126940</v>
      </c>
      <c r="I13" s="83">
        <v>185000</v>
      </c>
      <c r="J13" s="83">
        <v>377920</v>
      </c>
      <c r="K13" s="83">
        <v>250050</v>
      </c>
      <c r="L13" s="83">
        <v>159050</v>
      </c>
      <c r="M13" s="83">
        <v>127380</v>
      </c>
      <c r="N13" s="83">
        <v>267580</v>
      </c>
      <c r="O13" s="83">
        <v>292530</v>
      </c>
      <c r="P13" s="83">
        <v>357900</v>
      </c>
      <c r="Q13" s="83">
        <v>309520</v>
      </c>
      <c r="R13" s="83">
        <v>16290</v>
      </c>
      <c r="S13" s="115">
        <v>3191200</v>
      </c>
    </row>
    <row r="14" spans="1:19">
      <c r="A14" s="27" t="s">
        <v>67</v>
      </c>
      <c r="B14" s="83">
        <v>49350</v>
      </c>
      <c r="C14" s="83">
        <v>46630</v>
      </c>
      <c r="D14" s="83">
        <v>12720</v>
      </c>
      <c r="E14" s="83">
        <v>106530</v>
      </c>
      <c r="F14" s="83">
        <v>600570</v>
      </c>
      <c r="G14" s="83">
        <v>114080</v>
      </c>
      <c r="H14" s="83">
        <v>124940</v>
      </c>
      <c r="I14" s="83">
        <v>181810</v>
      </c>
      <c r="J14" s="83">
        <v>375660</v>
      </c>
      <c r="K14" s="83">
        <v>246680</v>
      </c>
      <c r="L14" s="83">
        <v>153740</v>
      </c>
      <c r="M14" s="83">
        <v>126400</v>
      </c>
      <c r="N14" s="83">
        <v>265860</v>
      </c>
      <c r="O14" s="83">
        <v>293500</v>
      </c>
      <c r="P14" s="83">
        <v>349710</v>
      </c>
      <c r="Q14" s="83">
        <v>311290</v>
      </c>
      <c r="R14" s="83">
        <v>16330</v>
      </c>
      <c r="S14" s="115">
        <v>3160600</v>
      </c>
    </row>
    <row r="15" spans="1:19">
      <c r="A15" s="80" t="s">
        <v>68</v>
      </c>
      <c r="B15" s="86">
        <v>46430</v>
      </c>
      <c r="C15" s="86">
        <v>46550</v>
      </c>
      <c r="D15" s="86">
        <v>13070</v>
      </c>
      <c r="E15" s="86">
        <v>109060</v>
      </c>
      <c r="F15" s="86">
        <v>598890</v>
      </c>
      <c r="G15" s="86">
        <v>112380</v>
      </c>
      <c r="H15" s="86">
        <v>123900</v>
      </c>
      <c r="I15" s="86">
        <v>180180</v>
      </c>
      <c r="J15" s="86">
        <v>374230</v>
      </c>
      <c r="K15" s="86">
        <v>243270</v>
      </c>
      <c r="L15" s="86">
        <v>154490</v>
      </c>
      <c r="M15" s="86">
        <v>127110</v>
      </c>
      <c r="N15" s="86">
        <v>268310</v>
      </c>
      <c r="O15" s="86">
        <v>295000</v>
      </c>
      <c r="P15" s="86">
        <v>348140</v>
      </c>
      <c r="Q15" s="86">
        <v>309760</v>
      </c>
      <c r="R15" s="86">
        <v>15480</v>
      </c>
      <c r="S15" s="116">
        <v>3151100</v>
      </c>
    </row>
    <row r="16" spans="1:19">
      <c r="A16" s="27" t="s">
        <v>69</v>
      </c>
      <c r="B16" s="83">
        <v>49390</v>
      </c>
      <c r="C16" s="83">
        <v>47170</v>
      </c>
      <c r="D16" s="83">
        <v>13210</v>
      </c>
      <c r="E16" s="83">
        <v>108450</v>
      </c>
      <c r="F16" s="83">
        <v>596530</v>
      </c>
      <c r="G16" s="83">
        <v>111280</v>
      </c>
      <c r="H16" s="83">
        <v>121790</v>
      </c>
      <c r="I16" s="83">
        <v>177720</v>
      </c>
      <c r="J16" s="83">
        <v>370500</v>
      </c>
      <c r="K16" s="83">
        <v>240040</v>
      </c>
      <c r="L16" s="83">
        <v>151490</v>
      </c>
      <c r="M16" s="83">
        <v>125420</v>
      </c>
      <c r="N16" s="83">
        <v>264980</v>
      </c>
      <c r="O16" s="83">
        <v>296090</v>
      </c>
      <c r="P16" s="83">
        <v>341400</v>
      </c>
      <c r="Q16" s="83">
        <v>308270</v>
      </c>
      <c r="R16" s="83">
        <v>15320</v>
      </c>
      <c r="S16" s="115">
        <v>3120800</v>
      </c>
    </row>
    <row r="17" spans="1:19">
      <c r="A17" s="27" t="s">
        <v>70</v>
      </c>
      <c r="B17" s="83">
        <v>51170</v>
      </c>
      <c r="C17" s="83">
        <v>47730</v>
      </c>
      <c r="D17" s="83">
        <v>12960</v>
      </c>
      <c r="E17" s="83">
        <v>107370</v>
      </c>
      <c r="F17" s="83">
        <v>592480</v>
      </c>
      <c r="G17" s="83">
        <v>110290</v>
      </c>
      <c r="H17" s="83">
        <v>119470</v>
      </c>
      <c r="I17" s="83">
        <v>175420</v>
      </c>
      <c r="J17" s="83">
        <v>367210</v>
      </c>
      <c r="K17" s="83">
        <v>236520</v>
      </c>
      <c r="L17" s="83">
        <v>150600</v>
      </c>
      <c r="M17" s="83">
        <v>124890</v>
      </c>
      <c r="N17" s="83">
        <v>264490</v>
      </c>
      <c r="O17" s="83">
        <v>297230</v>
      </c>
      <c r="P17" s="83">
        <v>336100</v>
      </c>
      <c r="Q17" s="83">
        <v>307280</v>
      </c>
      <c r="R17" s="83">
        <v>15360</v>
      </c>
      <c r="S17" s="115">
        <v>3097300</v>
      </c>
    </row>
    <row r="18" spans="1:19">
      <c r="A18" s="27" t="s">
        <v>71</v>
      </c>
      <c r="B18" s="83">
        <v>50320</v>
      </c>
      <c r="C18" s="83">
        <v>48750</v>
      </c>
      <c r="D18" s="83">
        <v>13570</v>
      </c>
      <c r="E18" s="83">
        <v>109080</v>
      </c>
      <c r="F18" s="83">
        <v>588630</v>
      </c>
      <c r="G18" s="83">
        <v>109090</v>
      </c>
      <c r="H18" s="83">
        <v>118310</v>
      </c>
      <c r="I18" s="83">
        <v>173870</v>
      </c>
      <c r="J18" s="83">
        <v>365380</v>
      </c>
      <c r="K18" s="83">
        <v>235140</v>
      </c>
      <c r="L18" s="83">
        <v>149870</v>
      </c>
      <c r="M18" s="83">
        <v>123670</v>
      </c>
      <c r="N18" s="83">
        <v>262330</v>
      </c>
      <c r="O18" s="83">
        <v>296950</v>
      </c>
      <c r="P18" s="83">
        <v>335200</v>
      </c>
      <c r="Q18" s="83">
        <v>306250</v>
      </c>
      <c r="R18" s="83">
        <v>15370</v>
      </c>
      <c r="S18" s="115">
        <v>3080100</v>
      </c>
    </row>
    <row r="19" spans="1:19">
      <c r="A19" s="80" t="s">
        <v>72</v>
      </c>
      <c r="B19" s="86">
        <v>50410</v>
      </c>
      <c r="C19" s="86">
        <v>50740</v>
      </c>
      <c r="D19" s="86">
        <v>13660</v>
      </c>
      <c r="E19" s="86">
        <v>108270</v>
      </c>
      <c r="F19" s="86">
        <v>586520</v>
      </c>
      <c r="G19" s="86">
        <v>108730</v>
      </c>
      <c r="H19" s="86">
        <v>118710</v>
      </c>
      <c r="I19" s="86">
        <v>173420</v>
      </c>
      <c r="J19" s="86">
        <v>365740</v>
      </c>
      <c r="K19" s="86">
        <v>235220</v>
      </c>
      <c r="L19" s="86">
        <v>148710</v>
      </c>
      <c r="M19" s="86">
        <v>124010</v>
      </c>
      <c r="N19" s="86">
        <v>262610</v>
      </c>
      <c r="O19" s="86">
        <v>298360</v>
      </c>
      <c r="P19" s="86">
        <v>333670</v>
      </c>
      <c r="Q19" s="86">
        <v>309070</v>
      </c>
      <c r="R19" s="86">
        <v>15300</v>
      </c>
      <c r="S19" s="116">
        <v>3080100</v>
      </c>
    </row>
    <row r="20" spans="1:19">
      <c r="A20" s="27" t="s">
        <v>73</v>
      </c>
      <c r="B20" s="83">
        <v>51470</v>
      </c>
      <c r="C20" s="83">
        <v>49270</v>
      </c>
      <c r="D20" s="83">
        <v>13470</v>
      </c>
      <c r="E20" s="83">
        <v>108640</v>
      </c>
      <c r="F20" s="83">
        <v>578750</v>
      </c>
      <c r="G20" s="83">
        <v>107990</v>
      </c>
      <c r="H20" s="83">
        <v>117960</v>
      </c>
      <c r="I20" s="83">
        <v>173340</v>
      </c>
      <c r="J20" s="83">
        <v>367060</v>
      </c>
      <c r="K20" s="83">
        <v>232900</v>
      </c>
      <c r="L20" s="83">
        <v>147890</v>
      </c>
      <c r="M20" s="83">
        <v>125460</v>
      </c>
      <c r="N20" s="83">
        <v>263000</v>
      </c>
      <c r="O20" s="83">
        <v>297070</v>
      </c>
      <c r="P20" s="83">
        <v>335390</v>
      </c>
      <c r="Q20" s="83">
        <v>308240</v>
      </c>
      <c r="R20" s="83">
        <v>15220</v>
      </c>
      <c r="S20" s="115">
        <v>3070300</v>
      </c>
    </row>
    <row r="21" spans="1:19">
      <c r="A21" s="27" t="s">
        <v>74</v>
      </c>
      <c r="B21" s="83">
        <v>51230</v>
      </c>
      <c r="C21" s="83">
        <v>49320</v>
      </c>
      <c r="D21" s="83">
        <v>13480</v>
      </c>
      <c r="E21" s="83">
        <v>110060</v>
      </c>
      <c r="F21" s="83">
        <v>573770</v>
      </c>
      <c r="G21" s="83">
        <v>107000</v>
      </c>
      <c r="H21" s="83">
        <v>116730</v>
      </c>
      <c r="I21" s="83">
        <v>171650</v>
      </c>
      <c r="J21" s="83">
        <v>365250</v>
      </c>
      <c r="K21" s="83">
        <v>231170</v>
      </c>
      <c r="L21" s="83">
        <v>143800</v>
      </c>
      <c r="M21" s="83">
        <v>120560</v>
      </c>
      <c r="N21" s="83">
        <v>261110</v>
      </c>
      <c r="O21" s="83">
        <v>297260</v>
      </c>
      <c r="P21" s="83">
        <v>335540</v>
      </c>
      <c r="Q21" s="83">
        <v>307260</v>
      </c>
      <c r="R21" s="83">
        <v>15080</v>
      </c>
      <c r="S21" s="115">
        <v>3046200</v>
      </c>
    </row>
    <row r="22" spans="1:19">
      <c r="A22" s="27" t="s">
        <v>75</v>
      </c>
      <c r="B22" s="83">
        <v>52090</v>
      </c>
      <c r="C22" s="83">
        <v>49480</v>
      </c>
      <c r="D22" s="83">
        <v>13400</v>
      </c>
      <c r="E22" s="83">
        <v>109270</v>
      </c>
      <c r="F22" s="83">
        <v>552620</v>
      </c>
      <c r="G22" s="83">
        <v>101700</v>
      </c>
      <c r="H22" s="83">
        <v>111660</v>
      </c>
      <c r="I22" s="83">
        <v>164000</v>
      </c>
      <c r="J22" s="83">
        <v>351840</v>
      </c>
      <c r="K22" s="83">
        <v>222030</v>
      </c>
      <c r="L22" s="83">
        <v>137180</v>
      </c>
      <c r="M22" s="83">
        <v>115720</v>
      </c>
      <c r="N22" s="83">
        <v>251440</v>
      </c>
      <c r="O22" s="83">
        <v>292550</v>
      </c>
      <c r="P22" s="83">
        <v>322900</v>
      </c>
      <c r="Q22" s="83">
        <v>297290</v>
      </c>
      <c r="R22" s="83">
        <v>14820</v>
      </c>
      <c r="S22" s="115">
        <v>2935800</v>
      </c>
    </row>
    <row r="23" spans="1:19">
      <c r="A23" s="80" t="s">
        <v>76</v>
      </c>
      <c r="B23" s="86">
        <v>52600</v>
      </c>
      <c r="C23" s="86">
        <v>48470</v>
      </c>
      <c r="D23" s="86">
        <v>13350</v>
      </c>
      <c r="E23" s="86">
        <v>109070</v>
      </c>
      <c r="F23" s="86">
        <v>541370</v>
      </c>
      <c r="G23" s="86">
        <v>96810</v>
      </c>
      <c r="H23" s="86">
        <v>106430</v>
      </c>
      <c r="I23" s="86">
        <v>157180</v>
      </c>
      <c r="J23" s="86">
        <v>339490</v>
      </c>
      <c r="K23" s="86">
        <v>212030</v>
      </c>
      <c r="L23" s="86">
        <v>132210</v>
      </c>
      <c r="M23" s="86">
        <v>111920</v>
      </c>
      <c r="N23" s="86">
        <v>245280</v>
      </c>
      <c r="O23" s="86">
        <v>288590</v>
      </c>
      <c r="P23" s="86">
        <v>313180</v>
      </c>
      <c r="Q23" s="86">
        <v>291150</v>
      </c>
      <c r="R23" s="86">
        <v>14920</v>
      </c>
      <c r="S23" s="116">
        <v>2850600</v>
      </c>
    </row>
    <row r="24" spans="1:19">
      <c r="A24" s="27" t="s">
        <v>77</v>
      </c>
      <c r="B24" s="83">
        <v>53600</v>
      </c>
      <c r="C24" s="83">
        <v>49120</v>
      </c>
      <c r="D24" s="83">
        <v>13220</v>
      </c>
      <c r="E24" s="83">
        <v>110630</v>
      </c>
      <c r="F24" s="83">
        <v>525090</v>
      </c>
      <c r="G24" s="83">
        <v>93810</v>
      </c>
      <c r="H24" s="83">
        <v>102890</v>
      </c>
      <c r="I24" s="83">
        <v>153340</v>
      </c>
      <c r="J24" s="83">
        <v>329070</v>
      </c>
      <c r="K24" s="83">
        <v>205930</v>
      </c>
      <c r="L24" s="83">
        <v>127760</v>
      </c>
      <c r="M24" s="83">
        <v>108710</v>
      </c>
      <c r="N24" s="83">
        <v>237530</v>
      </c>
      <c r="O24" s="83">
        <v>281470</v>
      </c>
      <c r="P24" s="83">
        <v>304470</v>
      </c>
      <c r="Q24" s="83">
        <v>285400</v>
      </c>
      <c r="R24" s="83">
        <v>14330</v>
      </c>
      <c r="S24" s="115">
        <v>2769800</v>
      </c>
    </row>
    <row r="25" spans="1:19">
      <c r="A25" s="27" t="s">
        <v>78</v>
      </c>
      <c r="B25" s="83">
        <v>51330</v>
      </c>
      <c r="C25" s="83">
        <v>46760</v>
      </c>
      <c r="D25" s="83">
        <v>13220</v>
      </c>
      <c r="E25" s="83">
        <v>109500</v>
      </c>
      <c r="F25" s="83">
        <v>503920</v>
      </c>
      <c r="G25" s="83">
        <v>90930</v>
      </c>
      <c r="H25" s="83">
        <v>99380</v>
      </c>
      <c r="I25" s="83">
        <v>151780</v>
      </c>
      <c r="J25" s="83">
        <v>320760</v>
      </c>
      <c r="K25" s="83">
        <v>199080</v>
      </c>
      <c r="L25" s="83">
        <v>123100</v>
      </c>
      <c r="M25" s="83">
        <v>105610</v>
      </c>
      <c r="N25" s="83">
        <v>231020</v>
      </c>
      <c r="O25" s="83">
        <v>275580</v>
      </c>
      <c r="P25" s="83">
        <v>287380</v>
      </c>
      <c r="Q25" s="83">
        <v>270500</v>
      </c>
      <c r="R25" s="83">
        <v>13870</v>
      </c>
      <c r="S25" s="115">
        <v>2672900</v>
      </c>
    </row>
    <row r="26" spans="1:19">
      <c r="A26" s="27" t="s">
        <v>79</v>
      </c>
      <c r="B26" s="83">
        <v>50510</v>
      </c>
      <c r="C26" s="83">
        <v>44590</v>
      </c>
      <c r="D26" s="83">
        <v>13030</v>
      </c>
      <c r="E26" s="83">
        <v>108540</v>
      </c>
      <c r="F26" s="83">
        <v>488070</v>
      </c>
      <c r="G26" s="83">
        <v>87460</v>
      </c>
      <c r="H26" s="83">
        <v>96060</v>
      </c>
      <c r="I26" s="83">
        <v>144390</v>
      </c>
      <c r="J26" s="83">
        <v>309710</v>
      </c>
      <c r="K26" s="83">
        <v>192270</v>
      </c>
      <c r="L26" s="83">
        <v>120320</v>
      </c>
      <c r="M26" s="83">
        <v>102110</v>
      </c>
      <c r="N26" s="83">
        <v>223780</v>
      </c>
      <c r="O26" s="83">
        <v>271000</v>
      </c>
      <c r="P26" s="83">
        <v>273280</v>
      </c>
      <c r="Q26" s="83">
        <v>269780</v>
      </c>
      <c r="R26" s="83">
        <v>13760</v>
      </c>
      <c r="S26" s="115">
        <v>2592000</v>
      </c>
    </row>
    <row r="27" spans="1:19">
      <c r="A27" s="80" t="s">
        <v>80</v>
      </c>
      <c r="B27" s="86">
        <v>50030</v>
      </c>
      <c r="C27" s="86">
        <v>44290</v>
      </c>
      <c r="D27" s="86">
        <v>12660</v>
      </c>
      <c r="E27" s="86">
        <v>110520</v>
      </c>
      <c r="F27" s="86">
        <v>463190</v>
      </c>
      <c r="G27" s="86">
        <v>83680</v>
      </c>
      <c r="H27" s="86">
        <v>88400</v>
      </c>
      <c r="I27" s="86">
        <v>139420</v>
      </c>
      <c r="J27" s="86">
        <v>303610</v>
      </c>
      <c r="K27" s="86">
        <v>192740</v>
      </c>
      <c r="L27" s="86">
        <v>109590</v>
      </c>
      <c r="M27" s="86">
        <v>94610</v>
      </c>
      <c r="N27" s="86">
        <v>211430</v>
      </c>
      <c r="O27" s="86">
        <v>255670</v>
      </c>
      <c r="P27" s="86">
        <v>251870</v>
      </c>
      <c r="Q27" s="86">
        <v>258400</v>
      </c>
      <c r="R27" s="86">
        <v>13500</v>
      </c>
      <c r="S27" s="116">
        <v>2466100</v>
      </c>
    </row>
    <row r="28" spans="1:19">
      <c r="A28" s="27" t="s">
        <v>81</v>
      </c>
      <c r="B28" s="83">
        <v>48990</v>
      </c>
      <c r="C28" s="83">
        <v>42870</v>
      </c>
      <c r="D28" s="83">
        <v>12280</v>
      </c>
      <c r="E28" s="83">
        <v>110440</v>
      </c>
      <c r="F28" s="83">
        <v>442200</v>
      </c>
      <c r="G28" s="83">
        <v>79980</v>
      </c>
      <c r="H28" s="83">
        <v>84480</v>
      </c>
      <c r="I28" s="83">
        <v>131230</v>
      </c>
      <c r="J28" s="83">
        <v>290580</v>
      </c>
      <c r="K28" s="83">
        <v>181300</v>
      </c>
      <c r="L28" s="83">
        <v>110170</v>
      </c>
      <c r="M28" s="83">
        <v>92420</v>
      </c>
      <c r="N28" s="83">
        <v>207610</v>
      </c>
      <c r="O28" s="83">
        <v>250630</v>
      </c>
      <c r="P28" s="83">
        <v>244890</v>
      </c>
      <c r="Q28" s="83">
        <v>252520</v>
      </c>
      <c r="R28" s="83">
        <v>13350</v>
      </c>
      <c r="S28" s="115">
        <v>2381400</v>
      </c>
    </row>
    <row r="29" spans="1:19">
      <c r="A29" s="27" t="s">
        <v>82</v>
      </c>
      <c r="B29" s="83">
        <v>48310</v>
      </c>
      <c r="C29" s="83">
        <v>41220</v>
      </c>
      <c r="D29" s="83">
        <v>12620</v>
      </c>
      <c r="E29" s="83">
        <v>109370</v>
      </c>
      <c r="F29" s="83">
        <v>436060</v>
      </c>
      <c r="G29" s="83">
        <v>77960</v>
      </c>
      <c r="H29" s="83">
        <v>84470</v>
      </c>
      <c r="I29" s="83">
        <v>130460</v>
      </c>
      <c r="J29" s="83">
        <v>284090</v>
      </c>
      <c r="K29" s="83">
        <v>177550</v>
      </c>
      <c r="L29" s="83">
        <v>110670</v>
      </c>
      <c r="M29" s="83">
        <v>93790</v>
      </c>
      <c r="N29" s="83">
        <v>205900</v>
      </c>
      <c r="O29" s="83">
        <v>248560</v>
      </c>
      <c r="P29" s="83">
        <v>244360</v>
      </c>
      <c r="Q29" s="83">
        <v>249750</v>
      </c>
      <c r="R29" s="83">
        <v>13010</v>
      </c>
      <c r="S29" s="115">
        <v>2356600</v>
      </c>
    </row>
    <row r="30" spans="1:19">
      <c r="A30" s="27" t="s">
        <v>83</v>
      </c>
      <c r="B30" s="83">
        <v>48740</v>
      </c>
      <c r="C30" s="83">
        <v>41490</v>
      </c>
      <c r="D30" s="83">
        <v>12480</v>
      </c>
      <c r="E30" s="83">
        <v>109210</v>
      </c>
      <c r="F30" s="83">
        <v>448050</v>
      </c>
      <c r="G30" s="83">
        <v>80240</v>
      </c>
      <c r="H30" s="83">
        <v>88110</v>
      </c>
      <c r="I30" s="83">
        <v>132280</v>
      </c>
      <c r="J30" s="83">
        <v>287900</v>
      </c>
      <c r="K30" s="83">
        <v>184630</v>
      </c>
      <c r="L30" s="83">
        <v>113330</v>
      </c>
      <c r="M30" s="83">
        <v>96530</v>
      </c>
      <c r="N30" s="83">
        <v>206750</v>
      </c>
      <c r="O30" s="83">
        <v>246490</v>
      </c>
      <c r="P30" s="83">
        <v>250680</v>
      </c>
      <c r="Q30" s="83">
        <v>247730</v>
      </c>
      <c r="R30" s="83">
        <v>12650</v>
      </c>
      <c r="S30" s="115">
        <v>2395400</v>
      </c>
    </row>
    <row r="31" spans="1:19">
      <c r="A31" s="80" t="s">
        <v>84</v>
      </c>
      <c r="B31" s="86">
        <v>47990</v>
      </c>
      <c r="C31" s="86">
        <v>41020</v>
      </c>
      <c r="D31" s="86">
        <v>12400</v>
      </c>
      <c r="E31" s="86">
        <v>107930</v>
      </c>
      <c r="F31" s="86">
        <v>464740</v>
      </c>
      <c r="G31" s="86">
        <v>82810</v>
      </c>
      <c r="H31" s="86">
        <v>92840</v>
      </c>
      <c r="I31" s="86">
        <v>135040</v>
      </c>
      <c r="J31" s="86">
        <v>292290</v>
      </c>
      <c r="K31" s="86">
        <v>190280</v>
      </c>
      <c r="L31" s="86">
        <v>117290</v>
      </c>
      <c r="M31" s="86">
        <v>99970</v>
      </c>
      <c r="N31" s="86">
        <v>210710</v>
      </c>
      <c r="O31" s="86">
        <v>252880</v>
      </c>
      <c r="P31" s="86">
        <v>259070</v>
      </c>
      <c r="Q31" s="86">
        <v>249920</v>
      </c>
      <c r="R31" s="86">
        <v>12840</v>
      </c>
      <c r="S31" s="116">
        <v>2460700</v>
      </c>
    </row>
    <row r="32" spans="1:19">
      <c r="A32" s="27" t="s">
        <v>85</v>
      </c>
      <c r="B32" s="83">
        <v>47930</v>
      </c>
      <c r="C32" s="83">
        <v>40830</v>
      </c>
      <c r="D32" s="83">
        <v>12630</v>
      </c>
      <c r="E32" s="83">
        <v>107330</v>
      </c>
      <c r="F32" s="83">
        <v>484440</v>
      </c>
      <c r="G32" s="83">
        <v>84180</v>
      </c>
      <c r="H32" s="83">
        <v>94990</v>
      </c>
      <c r="I32" s="83">
        <v>136020</v>
      </c>
      <c r="J32" s="83">
        <v>292320</v>
      </c>
      <c r="K32" s="83">
        <v>196100</v>
      </c>
      <c r="L32" s="83">
        <v>116350</v>
      </c>
      <c r="M32" s="83">
        <v>100790</v>
      </c>
      <c r="N32" s="83">
        <v>209440</v>
      </c>
      <c r="O32" s="83">
        <v>253400</v>
      </c>
      <c r="P32" s="83">
        <v>261910</v>
      </c>
      <c r="Q32" s="83">
        <v>245860</v>
      </c>
      <c r="R32" s="83">
        <v>12290</v>
      </c>
      <c r="S32" s="115">
        <v>2488100</v>
      </c>
    </row>
    <row r="33" spans="1:19">
      <c r="A33" s="27" t="s">
        <v>86</v>
      </c>
      <c r="B33" s="83">
        <v>48370</v>
      </c>
      <c r="C33" s="83">
        <v>41170</v>
      </c>
      <c r="D33" s="83">
        <v>12640</v>
      </c>
      <c r="E33" s="83">
        <v>106070</v>
      </c>
      <c r="F33" s="83">
        <v>503660</v>
      </c>
      <c r="G33" s="83">
        <v>85510</v>
      </c>
      <c r="H33" s="83">
        <v>95950</v>
      </c>
      <c r="I33" s="83">
        <v>136390</v>
      </c>
      <c r="J33" s="83">
        <v>292470</v>
      </c>
      <c r="K33" s="83">
        <v>200460</v>
      </c>
      <c r="L33" s="83">
        <v>118170</v>
      </c>
      <c r="M33" s="83">
        <v>102410</v>
      </c>
      <c r="N33" s="83">
        <v>210700</v>
      </c>
      <c r="O33" s="83">
        <v>255520</v>
      </c>
      <c r="P33" s="83">
        <v>264320</v>
      </c>
      <c r="Q33" s="83">
        <v>244190</v>
      </c>
      <c r="R33" s="83">
        <v>11980</v>
      </c>
      <c r="S33" s="115">
        <v>2521700</v>
      </c>
    </row>
    <row r="34" spans="1:19">
      <c r="A34" s="27" t="s">
        <v>87</v>
      </c>
      <c r="B34" s="83">
        <v>47800</v>
      </c>
      <c r="C34" s="83">
        <v>40590</v>
      </c>
      <c r="D34" s="83">
        <v>12570</v>
      </c>
      <c r="E34" s="83">
        <v>104270</v>
      </c>
      <c r="F34" s="83">
        <v>520940</v>
      </c>
      <c r="G34" s="83">
        <v>87080</v>
      </c>
      <c r="H34" s="83">
        <v>97690</v>
      </c>
      <c r="I34" s="83">
        <v>137440</v>
      </c>
      <c r="J34" s="83">
        <v>290190</v>
      </c>
      <c r="K34" s="83">
        <v>204020</v>
      </c>
      <c r="L34" s="83">
        <v>119070</v>
      </c>
      <c r="M34" s="83">
        <v>104080</v>
      </c>
      <c r="N34" s="83">
        <v>212140</v>
      </c>
      <c r="O34" s="83">
        <v>255090</v>
      </c>
      <c r="P34" s="83">
        <v>269620</v>
      </c>
      <c r="Q34" s="83">
        <v>243170</v>
      </c>
      <c r="R34" s="83">
        <v>11780</v>
      </c>
      <c r="S34" s="115">
        <v>2552300</v>
      </c>
    </row>
    <row r="35" spans="1:19">
      <c r="A35" s="80" t="s">
        <v>88</v>
      </c>
      <c r="B35" s="86">
        <v>47360</v>
      </c>
      <c r="C35" s="86">
        <v>40120</v>
      </c>
      <c r="D35" s="86">
        <v>12720</v>
      </c>
      <c r="E35" s="86">
        <v>102670</v>
      </c>
      <c r="F35" s="86">
        <v>532660</v>
      </c>
      <c r="G35" s="86">
        <v>88180</v>
      </c>
      <c r="H35" s="86">
        <v>99470</v>
      </c>
      <c r="I35" s="86">
        <v>136660</v>
      </c>
      <c r="J35" s="86">
        <v>289310</v>
      </c>
      <c r="K35" s="86">
        <v>207310</v>
      </c>
      <c r="L35" s="86">
        <v>118750</v>
      </c>
      <c r="M35" s="86">
        <v>104170</v>
      </c>
      <c r="N35" s="86">
        <v>212560</v>
      </c>
      <c r="O35" s="86">
        <v>256130</v>
      </c>
      <c r="P35" s="86">
        <v>273560</v>
      </c>
      <c r="Q35" s="86">
        <v>242520</v>
      </c>
      <c r="R35" s="86">
        <v>11790</v>
      </c>
      <c r="S35" s="116">
        <v>2573100</v>
      </c>
    </row>
    <row r="36" spans="1:19">
      <c r="A36" s="27" t="s">
        <v>89</v>
      </c>
      <c r="B36" s="83">
        <v>46690</v>
      </c>
      <c r="C36" s="83">
        <v>39810</v>
      </c>
      <c r="D36" s="83">
        <v>12590</v>
      </c>
      <c r="E36" s="83">
        <v>99710</v>
      </c>
      <c r="F36" s="83">
        <v>546570</v>
      </c>
      <c r="G36" s="83">
        <v>90110</v>
      </c>
      <c r="H36" s="83">
        <v>100830</v>
      </c>
      <c r="I36" s="83">
        <v>139870</v>
      </c>
      <c r="J36" s="83">
        <v>291970</v>
      </c>
      <c r="K36" s="83">
        <v>213640</v>
      </c>
      <c r="L36" s="83">
        <v>121740</v>
      </c>
      <c r="M36" s="83">
        <v>106120</v>
      </c>
      <c r="N36" s="83">
        <v>216920</v>
      </c>
      <c r="O36" s="83">
        <v>258830</v>
      </c>
      <c r="P36" s="83">
        <v>281030</v>
      </c>
      <c r="Q36" s="83">
        <v>246160</v>
      </c>
      <c r="R36" s="83">
        <v>11800</v>
      </c>
      <c r="S36" s="115">
        <v>2625600</v>
      </c>
    </row>
    <row r="37" spans="1:19">
      <c r="A37" s="27" t="s">
        <v>90</v>
      </c>
      <c r="B37" s="83">
        <v>46550</v>
      </c>
      <c r="C37" s="83">
        <v>39410</v>
      </c>
      <c r="D37" s="83">
        <v>12860</v>
      </c>
      <c r="E37" s="83">
        <v>100040</v>
      </c>
      <c r="F37" s="83">
        <v>564170</v>
      </c>
      <c r="G37" s="83">
        <v>92120</v>
      </c>
      <c r="H37" s="83">
        <v>101420</v>
      </c>
      <c r="I37" s="83">
        <v>140460</v>
      </c>
      <c r="J37" s="83">
        <v>291520</v>
      </c>
      <c r="K37" s="83">
        <v>217760</v>
      </c>
      <c r="L37" s="83">
        <v>122490</v>
      </c>
      <c r="M37" s="83">
        <v>107120</v>
      </c>
      <c r="N37" s="83">
        <v>217810</v>
      </c>
      <c r="O37" s="83">
        <v>254970</v>
      </c>
      <c r="P37" s="83">
        <v>284630</v>
      </c>
      <c r="Q37" s="83">
        <v>246580</v>
      </c>
      <c r="R37" s="83">
        <v>11090</v>
      </c>
      <c r="S37" s="115">
        <v>2652100</v>
      </c>
    </row>
    <row r="38" spans="1:19">
      <c r="A38" s="27" t="s">
        <v>91</v>
      </c>
      <c r="B38" s="83">
        <v>46260</v>
      </c>
      <c r="C38" s="83">
        <v>38790</v>
      </c>
      <c r="D38" s="83">
        <v>12540</v>
      </c>
      <c r="E38" s="83">
        <v>97280</v>
      </c>
      <c r="F38" s="83">
        <v>571260</v>
      </c>
      <c r="G38" s="83">
        <v>94150</v>
      </c>
      <c r="H38" s="83">
        <v>104410</v>
      </c>
      <c r="I38" s="83">
        <v>141430</v>
      </c>
      <c r="J38" s="83">
        <v>294770</v>
      </c>
      <c r="K38" s="83">
        <v>220820</v>
      </c>
      <c r="L38" s="83">
        <v>123870</v>
      </c>
      <c r="M38" s="83">
        <v>108420</v>
      </c>
      <c r="N38" s="83">
        <v>221070</v>
      </c>
      <c r="O38" s="83">
        <v>259380</v>
      </c>
      <c r="P38" s="83">
        <v>288810</v>
      </c>
      <c r="Q38" s="83">
        <v>246630</v>
      </c>
      <c r="R38" s="83">
        <v>11710</v>
      </c>
      <c r="S38" s="115">
        <v>2686700</v>
      </c>
    </row>
    <row r="39" spans="1:19">
      <c r="A39" s="80" t="s">
        <v>92</v>
      </c>
      <c r="B39" s="86">
        <v>45590</v>
      </c>
      <c r="C39" s="86">
        <v>38050</v>
      </c>
      <c r="D39" s="86">
        <v>12830</v>
      </c>
      <c r="E39" s="86">
        <v>94240</v>
      </c>
      <c r="F39" s="86">
        <v>578160</v>
      </c>
      <c r="G39" s="86">
        <v>96360</v>
      </c>
      <c r="H39" s="86">
        <v>106640</v>
      </c>
      <c r="I39" s="86">
        <v>143040</v>
      </c>
      <c r="J39" s="86">
        <v>297750</v>
      </c>
      <c r="K39" s="86">
        <v>225040</v>
      </c>
      <c r="L39" s="86">
        <v>126140</v>
      </c>
      <c r="M39" s="86">
        <v>109480</v>
      </c>
      <c r="N39" s="86">
        <v>224810</v>
      </c>
      <c r="O39" s="86">
        <v>260050</v>
      </c>
      <c r="P39" s="86">
        <v>290700</v>
      </c>
      <c r="Q39" s="86">
        <v>245870</v>
      </c>
      <c r="R39" s="86">
        <v>11720</v>
      </c>
      <c r="S39" s="116">
        <v>2715800</v>
      </c>
    </row>
    <row r="40" spans="1:19">
      <c r="A40" s="27" t="s">
        <v>93</v>
      </c>
      <c r="B40" s="83">
        <v>44840</v>
      </c>
      <c r="C40" s="83">
        <v>37620</v>
      </c>
      <c r="D40" s="83">
        <v>12780</v>
      </c>
      <c r="E40" s="83">
        <v>92310</v>
      </c>
      <c r="F40" s="83">
        <v>570800</v>
      </c>
      <c r="G40" s="83">
        <v>95210</v>
      </c>
      <c r="H40" s="83">
        <v>104630</v>
      </c>
      <c r="I40" s="83">
        <v>141260</v>
      </c>
      <c r="J40" s="83">
        <v>295490</v>
      </c>
      <c r="K40" s="83">
        <v>222840</v>
      </c>
      <c r="L40" s="83">
        <v>124760</v>
      </c>
      <c r="M40" s="83">
        <v>107510</v>
      </c>
      <c r="N40" s="83">
        <v>220520</v>
      </c>
      <c r="O40" s="83">
        <v>254120</v>
      </c>
      <c r="P40" s="83">
        <v>286320</v>
      </c>
      <c r="Q40" s="83">
        <v>238510</v>
      </c>
      <c r="R40" s="83">
        <v>11640</v>
      </c>
      <c r="S40" s="115">
        <v>2673600</v>
      </c>
    </row>
    <row r="41" spans="1:19">
      <c r="A41" s="27" t="s">
        <v>94</v>
      </c>
      <c r="B41" s="83">
        <v>44330</v>
      </c>
      <c r="C41" s="83">
        <v>37780</v>
      </c>
      <c r="D41" s="83">
        <v>12910</v>
      </c>
      <c r="E41" s="83">
        <v>92210</v>
      </c>
      <c r="F41" s="83">
        <v>571000</v>
      </c>
      <c r="G41" s="83">
        <v>95460</v>
      </c>
      <c r="H41" s="83">
        <v>104340</v>
      </c>
      <c r="I41" s="83">
        <v>140700</v>
      </c>
      <c r="J41" s="83">
        <v>296040</v>
      </c>
      <c r="K41" s="83">
        <v>224300</v>
      </c>
      <c r="L41" s="83">
        <v>124310</v>
      </c>
      <c r="M41" s="83">
        <v>106020</v>
      </c>
      <c r="N41" s="83">
        <v>220300</v>
      </c>
      <c r="O41" s="83">
        <v>254530</v>
      </c>
      <c r="P41" s="83">
        <v>286200</v>
      </c>
      <c r="Q41" s="83">
        <v>238210</v>
      </c>
      <c r="R41" s="83">
        <v>11830</v>
      </c>
      <c r="S41" s="115">
        <v>2673200</v>
      </c>
    </row>
    <row r="42" spans="1:19">
      <c r="A42" s="27" t="s">
        <v>95</v>
      </c>
      <c r="B42" s="83">
        <v>44910</v>
      </c>
      <c r="C42" s="83">
        <v>38640</v>
      </c>
      <c r="D42" s="83">
        <v>13490</v>
      </c>
      <c r="E42" s="83">
        <v>91340</v>
      </c>
      <c r="F42" s="83">
        <v>574090</v>
      </c>
      <c r="G42" s="83">
        <v>96410</v>
      </c>
      <c r="H42" s="83">
        <v>104880</v>
      </c>
      <c r="I42" s="83">
        <v>142470</v>
      </c>
      <c r="J42" s="83">
        <v>298130</v>
      </c>
      <c r="K42" s="83">
        <v>228590</v>
      </c>
      <c r="L42" s="83">
        <v>125250</v>
      </c>
      <c r="M42" s="83">
        <v>106180</v>
      </c>
      <c r="N42" s="83">
        <v>220970</v>
      </c>
      <c r="O42" s="83">
        <v>256360</v>
      </c>
      <c r="P42" s="83">
        <v>287470</v>
      </c>
      <c r="Q42" s="83">
        <v>241320</v>
      </c>
      <c r="R42" s="83">
        <v>12110</v>
      </c>
      <c r="S42" s="115">
        <v>2694200</v>
      </c>
    </row>
    <row r="43" spans="1:19">
      <c r="A43" s="80" t="s">
        <v>96</v>
      </c>
      <c r="B43" s="86">
        <v>45290</v>
      </c>
      <c r="C43" s="86">
        <v>38540</v>
      </c>
      <c r="D43" s="86">
        <v>13640</v>
      </c>
      <c r="E43" s="86">
        <v>90740</v>
      </c>
      <c r="F43" s="86">
        <v>576270</v>
      </c>
      <c r="G43" s="86">
        <v>96930</v>
      </c>
      <c r="H43" s="86">
        <v>104390</v>
      </c>
      <c r="I43" s="86">
        <v>143110</v>
      </c>
      <c r="J43" s="86">
        <v>298850</v>
      </c>
      <c r="K43" s="86">
        <v>230550</v>
      </c>
      <c r="L43" s="86">
        <v>125230</v>
      </c>
      <c r="M43" s="86">
        <v>106310</v>
      </c>
      <c r="N43" s="86">
        <v>222140</v>
      </c>
      <c r="O43" s="86">
        <v>256510</v>
      </c>
      <c r="P43" s="86">
        <v>288440</v>
      </c>
      <c r="Q43" s="86">
        <v>242340</v>
      </c>
      <c r="R43" s="86">
        <v>12030</v>
      </c>
      <c r="S43" s="116">
        <v>2703100</v>
      </c>
    </row>
    <row r="44" spans="1:19">
      <c r="A44" s="27" t="s">
        <v>97</v>
      </c>
      <c r="B44" s="83">
        <v>45390</v>
      </c>
      <c r="C44" s="83">
        <v>38230</v>
      </c>
      <c r="D44" s="83">
        <v>13830</v>
      </c>
      <c r="E44" s="83">
        <v>91150</v>
      </c>
      <c r="F44" s="83">
        <v>572790</v>
      </c>
      <c r="G44" s="83">
        <v>97530</v>
      </c>
      <c r="H44" s="83">
        <v>105680</v>
      </c>
      <c r="I44" s="83">
        <v>142560</v>
      </c>
      <c r="J44" s="83">
        <v>300330</v>
      </c>
      <c r="K44" s="83">
        <v>232600</v>
      </c>
      <c r="L44" s="83">
        <v>125610</v>
      </c>
      <c r="M44" s="83">
        <v>106840</v>
      </c>
      <c r="N44" s="83">
        <v>223390</v>
      </c>
      <c r="O44" s="83">
        <v>257170</v>
      </c>
      <c r="P44" s="83">
        <v>287590</v>
      </c>
      <c r="Q44" s="83">
        <v>241740</v>
      </c>
      <c r="R44" s="83">
        <v>11900</v>
      </c>
      <c r="S44" s="115">
        <v>2705700</v>
      </c>
    </row>
    <row r="45" spans="1:19">
      <c r="A45" s="27" t="s">
        <v>98</v>
      </c>
      <c r="B45" s="83">
        <v>45620</v>
      </c>
      <c r="C45" s="83">
        <v>37860</v>
      </c>
      <c r="D45" s="83">
        <v>13810</v>
      </c>
      <c r="E45" s="83">
        <v>89430</v>
      </c>
      <c r="F45" s="83">
        <v>565940</v>
      </c>
      <c r="G45" s="83">
        <v>97340</v>
      </c>
      <c r="H45" s="83">
        <v>106450</v>
      </c>
      <c r="I45" s="83">
        <v>143220</v>
      </c>
      <c r="J45" s="83">
        <v>301490</v>
      </c>
      <c r="K45" s="83">
        <v>234210</v>
      </c>
      <c r="L45" s="83">
        <v>126490</v>
      </c>
      <c r="M45" s="83">
        <v>108060</v>
      </c>
      <c r="N45" s="83">
        <v>223330</v>
      </c>
      <c r="O45" s="83">
        <v>257950</v>
      </c>
      <c r="P45" s="83">
        <v>287740</v>
      </c>
      <c r="Q45" s="83">
        <v>242360</v>
      </c>
      <c r="R45" s="83">
        <v>12120</v>
      </c>
      <c r="S45" s="115">
        <v>2706700</v>
      </c>
    </row>
    <row r="46" spans="1:19">
      <c r="A46" s="27" t="s">
        <v>99</v>
      </c>
      <c r="B46" s="83">
        <v>45960</v>
      </c>
      <c r="C46" s="83">
        <v>38170</v>
      </c>
      <c r="D46" s="83">
        <v>14180</v>
      </c>
      <c r="E46" s="83">
        <v>87780</v>
      </c>
      <c r="F46" s="83">
        <v>548300</v>
      </c>
      <c r="G46" s="83">
        <v>94810</v>
      </c>
      <c r="H46" s="83">
        <v>104660</v>
      </c>
      <c r="I46" s="83">
        <v>140070</v>
      </c>
      <c r="J46" s="83">
        <v>299040</v>
      </c>
      <c r="K46" s="83">
        <v>231280</v>
      </c>
      <c r="L46" s="83">
        <v>122750</v>
      </c>
      <c r="M46" s="83">
        <v>105950</v>
      </c>
      <c r="N46" s="83">
        <v>219850</v>
      </c>
      <c r="O46" s="83">
        <v>254230</v>
      </c>
      <c r="P46" s="83">
        <v>280610</v>
      </c>
      <c r="Q46" s="83">
        <v>239490</v>
      </c>
      <c r="R46" s="83">
        <v>11760</v>
      </c>
      <c r="S46" s="115">
        <v>2652800</v>
      </c>
    </row>
    <row r="47" spans="1:19">
      <c r="A47" s="80" t="s">
        <v>100</v>
      </c>
      <c r="B47" s="86">
        <v>46060</v>
      </c>
      <c r="C47" s="86">
        <v>37840</v>
      </c>
      <c r="D47" s="86">
        <v>13700</v>
      </c>
      <c r="E47" s="86">
        <v>86830</v>
      </c>
      <c r="F47" s="86">
        <v>531480</v>
      </c>
      <c r="G47" s="86">
        <v>92220</v>
      </c>
      <c r="H47" s="86">
        <v>102340</v>
      </c>
      <c r="I47" s="86">
        <v>136140</v>
      </c>
      <c r="J47" s="86">
        <v>295060</v>
      </c>
      <c r="K47" s="86">
        <v>227850</v>
      </c>
      <c r="L47" s="86">
        <v>120480</v>
      </c>
      <c r="M47" s="86">
        <v>104680</v>
      </c>
      <c r="N47" s="86">
        <v>214460</v>
      </c>
      <c r="O47" s="86">
        <v>248490</v>
      </c>
      <c r="P47" s="86">
        <v>273180</v>
      </c>
      <c r="Q47" s="86">
        <v>232880</v>
      </c>
      <c r="R47" s="86">
        <v>11250</v>
      </c>
      <c r="S47" s="116">
        <v>2590500</v>
      </c>
    </row>
    <row r="48" spans="1:19">
      <c r="A48" s="27" t="s">
        <v>101</v>
      </c>
      <c r="B48" s="83">
        <v>45500</v>
      </c>
      <c r="C48" s="83">
        <v>37560</v>
      </c>
      <c r="D48" s="83">
        <v>13510</v>
      </c>
      <c r="E48" s="83">
        <v>86280</v>
      </c>
      <c r="F48" s="83">
        <v>511410</v>
      </c>
      <c r="G48" s="83">
        <v>90360</v>
      </c>
      <c r="H48" s="83">
        <v>100330</v>
      </c>
      <c r="I48" s="83">
        <v>131940</v>
      </c>
      <c r="J48" s="83">
        <v>288630</v>
      </c>
      <c r="K48" s="83">
        <v>224580</v>
      </c>
      <c r="L48" s="83">
        <v>118740</v>
      </c>
      <c r="M48" s="83">
        <v>102940</v>
      </c>
      <c r="N48" s="83">
        <v>208610</v>
      </c>
      <c r="O48" s="83">
        <v>243670</v>
      </c>
      <c r="P48" s="83">
        <v>266110</v>
      </c>
      <c r="Q48" s="83">
        <v>227710</v>
      </c>
      <c r="R48" s="83">
        <v>11040</v>
      </c>
      <c r="S48" s="115">
        <v>2526100</v>
      </c>
    </row>
    <row r="49" spans="1:19">
      <c r="A49" s="27" t="s">
        <v>102</v>
      </c>
      <c r="B49" s="83">
        <v>44980</v>
      </c>
      <c r="C49" s="83">
        <v>37350</v>
      </c>
      <c r="D49" s="83">
        <v>13180</v>
      </c>
      <c r="E49" s="83">
        <v>82490</v>
      </c>
      <c r="F49" s="83">
        <v>488460</v>
      </c>
      <c r="G49" s="83">
        <v>86040</v>
      </c>
      <c r="H49" s="83">
        <v>97410</v>
      </c>
      <c r="I49" s="83">
        <v>126860</v>
      </c>
      <c r="J49" s="83">
        <v>277790</v>
      </c>
      <c r="K49" s="83">
        <v>217850</v>
      </c>
      <c r="L49" s="83">
        <v>114280</v>
      </c>
      <c r="M49" s="83">
        <v>98450</v>
      </c>
      <c r="N49" s="83">
        <v>199810</v>
      </c>
      <c r="O49" s="83">
        <v>235180</v>
      </c>
      <c r="P49" s="83">
        <v>255070</v>
      </c>
      <c r="Q49" s="83">
        <v>220040</v>
      </c>
      <c r="R49" s="83">
        <v>10860</v>
      </c>
      <c r="S49" s="115">
        <v>2428100</v>
      </c>
    </row>
    <row r="50" spans="1:19">
      <c r="A50" s="27" t="s">
        <v>103</v>
      </c>
      <c r="B50" s="83">
        <v>45140</v>
      </c>
      <c r="C50" s="83">
        <v>37190</v>
      </c>
      <c r="D50" s="83">
        <v>12840</v>
      </c>
      <c r="E50" s="83">
        <v>81310</v>
      </c>
      <c r="F50" s="83">
        <v>469580</v>
      </c>
      <c r="G50" s="83">
        <v>82840</v>
      </c>
      <c r="H50" s="83">
        <v>94320</v>
      </c>
      <c r="I50" s="83">
        <v>123230</v>
      </c>
      <c r="J50" s="83">
        <v>268570</v>
      </c>
      <c r="K50" s="83">
        <v>207820</v>
      </c>
      <c r="L50" s="83">
        <v>110950</v>
      </c>
      <c r="M50" s="83">
        <v>96210</v>
      </c>
      <c r="N50" s="83">
        <v>192510</v>
      </c>
      <c r="O50" s="83">
        <v>229640</v>
      </c>
      <c r="P50" s="83">
        <v>247390</v>
      </c>
      <c r="Q50" s="83">
        <v>213590</v>
      </c>
      <c r="R50" s="83">
        <v>10620</v>
      </c>
      <c r="S50" s="115">
        <v>2347300</v>
      </c>
    </row>
    <row r="51" spans="1:19">
      <c r="A51" s="80" t="s">
        <v>104</v>
      </c>
      <c r="B51" s="86">
        <v>45070</v>
      </c>
      <c r="C51" s="86">
        <v>36080</v>
      </c>
      <c r="D51" s="86">
        <v>12610</v>
      </c>
      <c r="E51" s="86">
        <v>79710</v>
      </c>
      <c r="F51" s="86">
        <v>457540</v>
      </c>
      <c r="G51" s="86">
        <v>80550</v>
      </c>
      <c r="H51" s="86">
        <v>91720</v>
      </c>
      <c r="I51" s="86">
        <v>120340</v>
      </c>
      <c r="J51" s="86">
        <v>262490</v>
      </c>
      <c r="K51" s="86">
        <v>200380</v>
      </c>
      <c r="L51" s="86">
        <v>109040</v>
      </c>
      <c r="M51" s="86">
        <v>93860</v>
      </c>
      <c r="N51" s="86">
        <v>187990</v>
      </c>
      <c r="O51" s="86">
        <v>224030</v>
      </c>
      <c r="P51" s="86">
        <v>243020</v>
      </c>
      <c r="Q51" s="86">
        <v>211280</v>
      </c>
      <c r="R51" s="86">
        <v>10520</v>
      </c>
      <c r="S51" s="116">
        <v>2292800</v>
      </c>
    </row>
    <row r="52" spans="1:19">
      <c r="A52" s="27" t="s">
        <v>105</v>
      </c>
      <c r="B52" s="83">
        <v>44970</v>
      </c>
      <c r="C52" s="83">
        <v>35760</v>
      </c>
      <c r="D52" s="83">
        <v>12480</v>
      </c>
      <c r="E52" s="83">
        <v>77930</v>
      </c>
      <c r="F52" s="83">
        <v>442660</v>
      </c>
      <c r="G52" s="83">
        <v>75950</v>
      </c>
      <c r="H52" s="83">
        <v>87200</v>
      </c>
      <c r="I52" s="83">
        <v>115270</v>
      </c>
      <c r="J52" s="83">
        <v>252570</v>
      </c>
      <c r="K52" s="83">
        <v>191620</v>
      </c>
      <c r="L52" s="83">
        <v>103730</v>
      </c>
      <c r="M52" s="83">
        <v>90500</v>
      </c>
      <c r="N52" s="83">
        <v>180180</v>
      </c>
      <c r="O52" s="83">
        <v>215980</v>
      </c>
      <c r="P52" s="83">
        <v>234740</v>
      </c>
      <c r="Q52" s="83">
        <v>204730</v>
      </c>
      <c r="R52" s="83">
        <v>10080</v>
      </c>
      <c r="S52" s="115">
        <v>2205200</v>
      </c>
    </row>
    <row r="53" spans="1:19">
      <c r="A53" s="27" t="s">
        <v>106</v>
      </c>
      <c r="B53" s="83">
        <v>44580</v>
      </c>
      <c r="C53" s="83">
        <v>35440</v>
      </c>
      <c r="D53" s="83">
        <v>12230</v>
      </c>
      <c r="E53" s="83">
        <v>77330</v>
      </c>
      <c r="F53" s="83">
        <v>429890</v>
      </c>
      <c r="G53" s="83">
        <v>73000</v>
      </c>
      <c r="H53" s="83">
        <v>83240</v>
      </c>
      <c r="I53" s="83">
        <v>110120</v>
      </c>
      <c r="J53" s="83">
        <v>245960</v>
      </c>
      <c r="K53" s="83">
        <v>184320</v>
      </c>
      <c r="L53" s="83">
        <v>98920</v>
      </c>
      <c r="M53" s="83">
        <v>87950</v>
      </c>
      <c r="N53" s="83">
        <v>174320</v>
      </c>
      <c r="O53" s="83">
        <v>209780</v>
      </c>
      <c r="P53" s="83">
        <v>227530</v>
      </c>
      <c r="Q53" s="83">
        <v>199820</v>
      </c>
      <c r="R53" s="83">
        <v>9760</v>
      </c>
      <c r="S53" s="115">
        <v>2134600</v>
      </c>
    </row>
    <row r="54" spans="1:19">
      <c r="A54" s="27" t="s">
        <v>107</v>
      </c>
      <c r="B54" s="83">
        <v>43240</v>
      </c>
      <c r="C54" s="83">
        <v>34280</v>
      </c>
      <c r="D54" s="83">
        <v>12300</v>
      </c>
      <c r="E54" s="83">
        <v>76400</v>
      </c>
      <c r="F54" s="83">
        <v>417920</v>
      </c>
      <c r="G54" s="83">
        <v>72370</v>
      </c>
      <c r="H54" s="83">
        <v>82610</v>
      </c>
      <c r="I54" s="83">
        <v>108260</v>
      </c>
      <c r="J54" s="83">
        <v>244470</v>
      </c>
      <c r="K54" s="83">
        <v>183410</v>
      </c>
      <c r="L54" s="83">
        <v>97960</v>
      </c>
      <c r="M54" s="83">
        <v>86730</v>
      </c>
      <c r="N54" s="83">
        <v>172840</v>
      </c>
      <c r="O54" s="83">
        <v>205760</v>
      </c>
      <c r="P54" s="83">
        <v>225630</v>
      </c>
      <c r="Q54" s="83">
        <v>195520</v>
      </c>
      <c r="R54" s="83">
        <v>9620</v>
      </c>
      <c r="S54" s="115">
        <v>2103100</v>
      </c>
    </row>
    <row r="55" spans="1:19">
      <c r="A55" s="80" t="s">
        <v>108</v>
      </c>
      <c r="B55" s="86">
        <v>42490</v>
      </c>
      <c r="C55" s="86">
        <v>34630</v>
      </c>
      <c r="D55" s="86">
        <v>12170</v>
      </c>
      <c r="E55" s="86">
        <v>74680</v>
      </c>
      <c r="F55" s="86">
        <v>401750</v>
      </c>
      <c r="G55" s="86">
        <v>70190</v>
      </c>
      <c r="H55" s="86">
        <v>79940</v>
      </c>
      <c r="I55" s="86">
        <v>104020</v>
      </c>
      <c r="J55" s="86">
        <v>239310</v>
      </c>
      <c r="K55" s="86">
        <v>179210</v>
      </c>
      <c r="L55" s="86">
        <v>93940</v>
      </c>
      <c r="M55" s="86">
        <v>84190</v>
      </c>
      <c r="N55" s="86">
        <v>167970</v>
      </c>
      <c r="O55" s="86">
        <v>202980</v>
      </c>
      <c r="P55" s="86">
        <v>218410</v>
      </c>
      <c r="Q55" s="86">
        <v>190730</v>
      </c>
      <c r="R55" s="86">
        <v>9590</v>
      </c>
      <c r="S55" s="116">
        <v>2042200</v>
      </c>
    </row>
    <row r="56" spans="1:19">
      <c r="A56" s="27" t="s">
        <v>109</v>
      </c>
      <c r="B56" s="83">
        <v>42460</v>
      </c>
      <c r="C56" s="83">
        <v>35040</v>
      </c>
      <c r="D56" s="83">
        <v>12270</v>
      </c>
      <c r="E56" s="83">
        <v>74940</v>
      </c>
      <c r="F56" s="83">
        <v>392120</v>
      </c>
      <c r="G56" s="83">
        <v>68700</v>
      </c>
      <c r="H56" s="83">
        <v>77960</v>
      </c>
      <c r="I56" s="83">
        <v>101990</v>
      </c>
      <c r="J56" s="83">
        <v>235810</v>
      </c>
      <c r="K56" s="83">
        <v>174570</v>
      </c>
      <c r="L56" s="83">
        <v>91550</v>
      </c>
      <c r="M56" s="83">
        <v>81480</v>
      </c>
      <c r="N56" s="83">
        <v>165120</v>
      </c>
      <c r="O56" s="83">
        <v>198810</v>
      </c>
      <c r="P56" s="83">
        <v>212500</v>
      </c>
      <c r="Q56" s="83">
        <v>185410</v>
      </c>
      <c r="R56" s="83">
        <v>9480</v>
      </c>
      <c r="S56" s="115">
        <v>1995500</v>
      </c>
    </row>
    <row r="57" spans="1:19">
      <c r="A57" s="27" t="s">
        <v>110</v>
      </c>
      <c r="B57" s="83">
        <v>42870</v>
      </c>
      <c r="C57" s="83">
        <v>34420</v>
      </c>
      <c r="D57" s="83">
        <v>12990</v>
      </c>
      <c r="E57" s="83">
        <v>76890</v>
      </c>
      <c r="F57" s="83">
        <v>386900</v>
      </c>
      <c r="G57" s="83">
        <v>69360</v>
      </c>
      <c r="H57" s="83">
        <v>78420</v>
      </c>
      <c r="I57" s="83">
        <v>102860</v>
      </c>
      <c r="J57" s="83">
        <v>236940</v>
      </c>
      <c r="K57" s="83">
        <v>174220</v>
      </c>
      <c r="L57" s="83">
        <v>91760</v>
      </c>
      <c r="M57" s="83">
        <v>81300</v>
      </c>
      <c r="N57" s="83">
        <v>166940</v>
      </c>
      <c r="O57" s="83">
        <v>199800</v>
      </c>
      <c r="P57" s="83">
        <v>214810</v>
      </c>
      <c r="Q57" s="83">
        <v>183760</v>
      </c>
      <c r="R57" s="83">
        <v>9230</v>
      </c>
      <c r="S57" s="115">
        <v>1996300</v>
      </c>
    </row>
    <row r="58" spans="1:19">
      <c r="A58" s="27" t="s">
        <v>111</v>
      </c>
      <c r="B58" s="83">
        <v>42880</v>
      </c>
      <c r="C58" s="83">
        <v>34840</v>
      </c>
      <c r="D58" s="83">
        <v>13150</v>
      </c>
      <c r="E58" s="83">
        <v>79720</v>
      </c>
      <c r="F58" s="83">
        <v>392000</v>
      </c>
      <c r="G58" s="83">
        <v>71630</v>
      </c>
      <c r="H58" s="83">
        <v>81730</v>
      </c>
      <c r="I58" s="83">
        <v>106750</v>
      </c>
      <c r="J58" s="83">
        <v>242810</v>
      </c>
      <c r="K58" s="83">
        <v>178190</v>
      </c>
      <c r="L58" s="83">
        <v>95240</v>
      </c>
      <c r="M58" s="83">
        <v>83800</v>
      </c>
      <c r="N58" s="83">
        <v>171560</v>
      </c>
      <c r="O58" s="83">
        <v>204810</v>
      </c>
      <c r="P58" s="83">
        <v>223360</v>
      </c>
      <c r="Q58" s="83">
        <v>186670</v>
      </c>
      <c r="R58" s="83">
        <v>9300</v>
      </c>
      <c r="S58" s="115">
        <v>2047800</v>
      </c>
    </row>
    <row r="59" spans="1:19">
      <c r="A59" s="80" t="s">
        <v>112</v>
      </c>
      <c r="B59" s="86">
        <v>43100</v>
      </c>
      <c r="C59" s="86">
        <v>35160</v>
      </c>
      <c r="D59" s="86">
        <v>13200</v>
      </c>
      <c r="E59" s="86">
        <v>82240</v>
      </c>
      <c r="F59" s="86">
        <v>404210</v>
      </c>
      <c r="G59" s="86">
        <v>76630</v>
      </c>
      <c r="H59" s="86">
        <v>87900</v>
      </c>
      <c r="I59" s="86">
        <v>115380</v>
      </c>
      <c r="J59" s="86">
        <v>255580</v>
      </c>
      <c r="K59" s="86">
        <v>190810</v>
      </c>
      <c r="L59" s="86">
        <v>104380</v>
      </c>
      <c r="M59" s="86">
        <v>89540</v>
      </c>
      <c r="N59" s="86">
        <v>181590</v>
      </c>
      <c r="O59" s="86">
        <v>214920</v>
      </c>
      <c r="P59" s="86">
        <v>239710</v>
      </c>
      <c r="Q59" s="86">
        <v>195500</v>
      </c>
      <c r="R59" s="86">
        <v>9600</v>
      </c>
      <c r="S59" s="116">
        <v>2165700</v>
      </c>
    </row>
    <row r="60" spans="1:19">
      <c r="A60" s="27" t="s">
        <v>113</v>
      </c>
      <c r="B60" s="83">
        <v>42660</v>
      </c>
      <c r="C60" s="83">
        <v>35190</v>
      </c>
      <c r="D60" s="83">
        <v>13640</v>
      </c>
      <c r="E60" s="83">
        <v>86980</v>
      </c>
      <c r="F60" s="83">
        <v>433090</v>
      </c>
      <c r="G60" s="83">
        <v>85120</v>
      </c>
      <c r="H60" s="83">
        <v>99320</v>
      </c>
      <c r="I60" s="83">
        <v>126700</v>
      </c>
      <c r="J60" s="83">
        <v>277900</v>
      </c>
      <c r="K60" s="83">
        <v>212070</v>
      </c>
      <c r="L60" s="83">
        <v>117150</v>
      </c>
      <c r="M60" s="83">
        <v>97970</v>
      </c>
      <c r="N60" s="83">
        <v>195030</v>
      </c>
      <c r="O60" s="83">
        <v>228810</v>
      </c>
      <c r="P60" s="83">
        <v>266460</v>
      </c>
      <c r="Q60" s="83">
        <v>209770</v>
      </c>
      <c r="R60" s="83">
        <v>9790</v>
      </c>
      <c r="S60" s="115">
        <v>2359200</v>
      </c>
    </row>
    <row r="61" spans="1:19">
      <c r="A61" s="27" t="s">
        <v>114</v>
      </c>
      <c r="B61" s="83">
        <v>45480</v>
      </c>
      <c r="C61" s="83">
        <v>37640</v>
      </c>
      <c r="D61" s="83">
        <v>14240</v>
      </c>
      <c r="E61" s="83">
        <v>92940</v>
      </c>
      <c r="F61" s="83">
        <v>461770</v>
      </c>
      <c r="G61" s="83">
        <v>90530</v>
      </c>
      <c r="H61" s="83">
        <v>105630</v>
      </c>
      <c r="I61" s="83">
        <v>133890</v>
      </c>
      <c r="J61" s="83">
        <v>293730</v>
      </c>
      <c r="K61" s="83">
        <v>227370</v>
      </c>
      <c r="L61" s="83">
        <v>126040</v>
      </c>
      <c r="M61" s="83">
        <v>104460</v>
      </c>
      <c r="N61" s="83">
        <v>206280</v>
      </c>
      <c r="O61" s="83">
        <v>240210</v>
      </c>
      <c r="P61" s="83">
        <v>286350</v>
      </c>
      <c r="Q61" s="83">
        <v>219090</v>
      </c>
      <c r="R61" s="83">
        <v>10140</v>
      </c>
      <c r="S61" s="115">
        <v>2505500</v>
      </c>
    </row>
    <row r="62" spans="1:19">
      <c r="A62" s="27" t="s">
        <v>115</v>
      </c>
      <c r="B62" s="83">
        <v>46170</v>
      </c>
      <c r="C62" s="83">
        <v>38260</v>
      </c>
      <c r="D62" s="83">
        <v>14370</v>
      </c>
      <c r="E62" s="83">
        <v>96470</v>
      </c>
      <c r="F62" s="83">
        <v>483700</v>
      </c>
      <c r="G62" s="83">
        <v>92560</v>
      </c>
      <c r="H62" s="83">
        <v>107410</v>
      </c>
      <c r="I62" s="83">
        <v>135510</v>
      </c>
      <c r="J62" s="83">
        <v>299400</v>
      </c>
      <c r="K62" s="83">
        <v>231000</v>
      </c>
      <c r="L62" s="83">
        <v>128820</v>
      </c>
      <c r="M62" s="83">
        <v>107250</v>
      </c>
      <c r="N62" s="83">
        <v>212840</v>
      </c>
      <c r="O62" s="83">
        <v>248290</v>
      </c>
      <c r="P62" s="83">
        <v>291210</v>
      </c>
      <c r="Q62" s="83">
        <v>227530</v>
      </c>
      <c r="R62" s="83">
        <v>10680</v>
      </c>
      <c r="S62" s="115">
        <v>2576200</v>
      </c>
    </row>
    <row r="63" spans="1:19">
      <c r="A63" s="80" t="s">
        <v>116</v>
      </c>
      <c r="B63" s="86">
        <v>47580</v>
      </c>
      <c r="C63" s="86">
        <v>39330</v>
      </c>
      <c r="D63" s="86">
        <v>15020</v>
      </c>
      <c r="E63" s="86">
        <v>101500</v>
      </c>
      <c r="F63" s="86">
        <v>498440</v>
      </c>
      <c r="G63" s="86">
        <v>95710</v>
      </c>
      <c r="H63" s="86">
        <v>110240</v>
      </c>
      <c r="I63" s="86">
        <v>137870</v>
      </c>
      <c r="J63" s="86">
        <v>304570</v>
      </c>
      <c r="K63" s="86">
        <v>234690</v>
      </c>
      <c r="L63" s="86">
        <v>131900</v>
      </c>
      <c r="M63" s="86">
        <v>110140</v>
      </c>
      <c r="N63" s="86">
        <v>217820</v>
      </c>
      <c r="O63" s="86">
        <v>254870</v>
      </c>
      <c r="P63" s="86">
        <v>299810</v>
      </c>
      <c r="Q63" s="86">
        <v>233660</v>
      </c>
      <c r="R63" s="86">
        <v>11180</v>
      </c>
      <c r="S63" s="116">
        <v>2640900</v>
      </c>
    </row>
    <row r="64" spans="1:19">
      <c r="A64" s="27" t="s">
        <v>117</v>
      </c>
      <c r="B64" s="83">
        <v>48140</v>
      </c>
      <c r="C64" s="83">
        <v>39810</v>
      </c>
      <c r="D64" s="83">
        <v>15120</v>
      </c>
      <c r="E64" s="83">
        <v>105110</v>
      </c>
      <c r="F64" s="83">
        <v>501780</v>
      </c>
      <c r="G64" s="83">
        <v>97780</v>
      </c>
      <c r="H64" s="83">
        <v>110860</v>
      </c>
      <c r="I64" s="83">
        <v>139010</v>
      </c>
      <c r="J64" s="83">
        <v>307570</v>
      </c>
      <c r="K64" s="83">
        <v>234860</v>
      </c>
      <c r="L64" s="83">
        <v>132580</v>
      </c>
      <c r="M64" s="83">
        <v>112070</v>
      </c>
      <c r="N64" s="83">
        <v>221070</v>
      </c>
      <c r="O64" s="83">
        <v>258970</v>
      </c>
      <c r="P64" s="83">
        <v>301130</v>
      </c>
      <c r="Q64" s="83">
        <v>235850</v>
      </c>
      <c r="R64" s="83">
        <v>11440</v>
      </c>
      <c r="S64" s="115">
        <v>2665000</v>
      </c>
    </row>
    <row r="65" spans="1:19">
      <c r="A65" s="27" t="s">
        <v>118</v>
      </c>
      <c r="B65" s="83">
        <v>48400</v>
      </c>
      <c r="C65" s="83">
        <v>39670</v>
      </c>
      <c r="D65" s="83">
        <v>15420</v>
      </c>
      <c r="E65" s="83">
        <v>107780</v>
      </c>
      <c r="F65" s="83">
        <v>505840</v>
      </c>
      <c r="G65" s="83">
        <v>98840</v>
      </c>
      <c r="H65" s="83">
        <v>111250</v>
      </c>
      <c r="I65" s="83">
        <v>140150</v>
      </c>
      <c r="J65" s="83">
        <v>312640</v>
      </c>
      <c r="K65" s="83">
        <v>236110</v>
      </c>
      <c r="L65" s="83">
        <v>132860</v>
      </c>
      <c r="M65" s="83">
        <v>112420</v>
      </c>
      <c r="N65" s="83">
        <v>223760</v>
      </c>
      <c r="O65" s="83">
        <v>262510</v>
      </c>
      <c r="P65" s="83">
        <v>300680</v>
      </c>
      <c r="Q65" s="83">
        <v>238740</v>
      </c>
      <c r="R65" s="83">
        <v>11740</v>
      </c>
      <c r="S65" s="115">
        <v>2687500</v>
      </c>
    </row>
    <row r="66" spans="1:19">
      <c r="A66" s="27" t="s">
        <v>119</v>
      </c>
      <c r="B66" s="83">
        <v>48950</v>
      </c>
      <c r="C66" s="83">
        <v>40090</v>
      </c>
      <c r="D66" s="83">
        <v>15840</v>
      </c>
      <c r="E66" s="83">
        <v>110730</v>
      </c>
      <c r="F66" s="83">
        <v>509420</v>
      </c>
      <c r="G66" s="83">
        <v>98270</v>
      </c>
      <c r="H66" s="83">
        <v>108970</v>
      </c>
      <c r="I66" s="83">
        <v>139880</v>
      </c>
      <c r="J66" s="83">
        <v>313670</v>
      </c>
      <c r="K66" s="83">
        <v>236010</v>
      </c>
      <c r="L66" s="83">
        <v>131580</v>
      </c>
      <c r="M66" s="83">
        <v>112000</v>
      </c>
      <c r="N66" s="83">
        <v>225190</v>
      </c>
      <c r="O66" s="83">
        <v>263300</v>
      </c>
      <c r="P66" s="83">
        <v>299140</v>
      </c>
      <c r="Q66" s="83">
        <v>241880</v>
      </c>
      <c r="R66" s="83">
        <v>11950</v>
      </c>
      <c r="S66" s="115">
        <v>2691300</v>
      </c>
    </row>
    <row r="67" spans="1:19">
      <c r="A67" s="80" t="s">
        <v>120</v>
      </c>
      <c r="B67" s="86">
        <v>49250</v>
      </c>
      <c r="C67" s="86">
        <v>39810</v>
      </c>
      <c r="D67" s="86">
        <v>16290</v>
      </c>
      <c r="E67" s="86">
        <v>113940</v>
      </c>
      <c r="F67" s="86">
        <v>511430</v>
      </c>
      <c r="G67" s="86">
        <v>97820</v>
      </c>
      <c r="H67" s="86">
        <v>107520</v>
      </c>
      <c r="I67" s="86">
        <v>140070</v>
      </c>
      <c r="J67" s="86">
        <v>313920</v>
      </c>
      <c r="K67" s="86">
        <v>235280</v>
      </c>
      <c r="L67" s="86">
        <v>129680</v>
      </c>
      <c r="M67" s="86">
        <v>111570</v>
      </c>
      <c r="N67" s="86">
        <v>225610</v>
      </c>
      <c r="O67" s="86">
        <v>264240</v>
      </c>
      <c r="P67" s="86">
        <v>297150</v>
      </c>
      <c r="Q67" s="86">
        <v>243190</v>
      </c>
      <c r="R67" s="86">
        <v>12250</v>
      </c>
      <c r="S67" s="116">
        <v>2689700</v>
      </c>
    </row>
    <row r="68" spans="1:19">
      <c r="A68" s="27" t="s">
        <v>121</v>
      </c>
      <c r="B68" s="83">
        <v>50790</v>
      </c>
      <c r="C68" s="83">
        <v>41390</v>
      </c>
      <c r="D68" s="83">
        <v>16960</v>
      </c>
      <c r="E68" s="83">
        <v>117090</v>
      </c>
      <c r="F68" s="83">
        <v>513240</v>
      </c>
      <c r="G68" s="83">
        <v>97710</v>
      </c>
      <c r="H68" s="83">
        <v>106780</v>
      </c>
      <c r="I68" s="83">
        <v>139950</v>
      </c>
      <c r="J68" s="83">
        <v>312810</v>
      </c>
      <c r="K68" s="83">
        <v>233850</v>
      </c>
      <c r="L68" s="83">
        <v>128530</v>
      </c>
      <c r="M68" s="83">
        <v>111430</v>
      </c>
      <c r="N68" s="83">
        <v>227850</v>
      </c>
      <c r="O68" s="83">
        <v>268810</v>
      </c>
      <c r="P68" s="83">
        <v>297370</v>
      </c>
      <c r="Q68" s="83">
        <v>247350</v>
      </c>
      <c r="R68" s="83">
        <v>12410</v>
      </c>
      <c r="S68" s="115">
        <v>2698100</v>
      </c>
    </row>
    <row r="69" spans="1:19">
      <c r="A69" s="27" t="s">
        <v>122</v>
      </c>
      <c r="B69" s="83">
        <v>51720</v>
      </c>
      <c r="C69" s="83">
        <v>41650</v>
      </c>
      <c r="D69" s="83">
        <v>16980</v>
      </c>
      <c r="E69" s="83">
        <v>118380</v>
      </c>
      <c r="F69" s="83">
        <v>515010</v>
      </c>
      <c r="G69" s="83">
        <v>97990</v>
      </c>
      <c r="H69" s="83">
        <v>106340</v>
      </c>
      <c r="I69" s="83">
        <v>141390</v>
      </c>
      <c r="J69" s="83">
        <v>314490</v>
      </c>
      <c r="K69" s="83">
        <v>234180</v>
      </c>
      <c r="L69" s="83">
        <v>128080</v>
      </c>
      <c r="M69" s="83">
        <v>111750</v>
      </c>
      <c r="N69" s="83">
        <v>229020</v>
      </c>
      <c r="O69" s="83">
        <v>270090</v>
      </c>
      <c r="P69" s="83">
        <v>297040</v>
      </c>
      <c r="Q69" s="83">
        <v>251050</v>
      </c>
      <c r="R69" s="83">
        <v>12480</v>
      </c>
      <c r="S69" s="115">
        <v>2708900</v>
      </c>
    </row>
    <row r="70" spans="1:19">
      <c r="A70" s="27" t="s">
        <v>123</v>
      </c>
      <c r="B70" s="83">
        <v>52310</v>
      </c>
      <c r="C70" s="83">
        <v>41310</v>
      </c>
      <c r="D70" s="83">
        <v>17140</v>
      </c>
      <c r="E70" s="83">
        <v>119670</v>
      </c>
      <c r="F70" s="83">
        <v>521280</v>
      </c>
      <c r="G70" s="83">
        <v>100600</v>
      </c>
      <c r="H70" s="83">
        <v>108410</v>
      </c>
      <c r="I70" s="83">
        <v>143820</v>
      </c>
      <c r="J70" s="83">
        <v>318570</v>
      </c>
      <c r="K70" s="83">
        <v>239420</v>
      </c>
      <c r="L70" s="83">
        <v>130540</v>
      </c>
      <c r="M70" s="83">
        <v>114660</v>
      </c>
      <c r="N70" s="83">
        <v>234310</v>
      </c>
      <c r="O70" s="83">
        <v>277490</v>
      </c>
      <c r="P70" s="83">
        <v>305180</v>
      </c>
      <c r="Q70" s="83">
        <v>255370</v>
      </c>
      <c r="R70" s="83">
        <v>12820</v>
      </c>
      <c r="S70" s="115">
        <v>2762500</v>
      </c>
    </row>
    <row r="71" spans="1:19">
      <c r="A71" s="80" t="s">
        <v>124</v>
      </c>
      <c r="B71" s="86">
        <v>52830</v>
      </c>
      <c r="C71" s="86">
        <v>42000</v>
      </c>
      <c r="D71" s="86">
        <v>17200</v>
      </c>
      <c r="E71" s="86">
        <v>120190</v>
      </c>
      <c r="F71" s="86">
        <v>529590</v>
      </c>
      <c r="G71" s="86">
        <v>103170</v>
      </c>
      <c r="H71" s="86">
        <v>110420</v>
      </c>
      <c r="I71" s="86">
        <v>146100</v>
      </c>
      <c r="J71" s="86">
        <v>324810</v>
      </c>
      <c r="K71" s="86">
        <v>244910</v>
      </c>
      <c r="L71" s="86">
        <v>133800</v>
      </c>
      <c r="M71" s="86">
        <v>117760</v>
      </c>
      <c r="N71" s="86">
        <v>242680</v>
      </c>
      <c r="O71" s="86">
        <v>285090</v>
      </c>
      <c r="P71" s="86">
        <v>310220</v>
      </c>
      <c r="Q71" s="86">
        <v>259520</v>
      </c>
      <c r="R71" s="86">
        <v>12960</v>
      </c>
      <c r="S71" s="116">
        <v>2821000</v>
      </c>
    </row>
    <row r="72" spans="1:19">
      <c r="A72" s="27" t="s">
        <v>125</v>
      </c>
      <c r="B72" s="83">
        <v>53310</v>
      </c>
      <c r="C72" s="83">
        <v>42380</v>
      </c>
      <c r="D72" s="83">
        <v>17780</v>
      </c>
      <c r="E72" s="83">
        <v>121600</v>
      </c>
      <c r="F72" s="83">
        <v>538230</v>
      </c>
      <c r="G72" s="83">
        <v>105250</v>
      </c>
      <c r="H72" s="83">
        <v>112570</v>
      </c>
      <c r="I72" s="83">
        <v>149270</v>
      </c>
      <c r="J72" s="83">
        <v>332170</v>
      </c>
      <c r="K72" s="83">
        <v>250050</v>
      </c>
      <c r="L72" s="83">
        <v>136690</v>
      </c>
      <c r="M72" s="83">
        <v>121050</v>
      </c>
      <c r="N72" s="83">
        <v>246150</v>
      </c>
      <c r="O72" s="83">
        <v>291470</v>
      </c>
      <c r="P72" s="83">
        <v>316890</v>
      </c>
      <c r="Q72" s="83">
        <v>262260</v>
      </c>
      <c r="R72" s="83">
        <v>13110</v>
      </c>
      <c r="S72" s="115">
        <v>2875200</v>
      </c>
    </row>
    <row r="73" spans="1:19">
      <c r="A73" s="27" t="s">
        <v>126</v>
      </c>
      <c r="B73" s="83">
        <v>53680</v>
      </c>
      <c r="C73" s="83">
        <v>42730</v>
      </c>
      <c r="D73" s="83">
        <v>17950</v>
      </c>
      <c r="E73" s="83">
        <v>123150</v>
      </c>
      <c r="F73" s="83">
        <v>546500</v>
      </c>
      <c r="G73" s="83">
        <v>107730</v>
      </c>
      <c r="H73" s="83">
        <v>115470</v>
      </c>
      <c r="I73" s="83">
        <v>150460</v>
      </c>
      <c r="J73" s="83">
        <v>336520</v>
      </c>
      <c r="K73" s="83">
        <v>254500</v>
      </c>
      <c r="L73" s="83">
        <v>139020</v>
      </c>
      <c r="M73" s="83">
        <v>124230</v>
      </c>
      <c r="N73" s="83">
        <v>250300</v>
      </c>
      <c r="O73" s="83">
        <v>296290</v>
      </c>
      <c r="P73" s="83">
        <v>322830</v>
      </c>
      <c r="Q73" s="83">
        <v>265150</v>
      </c>
      <c r="R73" s="83">
        <v>13220</v>
      </c>
      <c r="S73" s="115">
        <v>2922200</v>
      </c>
    </row>
    <row r="74" spans="1:19">
      <c r="A74" s="27" t="s">
        <v>127</v>
      </c>
      <c r="B74" s="83">
        <v>54530</v>
      </c>
      <c r="C74" s="83">
        <v>43100</v>
      </c>
      <c r="D74" s="83">
        <v>18540</v>
      </c>
      <c r="E74" s="83">
        <v>125970</v>
      </c>
      <c r="F74" s="83">
        <v>561200</v>
      </c>
      <c r="G74" s="83">
        <v>111610</v>
      </c>
      <c r="H74" s="83">
        <v>120190</v>
      </c>
      <c r="I74" s="83">
        <v>155920</v>
      </c>
      <c r="J74" s="83">
        <v>347130</v>
      </c>
      <c r="K74" s="83">
        <v>262780</v>
      </c>
      <c r="L74" s="83">
        <v>145450</v>
      </c>
      <c r="M74" s="83">
        <v>129210</v>
      </c>
      <c r="N74" s="83">
        <v>257860</v>
      </c>
      <c r="O74" s="83">
        <v>305400</v>
      </c>
      <c r="P74" s="83">
        <v>333470</v>
      </c>
      <c r="Q74" s="83">
        <v>272300</v>
      </c>
      <c r="R74" s="83">
        <v>13580</v>
      </c>
      <c r="S74" s="115">
        <v>3016100</v>
      </c>
    </row>
    <row r="75" spans="1:19">
      <c r="A75" s="80" t="s">
        <v>128</v>
      </c>
      <c r="B75" s="86">
        <v>55130</v>
      </c>
      <c r="C75" s="86">
        <v>43590</v>
      </c>
      <c r="D75" s="86">
        <v>19120</v>
      </c>
      <c r="E75" s="86">
        <v>129920</v>
      </c>
      <c r="F75" s="86">
        <v>576420</v>
      </c>
      <c r="G75" s="86">
        <v>115220</v>
      </c>
      <c r="H75" s="86">
        <v>124850</v>
      </c>
      <c r="I75" s="86">
        <v>160770</v>
      </c>
      <c r="J75" s="86">
        <v>358130</v>
      </c>
      <c r="K75" s="86">
        <v>273160</v>
      </c>
      <c r="L75" s="86">
        <v>150440</v>
      </c>
      <c r="M75" s="86">
        <v>134350</v>
      </c>
      <c r="N75" s="86">
        <v>264780</v>
      </c>
      <c r="O75" s="86">
        <v>315910</v>
      </c>
      <c r="P75" s="86">
        <v>345840</v>
      </c>
      <c r="Q75" s="86">
        <v>279640</v>
      </c>
      <c r="R75" s="86">
        <v>14320</v>
      </c>
      <c r="S75" s="116">
        <v>3113800</v>
      </c>
    </row>
    <row r="76" spans="1:19">
      <c r="A76" s="27" t="s">
        <v>129</v>
      </c>
      <c r="B76" s="83">
        <v>55060</v>
      </c>
      <c r="C76" s="83">
        <v>44130</v>
      </c>
      <c r="D76" s="83">
        <v>19430</v>
      </c>
      <c r="E76" s="83">
        <v>132680</v>
      </c>
      <c r="F76" s="83">
        <v>595620</v>
      </c>
      <c r="G76" s="83">
        <v>118640</v>
      </c>
      <c r="H76" s="83">
        <v>127890</v>
      </c>
      <c r="I76" s="83">
        <v>164450</v>
      </c>
      <c r="J76" s="83">
        <v>366100</v>
      </c>
      <c r="K76" s="83">
        <v>281820</v>
      </c>
      <c r="L76" s="83">
        <v>155130</v>
      </c>
      <c r="M76" s="83">
        <v>137150</v>
      </c>
      <c r="N76" s="83">
        <v>270440</v>
      </c>
      <c r="O76" s="83">
        <v>325410</v>
      </c>
      <c r="P76" s="83">
        <v>353090</v>
      </c>
      <c r="Q76" s="83">
        <v>286770</v>
      </c>
      <c r="R76" s="83">
        <v>14690</v>
      </c>
      <c r="S76" s="115">
        <v>3197200</v>
      </c>
    </row>
    <row r="77" spans="1:19">
      <c r="A77" s="27" t="s">
        <v>130</v>
      </c>
      <c r="B77" s="83">
        <v>56190</v>
      </c>
      <c r="C77" s="83">
        <v>44850</v>
      </c>
      <c r="D77" s="83">
        <v>20430</v>
      </c>
      <c r="E77" s="83">
        <v>134560</v>
      </c>
      <c r="F77" s="83">
        <v>605170</v>
      </c>
      <c r="G77" s="83">
        <v>121120</v>
      </c>
      <c r="H77" s="83">
        <v>129490</v>
      </c>
      <c r="I77" s="83">
        <v>167720</v>
      </c>
      <c r="J77" s="83">
        <v>371170</v>
      </c>
      <c r="K77" s="83">
        <v>287480</v>
      </c>
      <c r="L77" s="83">
        <v>160680</v>
      </c>
      <c r="M77" s="83">
        <v>141670</v>
      </c>
      <c r="N77" s="83">
        <v>277140</v>
      </c>
      <c r="O77" s="83">
        <v>335530</v>
      </c>
      <c r="P77" s="83">
        <v>359060</v>
      </c>
      <c r="Q77" s="83">
        <v>293160</v>
      </c>
      <c r="R77" s="83">
        <v>15180</v>
      </c>
      <c r="S77" s="115">
        <v>3264600</v>
      </c>
    </row>
    <row r="78" spans="1:19">
      <c r="A78" s="27" t="s">
        <v>131</v>
      </c>
      <c r="B78" s="83">
        <v>55740</v>
      </c>
      <c r="C78" s="83">
        <v>44810</v>
      </c>
      <c r="D78" s="83">
        <v>20810</v>
      </c>
      <c r="E78" s="83">
        <v>134680</v>
      </c>
      <c r="F78" s="83">
        <v>609730</v>
      </c>
      <c r="G78" s="83">
        <v>121200</v>
      </c>
      <c r="H78" s="83">
        <v>129180</v>
      </c>
      <c r="I78" s="83">
        <v>166820</v>
      </c>
      <c r="J78" s="83">
        <v>371350</v>
      </c>
      <c r="K78" s="83">
        <v>289000</v>
      </c>
      <c r="L78" s="83">
        <v>159980</v>
      </c>
      <c r="M78" s="83">
        <v>141450</v>
      </c>
      <c r="N78" s="83">
        <v>276810</v>
      </c>
      <c r="O78" s="83">
        <v>335720</v>
      </c>
      <c r="P78" s="83">
        <v>358940</v>
      </c>
      <c r="Q78" s="83">
        <v>294890</v>
      </c>
      <c r="R78" s="83">
        <v>15600</v>
      </c>
      <c r="S78" s="115">
        <v>3270700</v>
      </c>
    </row>
    <row r="79" spans="1:19">
      <c r="A79" s="80" t="s">
        <v>132</v>
      </c>
      <c r="B79" s="86">
        <v>55960</v>
      </c>
      <c r="C79" s="86">
        <v>45310</v>
      </c>
      <c r="D79" s="86">
        <v>21640</v>
      </c>
      <c r="E79" s="86">
        <v>133980</v>
      </c>
      <c r="F79" s="86">
        <v>621110</v>
      </c>
      <c r="G79" s="86">
        <v>122460</v>
      </c>
      <c r="H79" s="86">
        <v>128220</v>
      </c>
      <c r="I79" s="86">
        <v>167620</v>
      </c>
      <c r="J79" s="86">
        <v>371140</v>
      </c>
      <c r="K79" s="86">
        <v>286740</v>
      </c>
      <c r="L79" s="86">
        <v>161670</v>
      </c>
      <c r="M79" s="86">
        <v>141830</v>
      </c>
      <c r="N79" s="86">
        <v>278250</v>
      </c>
      <c r="O79" s="86">
        <v>339780</v>
      </c>
      <c r="P79" s="86">
        <v>359870</v>
      </c>
      <c r="Q79" s="86">
        <v>297390</v>
      </c>
      <c r="R79" s="86">
        <v>15870</v>
      </c>
      <c r="S79" s="116">
        <v>3291900</v>
      </c>
    </row>
    <row r="80" spans="1:19">
      <c r="A80" s="27" t="s">
        <v>133</v>
      </c>
      <c r="B80" s="83">
        <v>56500</v>
      </c>
      <c r="C80" s="83">
        <v>45170</v>
      </c>
      <c r="D80" s="83">
        <v>21800</v>
      </c>
      <c r="E80" s="83">
        <v>133060</v>
      </c>
      <c r="F80" s="83">
        <v>632010</v>
      </c>
      <c r="G80" s="83">
        <v>124240</v>
      </c>
      <c r="H80" s="83">
        <v>129990</v>
      </c>
      <c r="I80" s="83">
        <v>169420</v>
      </c>
      <c r="J80" s="83">
        <v>373280</v>
      </c>
      <c r="K80" s="83">
        <v>291680</v>
      </c>
      <c r="L80" s="83">
        <v>164960</v>
      </c>
      <c r="M80" s="83">
        <v>144290</v>
      </c>
      <c r="N80" s="83">
        <v>282800</v>
      </c>
      <c r="O80" s="83">
        <v>345520</v>
      </c>
      <c r="P80" s="83">
        <v>366840</v>
      </c>
      <c r="Q80" s="83">
        <v>301470</v>
      </c>
      <c r="R80" s="83">
        <v>16060</v>
      </c>
      <c r="S80" s="115">
        <v>3342600</v>
      </c>
    </row>
    <row r="81" spans="1:19">
      <c r="A81" s="27" t="s">
        <v>134</v>
      </c>
      <c r="B81" s="83">
        <v>56550</v>
      </c>
      <c r="C81" s="83">
        <v>44830</v>
      </c>
      <c r="D81" s="83">
        <v>21870</v>
      </c>
      <c r="E81" s="83">
        <v>135030</v>
      </c>
      <c r="F81" s="83">
        <v>642430</v>
      </c>
      <c r="G81" s="83">
        <v>126070</v>
      </c>
      <c r="H81" s="83">
        <v>131400</v>
      </c>
      <c r="I81" s="83">
        <v>171270</v>
      </c>
      <c r="J81" s="83">
        <v>375290</v>
      </c>
      <c r="K81" s="83">
        <v>295380</v>
      </c>
      <c r="L81" s="83">
        <v>167120</v>
      </c>
      <c r="M81" s="83">
        <v>145910</v>
      </c>
      <c r="N81" s="83">
        <v>286120</v>
      </c>
      <c r="O81" s="83">
        <v>351380</v>
      </c>
      <c r="P81" s="83">
        <v>372530</v>
      </c>
      <c r="Q81" s="83">
        <v>306280</v>
      </c>
      <c r="R81" s="83">
        <v>16690</v>
      </c>
      <c r="S81" s="115">
        <v>3387900</v>
      </c>
    </row>
    <row r="82" spans="1:19">
      <c r="A82" s="27" t="s">
        <v>135</v>
      </c>
      <c r="B82" s="83">
        <v>56870</v>
      </c>
      <c r="C82" s="83">
        <v>44960</v>
      </c>
      <c r="D82" s="83">
        <v>22210</v>
      </c>
      <c r="E82" s="83">
        <v>135220</v>
      </c>
      <c r="F82" s="83">
        <v>648120</v>
      </c>
      <c r="G82" s="83">
        <v>127080</v>
      </c>
      <c r="H82" s="83">
        <v>132490</v>
      </c>
      <c r="I82" s="83">
        <v>172130</v>
      </c>
      <c r="J82" s="83">
        <v>376580</v>
      </c>
      <c r="K82" s="83">
        <v>297360</v>
      </c>
      <c r="L82" s="83">
        <v>168400</v>
      </c>
      <c r="M82" s="83">
        <v>147710</v>
      </c>
      <c r="N82" s="83">
        <v>289980</v>
      </c>
      <c r="O82" s="83">
        <v>355690</v>
      </c>
      <c r="P82" s="83">
        <v>376120</v>
      </c>
      <c r="Q82" s="83">
        <v>311360</v>
      </c>
      <c r="R82" s="83">
        <v>17390</v>
      </c>
      <c r="S82" s="115">
        <v>3420400</v>
      </c>
    </row>
    <row r="83" spans="1:19">
      <c r="A83" s="80" t="s">
        <v>136</v>
      </c>
      <c r="B83" s="86">
        <v>57150</v>
      </c>
      <c r="C83" s="86">
        <v>44420</v>
      </c>
      <c r="D83" s="86">
        <v>22500</v>
      </c>
      <c r="E83" s="86">
        <v>134990</v>
      </c>
      <c r="F83" s="86">
        <v>657640</v>
      </c>
      <c r="G83" s="86">
        <v>129950</v>
      </c>
      <c r="H83" s="86">
        <v>135500</v>
      </c>
      <c r="I83" s="86">
        <v>173260</v>
      </c>
      <c r="J83" s="86">
        <v>381040</v>
      </c>
      <c r="K83" s="86">
        <v>302810</v>
      </c>
      <c r="L83" s="86">
        <v>173600</v>
      </c>
      <c r="M83" s="86">
        <v>150190</v>
      </c>
      <c r="N83" s="86">
        <v>295790</v>
      </c>
      <c r="O83" s="86">
        <v>361250</v>
      </c>
      <c r="P83" s="86">
        <v>382210</v>
      </c>
      <c r="Q83" s="86">
        <v>314400</v>
      </c>
      <c r="R83" s="86">
        <v>17720</v>
      </c>
      <c r="S83" s="116">
        <v>3475400</v>
      </c>
    </row>
    <row r="84" spans="1:19">
      <c r="A84" s="27" t="s">
        <v>137</v>
      </c>
      <c r="B84" s="83">
        <v>57640</v>
      </c>
      <c r="C84" s="83">
        <v>44490</v>
      </c>
      <c r="D84" s="83">
        <v>22800</v>
      </c>
      <c r="E84" s="83">
        <v>135120</v>
      </c>
      <c r="F84" s="83">
        <v>663730</v>
      </c>
      <c r="G84" s="83">
        <v>130200</v>
      </c>
      <c r="H84" s="83">
        <v>135990</v>
      </c>
      <c r="I84" s="83">
        <v>173860</v>
      </c>
      <c r="J84" s="83">
        <v>382070</v>
      </c>
      <c r="K84" s="83">
        <v>303780</v>
      </c>
      <c r="L84" s="83">
        <v>175360</v>
      </c>
      <c r="M84" s="83">
        <v>151320</v>
      </c>
      <c r="N84" s="83">
        <v>299850</v>
      </c>
      <c r="O84" s="83">
        <v>364890</v>
      </c>
      <c r="P84" s="83">
        <v>388690</v>
      </c>
      <c r="Q84" s="83">
        <v>318610</v>
      </c>
      <c r="R84" s="83">
        <v>17910</v>
      </c>
      <c r="S84" s="115">
        <v>3506300</v>
      </c>
    </row>
    <row r="85" spans="1:19">
      <c r="A85" s="27" t="s">
        <v>138</v>
      </c>
      <c r="B85" s="83">
        <v>58060</v>
      </c>
      <c r="C85" s="83">
        <v>44850</v>
      </c>
      <c r="D85" s="83">
        <v>23340</v>
      </c>
      <c r="E85" s="83">
        <v>136330</v>
      </c>
      <c r="F85" s="83">
        <v>673380</v>
      </c>
      <c r="G85" s="83">
        <v>131840</v>
      </c>
      <c r="H85" s="83">
        <v>137240</v>
      </c>
      <c r="I85" s="83">
        <v>176180</v>
      </c>
      <c r="J85" s="83">
        <v>386050</v>
      </c>
      <c r="K85" s="83">
        <v>308190</v>
      </c>
      <c r="L85" s="83">
        <v>177380</v>
      </c>
      <c r="M85" s="83">
        <v>153690</v>
      </c>
      <c r="N85" s="83">
        <v>302900</v>
      </c>
      <c r="O85" s="83">
        <v>369810</v>
      </c>
      <c r="P85" s="83">
        <v>395150</v>
      </c>
      <c r="Q85" s="83">
        <v>323630</v>
      </c>
      <c r="R85" s="83">
        <v>18350</v>
      </c>
      <c r="S85" s="115">
        <v>3553800</v>
      </c>
    </row>
    <row r="86" spans="1:19">
      <c r="A86" s="27" t="s">
        <v>139</v>
      </c>
      <c r="B86" s="83">
        <v>57530</v>
      </c>
      <c r="C86" s="83">
        <v>44390</v>
      </c>
      <c r="D86" s="83">
        <v>23270</v>
      </c>
      <c r="E86" s="83">
        <v>136730</v>
      </c>
      <c r="F86" s="83">
        <v>672050</v>
      </c>
      <c r="G86" s="83">
        <v>131210</v>
      </c>
      <c r="H86" s="83">
        <v>136300</v>
      </c>
      <c r="I86" s="83">
        <v>176530</v>
      </c>
      <c r="J86" s="83">
        <v>386640</v>
      </c>
      <c r="K86" s="83">
        <v>307220</v>
      </c>
      <c r="L86" s="83">
        <v>176020</v>
      </c>
      <c r="M86" s="83">
        <v>153520</v>
      </c>
      <c r="N86" s="83">
        <v>302150</v>
      </c>
      <c r="O86" s="83">
        <v>368570</v>
      </c>
      <c r="P86" s="83">
        <v>394520</v>
      </c>
      <c r="Q86" s="83">
        <v>322670</v>
      </c>
      <c r="R86" s="83">
        <v>18230</v>
      </c>
      <c r="S86" s="115">
        <v>3545600</v>
      </c>
    </row>
    <row r="87" spans="1:19">
      <c r="A87" s="80" t="s">
        <v>140</v>
      </c>
      <c r="B87" s="86">
        <v>57250</v>
      </c>
      <c r="C87" s="86">
        <v>43980</v>
      </c>
      <c r="D87" s="86">
        <v>23140</v>
      </c>
      <c r="E87" s="86">
        <v>136080</v>
      </c>
      <c r="F87" s="86">
        <v>678440</v>
      </c>
      <c r="G87" s="86">
        <v>133140</v>
      </c>
      <c r="H87" s="86">
        <v>137210</v>
      </c>
      <c r="I87" s="86">
        <v>178040</v>
      </c>
      <c r="J87" s="86">
        <v>387900</v>
      </c>
      <c r="K87" s="86">
        <v>308190</v>
      </c>
      <c r="L87" s="86">
        <v>177400</v>
      </c>
      <c r="M87" s="86">
        <v>155180</v>
      </c>
      <c r="N87" s="86">
        <v>304920</v>
      </c>
      <c r="O87" s="86">
        <v>371540</v>
      </c>
      <c r="P87" s="86">
        <v>399580</v>
      </c>
      <c r="Q87" s="86">
        <v>325640</v>
      </c>
      <c r="R87" s="86">
        <v>18140</v>
      </c>
      <c r="S87" s="116">
        <v>3575300</v>
      </c>
    </row>
    <row r="88" spans="1:19">
      <c r="A88" s="27" t="s">
        <v>141</v>
      </c>
      <c r="B88" s="83">
        <v>56410</v>
      </c>
      <c r="C88" s="83">
        <v>43230</v>
      </c>
      <c r="D88" s="83">
        <v>23260</v>
      </c>
      <c r="E88" s="83">
        <v>137110</v>
      </c>
      <c r="F88" s="83">
        <v>678870</v>
      </c>
      <c r="G88" s="83">
        <v>133480</v>
      </c>
      <c r="H88" s="83">
        <v>136630</v>
      </c>
      <c r="I88" s="83">
        <v>178280</v>
      </c>
      <c r="J88" s="83">
        <v>383500</v>
      </c>
      <c r="K88" s="83">
        <v>305450</v>
      </c>
      <c r="L88" s="83">
        <v>176390</v>
      </c>
      <c r="M88" s="83">
        <v>155420</v>
      </c>
      <c r="N88" s="83">
        <v>303890</v>
      </c>
      <c r="O88" s="83">
        <v>369390</v>
      </c>
      <c r="P88" s="83">
        <v>399650</v>
      </c>
      <c r="Q88" s="83">
        <v>325350</v>
      </c>
      <c r="R88" s="83">
        <v>17960</v>
      </c>
      <c r="S88" s="115">
        <v>3564300</v>
      </c>
    </row>
    <row r="89" spans="1:19">
      <c r="A89" s="27" t="s">
        <v>142</v>
      </c>
      <c r="B89" s="83">
        <v>55780</v>
      </c>
      <c r="C89" s="83">
        <v>42580</v>
      </c>
      <c r="D89" s="83">
        <v>22720</v>
      </c>
      <c r="E89" s="83">
        <v>134770</v>
      </c>
      <c r="F89" s="83">
        <v>670600</v>
      </c>
      <c r="G89" s="83">
        <v>132200</v>
      </c>
      <c r="H89" s="83">
        <v>134930</v>
      </c>
      <c r="I89" s="83">
        <v>175400</v>
      </c>
      <c r="J89" s="83">
        <v>379930</v>
      </c>
      <c r="K89" s="83">
        <v>302200</v>
      </c>
      <c r="L89" s="83">
        <v>172860</v>
      </c>
      <c r="M89" s="83">
        <v>152430</v>
      </c>
      <c r="N89" s="83">
        <v>302010</v>
      </c>
      <c r="O89" s="83">
        <v>366610</v>
      </c>
      <c r="P89" s="83">
        <v>394350</v>
      </c>
      <c r="Q89" s="83">
        <v>322200</v>
      </c>
      <c r="R89" s="83">
        <v>17800</v>
      </c>
      <c r="S89" s="115">
        <v>3523500</v>
      </c>
    </row>
    <row r="90" spans="1:19">
      <c r="A90" s="27" t="s">
        <v>143</v>
      </c>
      <c r="B90" s="83">
        <v>55860</v>
      </c>
      <c r="C90" s="83">
        <v>41940</v>
      </c>
      <c r="D90" s="83">
        <v>22400</v>
      </c>
      <c r="E90" s="83">
        <v>135340</v>
      </c>
      <c r="F90" s="83">
        <v>668600</v>
      </c>
      <c r="G90" s="83">
        <v>130900</v>
      </c>
      <c r="H90" s="83">
        <v>133170</v>
      </c>
      <c r="I90" s="83">
        <v>173660</v>
      </c>
      <c r="J90" s="83">
        <v>378530</v>
      </c>
      <c r="K90" s="83">
        <v>300430</v>
      </c>
      <c r="L90" s="83">
        <v>170380</v>
      </c>
      <c r="M90" s="83">
        <v>149840</v>
      </c>
      <c r="N90" s="83">
        <v>298750</v>
      </c>
      <c r="O90" s="83">
        <v>364420</v>
      </c>
      <c r="P90" s="83">
        <v>391160</v>
      </c>
      <c r="Q90" s="83">
        <v>323640</v>
      </c>
      <c r="R90" s="83">
        <v>17760</v>
      </c>
      <c r="S90" s="115">
        <v>3501200</v>
      </c>
    </row>
    <row r="91" spans="1:19">
      <c r="A91" s="80" t="s">
        <v>144</v>
      </c>
      <c r="B91" s="86">
        <v>55620</v>
      </c>
      <c r="C91" s="86">
        <v>41500</v>
      </c>
      <c r="D91" s="86">
        <v>22470</v>
      </c>
      <c r="E91" s="86">
        <v>136750</v>
      </c>
      <c r="F91" s="86">
        <v>665910</v>
      </c>
      <c r="G91" s="86">
        <v>128520</v>
      </c>
      <c r="H91" s="86">
        <v>130190</v>
      </c>
      <c r="I91" s="86">
        <v>171220</v>
      </c>
      <c r="J91" s="86">
        <v>375410</v>
      </c>
      <c r="K91" s="86">
        <v>298030</v>
      </c>
      <c r="L91" s="86">
        <v>167790</v>
      </c>
      <c r="M91" s="86">
        <v>149250</v>
      </c>
      <c r="N91" s="86">
        <v>293880</v>
      </c>
      <c r="O91" s="86">
        <v>360610</v>
      </c>
      <c r="P91" s="86">
        <v>387830</v>
      </c>
      <c r="Q91" s="86">
        <v>323760</v>
      </c>
      <c r="R91" s="86">
        <v>17640</v>
      </c>
      <c r="S91" s="116">
        <v>3470000</v>
      </c>
    </row>
    <row r="92" spans="1:19">
      <c r="A92" s="27" t="s">
        <v>145</v>
      </c>
      <c r="B92" s="83">
        <v>55940</v>
      </c>
      <c r="C92" s="83">
        <v>42230</v>
      </c>
      <c r="D92" s="83">
        <v>22000</v>
      </c>
      <c r="E92" s="83">
        <v>136940</v>
      </c>
      <c r="F92" s="83">
        <v>665340</v>
      </c>
      <c r="G92" s="83">
        <v>129780</v>
      </c>
      <c r="H92" s="83">
        <v>131490</v>
      </c>
      <c r="I92" s="83">
        <v>171870</v>
      </c>
      <c r="J92" s="83">
        <v>381650</v>
      </c>
      <c r="K92" s="83">
        <v>301250</v>
      </c>
      <c r="L92" s="83">
        <v>169480</v>
      </c>
      <c r="M92" s="83">
        <v>149260</v>
      </c>
      <c r="N92" s="83">
        <v>297080</v>
      </c>
      <c r="O92" s="83">
        <v>362960</v>
      </c>
      <c r="P92" s="83">
        <v>389660</v>
      </c>
      <c r="Q92" s="83">
        <v>325340</v>
      </c>
      <c r="R92" s="83">
        <v>17610</v>
      </c>
      <c r="S92" s="115">
        <v>3492800</v>
      </c>
    </row>
    <row r="93" spans="1:19">
      <c r="A93" s="27" t="s">
        <v>146</v>
      </c>
      <c r="B93" s="83">
        <v>56100</v>
      </c>
      <c r="C93" s="83">
        <v>42350</v>
      </c>
      <c r="D93" s="83">
        <v>22380</v>
      </c>
      <c r="E93" s="83">
        <v>135150</v>
      </c>
      <c r="F93" s="83">
        <v>669590</v>
      </c>
      <c r="G93" s="83">
        <v>129090</v>
      </c>
      <c r="H93" s="83">
        <v>129880</v>
      </c>
      <c r="I93" s="83">
        <v>171390</v>
      </c>
      <c r="J93" s="83">
        <v>383140</v>
      </c>
      <c r="K93" s="83">
        <v>299060</v>
      </c>
      <c r="L93" s="83">
        <v>168440</v>
      </c>
      <c r="M93" s="83">
        <v>147900</v>
      </c>
      <c r="N93" s="83">
        <v>295810</v>
      </c>
      <c r="O93" s="83">
        <v>360820</v>
      </c>
      <c r="P93" s="83">
        <v>389230</v>
      </c>
      <c r="Q93" s="83">
        <v>326040</v>
      </c>
      <c r="R93" s="83">
        <v>17790</v>
      </c>
      <c r="S93" s="115">
        <v>3488200</v>
      </c>
    </row>
    <row r="94" spans="1:19">
      <c r="A94" s="27" t="s">
        <v>147</v>
      </c>
      <c r="B94" s="83">
        <v>56170</v>
      </c>
      <c r="C94" s="83">
        <v>42770</v>
      </c>
      <c r="D94" s="83">
        <v>22530</v>
      </c>
      <c r="E94" s="83">
        <v>135470</v>
      </c>
      <c r="F94" s="83">
        <v>672220</v>
      </c>
      <c r="G94" s="83">
        <v>127910</v>
      </c>
      <c r="H94" s="83">
        <v>127920</v>
      </c>
      <c r="I94" s="83">
        <v>171750</v>
      </c>
      <c r="J94" s="83">
        <v>384040</v>
      </c>
      <c r="K94" s="83">
        <v>294170</v>
      </c>
      <c r="L94" s="83">
        <v>168080</v>
      </c>
      <c r="M94" s="83">
        <v>147900</v>
      </c>
      <c r="N94" s="83">
        <v>294820</v>
      </c>
      <c r="O94" s="83">
        <v>363470</v>
      </c>
      <c r="P94" s="83">
        <v>388110</v>
      </c>
      <c r="Q94" s="83">
        <v>327430</v>
      </c>
      <c r="R94" s="83">
        <v>17990</v>
      </c>
      <c r="S94" s="115">
        <v>3485800</v>
      </c>
    </row>
    <row r="95" spans="1:19">
      <c r="A95" s="80" t="s">
        <v>148</v>
      </c>
      <c r="B95" s="86">
        <v>56650</v>
      </c>
      <c r="C95" s="86">
        <v>43430</v>
      </c>
      <c r="D95" s="86">
        <v>22810</v>
      </c>
      <c r="E95" s="86">
        <v>136400</v>
      </c>
      <c r="F95" s="86">
        <v>671540</v>
      </c>
      <c r="G95" s="86">
        <v>127110</v>
      </c>
      <c r="H95" s="86">
        <v>126220</v>
      </c>
      <c r="I95" s="86">
        <v>169690</v>
      </c>
      <c r="J95" s="86">
        <v>383450</v>
      </c>
      <c r="K95" s="86">
        <v>290870</v>
      </c>
      <c r="L95" s="86">
        <v>166640</v>
      </c>
      <c r="M95" s="86">
        <v>146040</v>
      </c>
      <c r="N95" s="86">
        <v>294530</v>
      </c>
      <c r="O95" s="86">
        <v>362550</v>
      </c>
      <c r="P95" s="86">
        <v>384620</v>
      </c>
      <c r="Q95" s="86">
        <v>327700</v>
      </c>
      <c r="R95" s="86">
        <v>17910</v>
      </c>
      <c r="S95" s="116">
        <v>3468900</v>
      </c>
    </row>
    <row r="96" spans="1:19">
      <c r="A96" s="27" t="s">
        <v>149</v>
      </c>
      <c r="B96" s="83">
        <v>56240</v>
      </c>
      <c r="C96" s="83">
        <v>43300</v>
      </c>
      <c r="D96" s="83">
        <v>22690</v>
      </c>
      <c r="E96" s="83">
        <v>138110</v>
      </c>
      <c r="F96" s="83">
        <v>671410</v>
      </c>
      <c r="G96" s="83">
        <v>126270</v>
      </c>
      <c r="H96" s="83">
        <v>124930</v>
      </c>
      <c r="I96" s="83">
        <v>168230</v>
      </c>
      <c r="J96" s="83">
        <v>383720</v>
      </c>
      <c r="K96" s="83">
        <v>288180</v>
      </c>
      <c r="L96" s="83">
        <v>165610</v>
      </c>
      <c r="M96" s="83">
        <v>144790</v>
      </c>
      <c r="N96" s="83">
        <v>291450</v>
      </c>
      <c r="O96" s="83">
        <v>358640</v>
      </c>
      <c r="P96" s="83">
        <v>382450</v>
      </c>
      <c r="Q96" s="83">
        <v>326080</v>
      </c>
      <c r="R96" s="83">
        <v>17640</v>
      </c>
      <c r="S96" s="115">
        <v>3449400</v>
      </c>
    </row>
    <row r="97" spans="1:19">
      <c r="A97" s="27" t="s">
        <v>150</v>
      </c>
      <c r="B97" s="83">
        <v>55660</v>
      </c>
      <c r="C97" s="83">
        <v>42880</v>
      </c>
      <c r="D97" s="83">
        <v>22980</v>
      </c>
      <c r="E97" s="83">
        <v>139380</v>
      </c>
      <c r="F97" s="83">
        <v>673800</v>
      </c>
      <c r="G97" s="83">
        <v>125710</v>
      </c>
      <c r="H97" s="83">
        <v>123420</v>
      </c>
      <c r="I97" s="83">
        <v>167310</v>
      </c>
      <c r="J97" s="83">
        <v>380450</v>
      </c>
      <c r="K97" s="83">
        <v>284690</v>
      </c>
      <c r="L97" s="83">
        <v>165630</v>
      </c>
      <c r="M97" s="83">
        <v>145150</v>
      </c>
      <c r="N97" s="83">
        <v>289960</v>
      </c>
      <c r="O97" s="83">
        <v>359150</v>
      </c>
      <c r="P97" s="83">
        <v>382590</v>
      </c>
      <c r="Q97" s="83">
        <v>327810</v>
      </c>
      <c r="R97" s="83">
        <v>17190</v>
      </c>
      <c r="S97" s="115">
        <v>3442900</v>
      </c>
    </row>
    <row r="98" spans="1:19">
      <c r="A98" s="27" t="s">
        <v>151</v>
      </c>
      <c r="B98" s="83">
        <v>55500</v>
      </c>
      <c r="C98" s="83">
        <v>42220</v>
      </c>
      <c r="D98" s="83">
        <v>22990</v>
      </c>
      <c r="E98" s="83">
        <v>139570</v>
      </c>
      <c r="F98" s="83">
        <v>671830</v>
      </c>
      <c r="G98" s="83">
        <v>126710</v>
      </c>
      <c r="H98" s="83">
        <v>123820</v>
      </c>
      <c r="I98" s="83">
        <v>166660</v>
      </c>
      <c r="J98" s="83">
        <v>377880</v>
      </c>
      <c r="K98" s="83">
        <v>282870</v>
      </c>
      <c r="L98" s="83">
        <v>166170</v>
      </c>
      <c r="M98" s="83">
        <v>145150</v>
      </c>
      <c r="N98" s="83">
        <v>288960</v>
      </c>
      <c r="O98" s="83">
        <v>362060</v>
      </c>
      <c r="P98" s="83">
        <v>383530</v>
      </c>
      <c r="Q98" s="83">
        <v>325230</v>
      </c>
      <c r="R98" s="83">
        <v>17030</v>
      </c>
      <c r="S98" s="115">
        <v>3437900</v>
      </c>
    </row>
    <row r="99" spans="1:19">
      <c r="A99" s="80" t="s">
        <v>152</v>
      </c>
      <c r="B99" s="86">
        <v>55160</v>
      </c>
      <c r="C99" s="86">
        <v>41720</v>
      </c>
      <c r="D99" s="86">
        <v>22640</v>
      </c>
      <c r="E99" s="86">
        <v>139540</v>
      </c>
      <c r="F99" s="86">
        <v>668270</v>
      </c>
      <c r="G99" s="86">
        <v>126900</v>
      </c>
      <c r="H99" s="86">
        <v>123490</v>
      </c>
      <c r="I99" s="86">
        <v>165510</v>
      </c>
      <c r="J99" s="86">
        <v>376910</v>
      </c>
      <c r="K99" s="86">
        <v>282500</v>
      </c>
      <c r="L99" s="86">
        <v>165650</v>
      </c>
      <c r="M99" s="86">
        <v>143710</v>
      </c>
      <c r="N99" s="86">
        <v>288640</v>
      </c>
      <c r="O99" s="86">
        <v>360420</v>
      </c>
      <c r="P99" s="86">
        <v>380930</v>
      </c>
      <c r="Q99" s="86">
        <v>323360</v>
      </c>
      <c r="R99" s="86">
        <v>17410</v>
      </c>
      <c r="S99" s="116">
        <v>3423700</v>
      </c>
    </row>
    <row r="100" spans="1:19">
      <c r="A100" s="27" t="s">
        <v>153</v>
      </c>
      <c r="B100" s="83">
        <v>54680</v>
      </c>
      <c r="C100" s="83">
        <v>41170</v>
      </c>
      <c r="D100" s="83">
        <v>22900</v>
      </c>
      <c r="E100" s="83">
        <v>139110</v>
      </c>
      <c r="F100" s="83">
        <v>666040</v>
      </c>
      <c r="G100" s="83">
        <v>125910</v>
      </c>
      <c r="H100" s="83">
        <v>123420</v>
      </c>
      <c r="I100" s="83">
        <v>163060</v>
      </c>
      <c r="J100" s="83">
        <v>371480</v>
      </c>
      <c r="K100" s="83">
        <v>279810</v>
      </c>
      <c r="L100" s="83">
        <v>165730</v>
      </c>
      <c r="M100" s="83">
        <v>143050</v>
      </c>
      <c r="N100" s="83">
        <v>285510</v>
      </c>
      <c r="O100" s="83">
        <v>359890</v>
      </c>
      <c r="P100" s="83">
        <v>378610</v>
      </c>
      <c r="Q100" s="83">
        <v>321130</v>
      </c>
      <c r="R100" s="83">
        <v>17070</v>
      </c>
      <c r="S100" s="115">
        <v>3400700</v>
      </c>
    </row>
    <row r="101" spans="1:19">
      <c r="A101" s="27" t="s">
        <v>154</v>
      </c>
      <c r="B101" s="83">
        <v>53620</v>
      </c>
      <c r="C101" s="83">
        <v>40400</v>
      </c>
      <c r="D101" s="83">
        <v>22410</v>
      </c>
      <c r="E101" s="83">
        <v>138260</v>
      </c>
      <c r="F101" s="83">
        <v>660800</v>
      </c>
      <c r="G101" s="83">
        <v>124520</v>
      </c>
      <c r="H101" s="83">
        <v>122860</v>
      </c>
      <c r="I101" s="83">
        <v>160990</v>
      </c>
      <c r="J101" s="83">
        <v>365360</v>
      </c>
      <c r="K101" s="83">
        <v>276790</v>
      </c>
      <c r="L101" s="83">
        <v>164720</v>
      </c>
      <c r="M101" s="83">
        <v>142090</v>
      </c>
      <c r="N101" s="83">
        <v>283550</v>
      </c>
      <c r="O101" s="83">
        <v>357550</v>
      </c>
      <c r="P101" s="83">
        <v>376700</v>
      </c>
      <c r="Q101" s="83">
        <v>317390</v>
      </c>
      <c r="R101" s="83">
        <v>16420</v>
      </c>
      <c r="S101" s="115">
        <v>3369700</v>
      </c>
    </row>
    <row r="102" spans="1:19">
      <c r="A102" s="27" t="s">
        <v>155</v>
      </c>
      <c r="B102" s="83">
        <v>52740</v>
      </c>
      <c r="C102" s="83">
        <v>40190</v>
      </c>
      <c r="D102" s="83">
        <v>21830</v>
      </c>
      <c r="E102" s="83">
        <v>136390</v>
      </c>
      <c r="F102" s="83">
        <v>662410</v>
      </c>
      <c r="G102" s="83">
        <v>124650</v>
      </c>
      <c r="H102" s="83">
        <v>123070</v>
      </c>
      <c r="I102" s="83">
        <v>159370</v>
      </c>
      <c r="J102" s="83">
        <v>358920</v>
      </c>
      <c r="K102" s="83">
        <v>277090</v>
      </c>
      <c r="L102" s="83">
        <v>164390</v>
      </c>
      <c r="M102" s="83">
        <v>141720</v>
      </c>
      <c r="N102" s="83">
        <v>280450</v>
      </c>
      <c r="O102" s="83">
        <v>355300</v>
      </c>
      <c r="P102" s="83">
        <v>376740</v>
      </c>
      <c r="Q102" s="83">
        <v>313460</v>
      </c>
      <c r="R102" s="83">
        <v>16090</v>
      </c>
      <c r="S102" s="115">
        <v>3353700</v>
      </c>
    </row>
    <row r="103" spans="1:19">
      <c r="A103" s="80" t="s">
        <v>156</v>
      </c>
      <c r="B103" s="86">
        <v>51000</v>
      </c>
      <c r="C103" s="86">
        <v>39310</v>
      </c>
      <c r="D103" s="86">
        <v>21360</v>
      </c>
      <c r="E103" s="86">
        <v>134410</v>
      </c>
      <c r="F103" s="86">
        <v>655960</v>
      </c>
      <c r="G103" s="86">
        <v>122090</v>
      </c>
      <c r="H103" s="86">
        <v>121700</v>
      </c>
      <c r="I103" s="86">
        <v>158540</v>
      </c>
      <c r="J103" s="86">
        <v>356320</v>
      </c>
      <c r="K103" s="86">
        <v>273240</v>
      </c>
      <c r="L103" s="86">
        <v>164880</v>
      </c>
      <c r="M103" s="86">
        <v>139480</v>
      </c>
      <c r="N103" s="86">
        <v>276310</v>
      </c>
      <c r="O103" s="86">
        <v>352560</v>
      </c>
      <c r="P103" s="86">
        <v>373050</v>
      </c>
      <c r="Q103" s="86">
        <v>308210</v>
      </c>
      <c r="R103" s="86">
        <v>16610</v>
      </c>
      <c r="S103" s="116">
        <v>3318900</v>
      </c>
    </row>
    <row r="104" spans="1:19">
      <c r="A104" s="27" t="s">
        <v>157</v>
      </c>
      <c r="B104" s="83">
        <v>50380</v>
      </c>
      <c r="C104" s="83">
        <v>38840</v>
      </c>
      <c r="D104" s="83">
        <v>20960</v>
      </c>
      <c r="E104" s="83">
        <v>132900</v>
      </c>
      <c r="F104" s="83">
        <v>669140</v>
      </c>
      <c r="G104" s="83">
        <v>120070</v>
      </c>
      <c r="H104" s="83">
        <v>119040</v>
      </c>
      <c r="I104" s="83">
        <v>159680</v>
      </c>
      <c r="J104" s="83">
        <v>355080</v>
      </c>
      <c r="K104" s="83">
        <v>276440</v>
      </c>
      <c r="L104" s="83">
        <v>167740</v>
      </c>
      <c r="M104" s="83">
        <v>141650</v>
      </c>
      <c r="N104" s="83">
        <v>278280</v>
      </c>
      <c r="O104" s="83">
        <v>350420</v>
      </c>
      <c r="P104" s="83">
        <v>375380</v>
      </c>
      <c r="Q104" s="83">
        <v>309550</v>
      </c>
      <c r="R104" s="83">
        <v>16320</v>
      </c>
      <c r="S104" s="115">
        <v>3338800</v>
      </c>
    </row>
    <row r="105" spans="1:19">
      <c r="A105" s="27" t="s">
        <v>158</v>
      </c>
      <c r="B105" s="83">
        <v>54140</v>
      </c>
      <c r="C105" s="83">
        <v>42120</v>
      </c>
      <c r="D105" s="83">
        <v>21610</v>
      </c>
      <c r="E105" s="83">
        <v>139850</v>
      </c>
      <c r="F105" s="83">
        <v>811910</v>
      </c>
      <c r="G105" s="83">
        <v>148150</v>
      </c>
      <c r="H105" s="83">
        <v>150610</v>
      </c>
      <c r="I105" s="83">
        <v>199530</v>
      </c>
      <c r="J105" s="83">
        <v>418960</v>
      </c>
      <c r="K105" s="83">
        <v>335710</v>
      </c>
      <c r="L105" s="83">
        <v>221070</v>
      </c>
      <c r="M105" s="83">
        <v>184380</v>
      </c>
      <c r="N105" s="83">
        <v>352870</v>
      </c>
      <c r="O105" s="83">
        <v>428440</v>
      </c>
      <c r="P105" s="83">
        <v>472700</v>
      </c>
      <c r="Q105" s="83">
        <v>386330</v>
      </c>
      <c r="R105" s="83">
        <v>23430</v>
      </c>
      <c r="S105" s="115">
        <v>4134100</v>
      </c>
    </row>
    <row r="106" spans="1:19">
      <c r="A106" s="27" t="s">
        <v>159</v>
      </c>
      <c r="B106" s="83">
        <v>52690</v>
      </c>
      <c r="C106" s="83">
        <v>40080</v>
      </c>
      <c r="D106" s="83">
        <v>21780</v>
      </c>
      <c r="E106" s="83">
        <v>135350</v>
      </c>
      <c r="F106" s="83">
        <v>753290</v>
      </c>
      <c r="G106" s="83">
        <v>126650</v>
      </c>
      <c r="H106" s="83">
        <v>129930</v>
      </c>
      <c r="I106" s="83">
        <v>172870</v>
      </c>
      <c r="J106" s="83">
        <v>379590</v>
      </c>
      <c r="K106" s="83">
        <v>300770</v>
      </c>
      <c r="L106" s="83">
        <v>184760</v>
      </c>
      <c r="M106" s="83">
        <v>155040</v>
      </c>
      <c r="N106" s="83">
        <v>304810</v>
      </c>
      <c r="O106" s="83">
        <v>386800</v>
      </c>
      <c r="P106" s="83">
        <v>414600</v>
      </c>
      <c r="Q106" s="83">
        <v>339220</v>
      </c>
      <c r="R106" s="83">
        <v>18840</v>
      </c>
      <c r="S106" s="115">
        <v>3667200</v>
      </c>
    </row>
    <row r="107" spans="1:19">
      <c r="A107" s="80" t="s">
        <v>160</v>
      </c>
      <c r="B107" s="86">
        <v>51140</v>
      </c>
      <c r="C107" s="86">
        <v>38630</v>
      </c>
      <c r="D107" s="86">
        <v>20730</v>
      </c>
      <c r="E107" s="86">
        <v>132610</v>
      </c>
      <c r="F107" s="86">
        <v>757820</v>
      </c>
      <c r="G107" s="86">
        <v>123120</v>
      </c>
      <c r="H107" s="86">
        <v>124180</v>
      </c>
      <c r="I107" s="86">
        <v>167510</v>
      </c>
      <c r="J107" s="86">
        <v>365840</v>
      </c>
      <c r="K107" s="86">
        <v>294590</v>
      </c>
      <c r="L107" s="86">
        <v>178900</v>
      </c>
      <c r="M107" s="86">
        <v>150210</v>
      </c>
      <c r="N107" s="86">
        <v>295320</v>
      </c>
      <c r="O107" s="86">
        <v>378280</v>
      </c>
      <c r="P107" s="86">
        <v>410340</v>
      </c>
      <c r="Q107" s="86">
        <v>331150</v>
      </c>
      <c r="R107" s="86">
        <v>16100</v>
      </c>
      <c r="S107" s="116">
        <v>3593400</v>
      </c>
    </row>
    <row r="108" spans="1:19">
      <c r="A108" s="27" t="s">
        <v>161</v>
      </c>
      <c r="B108" s="83">
        <v>50540</v>
      </c>
      <c r="C108" s="83">
        <v>37930</v>
      </c>
      <c r="D108" s="83">
        <v>20660</v>
      </c>
      <c r="E108" s="83">
        <v>131400</v>
      </c>
      <c r="F108" s="83">
        <v>751990</v>
      </c>
      <c r="G108" s="83">
        <v>122340</v>
      </c>
      <c r="H108" s="83">
        <v>124000</v>
      </c>
      <c r="I108" s="83">
        <v>164860</v>
      </c>
      <c r="J108" s="83">
        <v>361740</v>
      </c>
      <c r="K108" s="83">
        <v>291350</v>
      </c>
      <c r="L108" s="83">
        <v>175700</v>
      </c>
      <c r="M108" s="83">
        <v>147600</v>
      </c>
      <c r="N108" s="83">
        <v>292870</v>
      </c>
      <c r="O108" s="83">
        <v>375070</v>
      </c>
      <c r="P108" s="83">
        <v>411620</v>
      </c>
      <c r="Q108" s="83">
        <v>330270</v>
      </c>
      <c r="R108" s="83">
        <v>15230</v>
      </c>
      <c r="S108" s="115">
        <v>3564600</v>
      </c>
    </row>
    <row r="109" spans="1:19">
      <c r="A109" s="27" t="s">
        <v>162</v>
      </c>
      <c r="B109" s="83">
        <v>50640</v>
      </c>
      <c r="C109" s="83">
        <v>37770</v>
      </c>
      <c r="D109" s="83">
        <v>20710</v>
      </c>
      <c r="E109" s="83">
        <v>129960</v>
      </c>
      <c r="F109" s="83">
        <v>736660</v>
      </c>
      <c r="G109" s="83">
        <v>119600</v>
      </c>
      <c r="H109" s="83">
        <v>120430</v>
      </c>
      <c r="I109" s="83">
        <v>160510</v>
      </c>
      <c r="J109" s="83">
        <v>353910</v>
      </c>
      <c r="K109" s="83">
        <v>285320</v>
      </c>
      <c r="L109" s="83">
        <v>169290</v>
      </c>
      <c r="M109" s="83">
        <v>144420</v>
      </c>
      <c r="N109" s="83">
        <v>287520</v>
      </c>
      <c r="O109" s="83">
        <v>370670</v>
      </c>
      <c r="P109" s="83">
        <v>394950</v>
      </c>
      <c r="Q109" s="83">
        <v>329110</v>
      </c>
      <c r="R109" s="83">
        <v>16570</v>
      </c>
      <c r="S109" s="115">
        <v>3489000</v>
      </c>
    </row>
    <row r="110" spans="1:19">
      <c r="A110" s="27" t="s">
        <v>163</v>
      </c>
      <c r="B110" s="83">
        <v>50060</v>
      </c>
      <c r="C110" s="83">
        <v>37250</v>
      </c>
      <c r="D110" s="83">
        <v>20620</v>
      </c>
      <c r="E110" s="83">
        <v>128180</v>
      </c>
      <c r="F110" s="83">
        <v>698260</v>
      </c>
      <c r="G110" s="83">
        <v>113310</v>
      </c>
      <c r="H110" s="83">
        <v>113100</v>
      </c>
      <c r="I110" s="83">
        <v>151660</v>
      </c>
      <c r="J110" s="83">
        <v>342630</v>
      </c>
      <c r="K110" s="83">
        <v>272510</v>
      </c>
      <c r="L110" s="83">
        <v>157900</v>
      </c>
      <c r="M110" s="83">
        <v>133920</v>
      </c>
      <c r="N110" s="83">
        <v>268880</v>
      </c>
      <c r="O110" s="83">
        <v>352880</v>
      </c>
      <c r="P110" s="83">
        <v>372420</v>
      </c>
      <c r="Q110" s="83">
        <v>306280</v>
      </c>
      <c r="R110" s="83">
        <v>14650</v>
      </c>
      <c r="S110" s="115">
        <v>3298400</v>
      </c>
    </row>
    <row r="111" spans="1:19">
      <c r="A111" s="80" t="s">
        <v>164</v>
      </c>
      <c r="B111" s="86">
        <v>49970</v>
      </c>
      <c r="C111" s="86">
        <v>36980</v>
      </c>
      <c r="D111" s="86">
        <v>20810</v>
      </c>
      <c r="E111" s="86">
        <v>126720</v>
      </c>
      <c r="F111" s="86">
        <v>662740</v>
      </c>
      <c r="G111" s="86">
        <v>107750</v>
      </c>
      <c r="H111" s="86">
        <v>108200</v>
      </c>
      <c r="I111" s="86">
        <v>143970</v>
      </c>
      <c r="J111" s="86">
        <v>324850</v>
      </c>
      <c r="K111" s="86">
        <v>260110</v>
      </c>
      <c r="L111" s="86">
        <v>149450</v>
      </c>
      <c r="M111" s="86">
        <v>126210</v>
      </c>
      <c r="N111" s="86">
        <v>254970</v>
      </c>
      <c r="O111" s="86">
        <v>335780</v>
      </c>
      <c r="P111" s="86">
        <v>352700</v>
      </c>
      <c r="Q111" s="86">
        <v>289860</v>
      </c>
      <c r="R111" s="86">
        <v>13680</v>
      </c>
      <c r="S111" s="116">
        <v>3130300</v>
      </c>
    </row>
    <row r="112" spans="1:19">
      <c r="A112" s="27" t="s">
        <v>165</v>
      </c>
      <c r="B112" s="83">
        <v>48720</v>
      </c>
      <c r="C112" s="83">
        <v>35790</v>
      </c>
      <c r="D112" s="83">
        <v>20610</v>
      </c>
      <c r="E112" s="83">
        <v>123800</v>
      </c>
      <c r="F112" s="83">
        <v>637530</v>
      </c>
      <c r="G112" s="83">
        <v>103790</v>
      </c>
      <c r="H112" s="83">
        <v>102560</v>
      </c>
      <c r="I112" s="83">
        <v>135130</v>
      </c>
      <c r="J112" s="83">
        <v>306890</v>
      </c>
      <c r="K112" s="83">
        <v>246370</v>
      </c>
      <c r="L112" s="83">
        <v>140930</v>
      </c>
      <c r="M112" s="83">
        <v>120450</v>
      </c>
      <c r="N112" s="83">
        <v>243030</v>
      </c>
      <c r="O112" s="83">
        <v>321130</v>
      </c>
      <c r="P112" s="83">
        <v>334130</v>
      </c>
      <c r="Q112" s="83">
        <v>276370</v>
      </c>
      <c r="R112" s="83">
        <v>13110</v>
      </c>
      <c r="S112" s="115">
        <v>2981400</v>
      </c>
    </row>
    <row r="113" spans="1:19">
      <c r="A113" s="27" t="s">
        <v>166</v>
      </c>
      <c r="B113" s="83">
        <v>46560</v>
      </c>
      <c r="C113" s="83">
        <v>33960</v>
      </c>
      <c r="D113" s="83">
        <v>20110</v>
      </c>
      <c r="E113" s="83">
        <v>120970</v>
      </c>
      <c r="F113" s="83">
        <v>627650</v>
      </c>
      <c r="G113" s="83">
        <v>102840</v>
      </c>
      <c r="H113" s="83">
        <v>101960</v>
      </c>
      <c r="I113" s="83">
        <v>133770</v>
      </c>
      <c r="J113" s="83">
        <v>304000</v>
      </c>
      <c r="K113" s="83">
        <v>240180</v>
      </c>
      <c r="L113" s="83">
        <v>140010</v>
      </c>
      <c r="M113" s="83">
        <v>118540</v>
      </c>
      <c r="N113" s="83">
        <v>239510</v>
      </c>
      <c r="O113" s="83">
        <v>318320</v>
      </c>
      <c r="P113" s="83">
        <v>329850</v>
      </c>
      <c r="Q113" s="83">
        <v>274070</v>
      </c>
      <c r="R113" s="83">
        <v>12670</v>
      </c>
      <c r="S113" s="115">
        <v>2943400</v>
      </c>
    </row>
    <row r="114" spans="1:19">
      <c r="A114" s="27" t="s">
        <v>167</v>
      </c>
      <c r="B114" s="83">
        <v>45190</v>
      </c>
      <c r="C114" s="83">
        <v>33540</v>
      </c>
      <c r="D114" s="83">
        <v>20360</v>
      </c>
      <c r="E114" s="83">
        <v>119790</v>
      </c>
      <c r="F114" s="83">
        <v>627230</v>
      </c>
      <c r="G114" s="83">
        <v>102210</v>
      </c>
      <c r="H114" s="83">
        <v>102530</v>
      </c>
      <c r="I114" s="83">
        <v>132130</v>
      </c>
      <c r="J114" s="83">
        <v>298750</v>
      </c>
      <c r="K114" s="83">
        <v>238060</v>
      </c>
      <c r="L114" s="83">
        <v>139760</v>
      </c>
      <c r="M114" s="83">
        <v>119490</v>
      </c>
      <c r="N114" s="83">
        <v>240760</v>
      </c>
      <c r="O114" s="83">
        <v>313560</v>
      </c>
      <c r="P114" s="83">
        <v>326460</v>
      </c>
      <c r="Q114" s="83">
        <v>275080</v>
      </c>
      <c r="R114" s="83">
        <v>12810</v>
      </c>
      <c r="S114" s="115">
        <v>2928800</v>
      </c>
    </row>
    <row r="115" spans="1:19">
      <c r="A115" s="80" t="s">
        <v>168</v>
      </c>
      <c r="B115" s="86">
        <v>43860</v>
      </c>
      <c r="C115" s="86">
        <v>32790</v>
      </c>
      <c r="D115" s="86">
        <v>20070</v>
      </c>
      <c r="E115" s="86">
        <v>118990</v>
      </c>
      <c r="F115" s="86">
        <v>602430</v>
      </c>
      <c r="G115" s="86">
        <v>100270</v>
      </c>
      <c r="H115" s="86">
        <v>100630</v>
      </c>
      <c r="I115" s="86">
        <v>125650</v>
      </c>
      <c r="J115" s="86">
        <v>295530</v>
      </c>
      <c r="K115" s="86">
        <v>233690</v>
      </c>
      <c r="L115" s="86">
        <v>132080</v>
      </c>
      <c r="M115" s="86">
        <v>116300</v>
      </c>
      <c r="N115" s="86">
        <v>229030</v>
      </c>
      <c r="O115" s="86">
        <v>306840</v>
      </c>
      <c r="P115" s="86">
        <v>315080</v>
      </c>
      <c r="Q115" s="86">
        <v>263960</v>
      </c>
      <c r="R115" s="86">
        <v>12680</v>
      </c>
      <c r="S115" s="116">
        <v>2834200</v>
      </c>
    </row>
    <row r="116" spans="1:19">
      <c r="A116" s="27" t="s">
        <v>169</v>
      </c>
      <c r="B116" s="83">
        <v>43280</v>
      </c>
      <c r="C116" s="83">
        <v>32300</v>
      </c>
      <c r="D116" s="83">
        <v>20130</v>
      </c>
      <c r="E116" s="83">
        <v>118640</v>
      </c>
      <c r="F116" s="83">
        <v>590290</v>
      </c>
      <c r="G116" s="83">
        <v>98450</v>
      </c>
      <c r="H116" s="83">
        <v>99640</v>
      </c>
      <c r="I116" s="83">
        <v>125870</v>
      </c>
      <c r="J116" s="83">
        <v>296420</v>
      </c>
      <c r="K116" s="83">
        <v>231960</v>
      </c>
      <c r="L116" s="83">
        <v>130500</v>
      </c>
      <c r="M116" s="83">
        <v>116560</v>
      </c>
      <c r="N116" s="83">
        <v>225020</v>
      </c>
      <c r="O116" s="83">
        <v>305610</v>
      </c>
      <c r="P116" s="83">
        <v>313240</v>
      </c>
      <c r="Q116" s="83">
        <v>260920</v>
      </c>
      <c r="R116" s="83">
        <v>12870</v>
      </c>
      <c r="S116" s="115">
        <v>2807300</v>
      </c>
    </row>
    <row r="117" spans="1:19">
      <c r="A117" s="27" t="s">
        <v>170</v>
      </c>
      <c r="B117" s="83">
        <v>42310</v>
      </c>
      <c r="C117" s="83">
        <v>31490</v>
      </c>
      <c r="D117" s="83">
        <v>20260</v>
      </c>
      <c r="E117" s="83">
        <v>117380</v>
      </c>
      <c r="F117" s="83">
        <v>591350</v>
      </c>
      <c r="G117" s="83">
        <v>97940</v>
      </c>
      <c r="H117" s="83">
        <v>99470</v>
      </c>
      <c r="I117" s="83">
        <v>125360</v>
      </c>
      <c r="J117" s="83">
        <v>295930</v>
      </c>
      <c r="K117" s="83">
        <v>232100</v>
      </c>
      <c r="L117" s="83">
        <v>129290</v>
      </c>
      <c r="M117" s="83">
        <v>116900</v>
      </c>
      <c r="N117" s="83">
        <v>222290</v>
      </c>
      <c r="O117" s="83">
        <v>303080</v>
      </c>
      <c r="P117" s="83">
        <v>313180</v>
      </c>
      <c r="Q117" s="83">
        <v>257130</v>
      </c>
      <c r="R117" s="83">
        <v>12860</v>
      </c>
      <c r="S117" s="115">
        <v>2796900</v>
      </c>
    </row>
    <row r="118" spans="1:19">
      <c r="A118" s="27" t="s">
        <v>171</v>
      </c>
      <c r="B118" s="83">
        <v>42250</v>
      </c>
      <c r="C118" s="83">
        <v>30730</v>
      </c>
      <c r="D118" s="83">
        <v>20380</v>
      </c>
      <c r="E118" s="83">
        <v>116810</v>
      </c>
      <c r="F118" s="83">
        <v>594380</v>
      </c>
      <c r="G118" s="83">
        <v>98980</v>
      </c>
      <c r="H118" s="83">
        <v>100210</v>
      </c>
      <c r="I118" s="83">
        <v>126590</v>
      </c>
      <c r="J118" s="83">
        <v>299240</v>
      </c>
      <c r="K118" s="83">
        <v>234850</v>
      </c>
      <c r="L118" s="83">
        <v>129990</v>
      </c>
      <c r="M118" s="83">
        <v>117450</v>
      </c>
      <c r="N118" s="83">
        <v>225160</v>
      </c>
      <c r="O118" s="83">
        <v>303910</v>
      </c>
      <c r="P118" s="83">
        <v>317980</v>
      </c>
      <c r="Q118" s="83">
        <v>257570</v>
      </c>
      <c r="R118" s="83">
        <v>12880</v>
      </c>
      <c r="S118" s="115">
        <v>2819200</v>
      </c>
    </row>
    <row r="119" spans="1:19">
      <c r="A119" s="80" t="s">
        <v>172</v>
      </c>
      <c r="B119" s="86">
        <v>42090</v>
      </c>
      <c r="C119" s="86">
        <v>29950</v>
      </c>
      <c r="D119" s="86">
        <v>21100</v>
      </c>
      <c r="E119" s="86">
        <v>115690</v>
      </c>
      <c r="F119" s="86">
        <v>595550</v>
      </c>
      <c r="G119" s="86">
        <v>98840</v>
      </c>
      <c r="H119" s="86">
        <v>100510</v>
      </c>
      <c r="I119" s="86">
        <v>127440</v>
      </c>
      <c r="J119" s="86">
        <v>298720</v>
      </c>
      <c r="K119" s="86">
        <v>233640</v>
      </c>
      <c r="L119" s="86">
        <v>129940</v>
      </c>
      <c r="M119" s="86">
        <v>117470</v>
      </c>
      <c r="N119" s="86">
        <v>228130</v>
      </c>
      <c r="O119" s="86">
        <v>304470</v>
      </c>
      <c r="P119" s="86">
        <v>318230</v>
      </c>
      <c r="Q119" s="86">
        <v>255520</v>
      </c>
      <c r="R119" s="86">
        <v>12870</v>
      </c>
      <c r="S119" s="116">
        <v>2821300</v>
      </c>
    </row>
    <row r="120" spans="1:19">
      <c r="A120" s="27" t="s">
        <v>173</v>
      </c>
      <c r="B120" s="83">
        <v>41390</v>
      </c>
      <c r="C120" s="83">
        <v>29780</v>
      </c>
      <c r="D120" s="83">
        <v>21510</v>
      </c>
      <c r="E120" s="83">
        <v>115100</v>
      </c>
      <c r="F120" s="83">
        <v>593180</v>
      </c>
      <c r="G120" s="83">
        <v>98370</v>
      </c>
      <c r="H120" s="83">
        <v>101040</v>
      </c>
      <c r="I120" s="83">
        <v>127790</v>
      </c>
      <c r="J120" s="83">
        <v>296230</v>
      </c>
      <c r="K120" s="83">
        <v>234180</v>
      </c>
      <c r="L120" s="83">
        <v>130310</v>
      </c>
      <c r="M120" s="83">
        <v>116410</v>
      </c>
      <c r="N120" s="83">
        <v>229110</v>
      </c>
      <c r="O120" s="83">
        <v>303480</v>
      </c>
      <c r="P120" s="83">
        <v>317620</v>
      </c>
      <c r="Q120" s="83">
        <v>253510</v>
      </c>
      <c r="R120" s="83">
        <v>13060</v>
      </c>
      <c r="S120" s="115">
        <v>2814300</v>
      </c>
    </row>
    <row r="121" spans="1:19">
      <c r="A121" s="27" t="s">
        <v>174</v>
      </c>
      <c r="B121" s="83">
        <v>41100</v>
      </c>
      <c r="C121" s="83">
        <v>29890</v>
      </c>
      <c r="D121" s="83">
        <v>21920</v>
      </c>
      <c r="E121" s="83">
        <v>114740</v>
      </c>
      <c r="F121" s="83">
        <v>593050</v>
      </c>
      <c r="G121" s="83">
        <v>97880</v>
      </c>
      <c r="H121" s="83">
        <v>101060</v>
      </c>
      <c r="I121" s="83">
        <v>128440</v>
      </c>
      <c r="J121" s="83">
        <v>292840</v>
      </c>
      <c r="K121" s="83">
        <v>233730</v>
      </c>
      <c r="L121" s="83">
        <v>130800</v>
      </c>
      <c r="M121" s="83">
        <v>116610</v>
      </c>
      <c r="N121" s="83">
        <v>229410</v>
      </c>
      <c r="O121" s="83">
        <v>301960</v>
      </c>
      <c r="P121" s="83">
        <v>316880</v>
      </c>
      <c r="Q121" s="83">
        <v>250970</v>
      </c>
      <c r="R121" s="83">
        <v>12880</v>
      </c>
      <c r="S121" s="115">
        <v>2806500</v>
      </c>
    </row>
    <row r="122" spans="1:19">
      <c r="A122" s="27" t="s">
        <v>175</v>
      </c>
      <c r="B122" s="83">
        <v>41040</v>
      </c>
      <c r="C122" s="83">
        <v>29990</v>
      </c>
      <c r="D122" s="83">
        <v>22400</v>
      </c>
      <c r="E122" s="83">
        <v>114530</v>
      </c>
      <c r="F122" s="83">
        <v>597740</v>
      </c>
      <c r="G122" s="83">
        <v>98340</v>
      </c>
      <c r="H122" s="83">
        <v>102440</v>
      </c>
      <c r="I122" s="83">
        <v>129290</v>
      </c>
      <c r="J122" s="83">
        <v>293150</v>
      </c>
      <c r="K122" s="83">
        <v>233460</v>
      </c>
      <c r="L122" s="83">
        <v>131850</v>
      </c>
      <c r="M122" s="83">
        <v>117580</v>
      </c>
      <c r="N122" s="83">
        <v>230700</v>
      </c>
      <c r="O122" s="83">
        <v>306210</v>
      </c>
      <c r="P122" s="83">
        <v>318480</v>
      </c>
      <c r="Q122" s="83">
        <v>252610</v>
      </c>
      <c r="R122" s="83">
        <v>13020</v>
      </c>
      <c r="S122" s="115">
        <v>2824900</v>
      </c>
    </row>
    <row r="123" spans="1:19">
      <c r="A123" s="80" t="s">
        <v>176</v>
      </c>
      <c r="B123" s="86">
        <v>41010</v>
      </c>
      <c r="C123" s="86">
        <v>30530</v>
      </c>
      <c r="D123" s="86">
        <v>23410</v>
      </c>
      <c r="E123" s="86">
        <v>115270</v>
      </c>
      <c r="F123" s="86">
        <v>625380</v>
      </c>
      <c r="G123" s="86">
        <v>101580</v>
      </c>
      <c r="H123" s="86">
        <v>106210</v>
      </c>
      <c r="I123" s="86">
        <v>133540</v>
      </c>
      <c r="J123" s="86">
        <v>299790</v>
      </c>
      <c r="K123" s="86">
        <v>238970</v>
      </c>
      <c r="L123" s="86">
        <v>137730</v>
      </c>
      <c r="M123" s="86">
        <v>121320</v>
      </c>
      <c r="N123" s="86">
        <v>238490</v>
      </c>
      <c r="O123" s="86">
        <v>316660</v>
      </c>
      <c r="P123" s="86">
        <v>330590</v>
      </c>
      <c r="Q123" s="86">
        <v>261130</v>
      </c>
      <c r="R123" s="86">
        <v>13380</v>
      </c>
      <c r="S123" s="116">
        <v>2924800</v>
      </c>
    </row>
    <row r="124" spans="1:19">
      <c r="A124" s="27" t="s">
        <v>177</v>
      </c>
      <c r="B124" s="83">
        <v>42970</v>
      </c>
      <c r="C124" s="83">
        <v>32810</v>
      </c>
      <c r="D124" s="83">
        <v>26210</v>
      </c>
      <c r="E124" s="83">
        <v>120310</v>
      </c>
      <c r="F124" s="83">
        <v>686460</v>
      </c>
      <c r="G124" s="83">
        <v>109940</v>
      </c>
      <c r="H124" s="83">
        <v>116530</v>
      </c>
      <c r="I124" s="83">
        <v>146300</v>
      </c>
      <c r="J124" s="83">
        <v>330580</v>
      </c>
      <c r="K124" s="83">
        <v>254670</v>
      </c>
      <c r="L124" s="83">
        <v>148760</v>
      </c>
      <c r="M124" s="83">
        <v>131380</v>
      </c>
      <c r="N124" s="83">
        <v>260690</v>
      </c>
      <c r="O124" s="83">
        <v>344040</v>
      </c>
      <c r="P124" s="83">
        <v>358770</v>
      </c>
      <c r="Q124" s="83">
        <v>283590</v>
      </c>
      <c r="R124" s="83">
        <v>14050</v>
      </c>
      <c r="S124" s="115">
        <v>3185800</v>
      </c>
    </row>
    <row r="125" spans="1:19">
      <c r="A125" s="27" t="s">
        <v>178</v>
      </c>
      <c r="B125" s="83">
        <v>41380</v>
      </c>
      <c r="C125" s="83">
        <v>30640</v>
      </c>
      <c r="D125" s="83">
        <v>25140</v>
      </c>
      <c r="E125" s="83">
        <v>116490</v>
      </c>
      <c r="F125" s="83">
        <v>647600</v>
      </c>
      <c r="G125" s="83">
        <v>102800</v>
      </c>
      <c r="H125" s="83">
        <v>108240</v>
      </c>
      <c r="I125" s="83">
        <v>137500</v>
      </c>
      <c r="J125" s="83">
        <v>307590</v>
      </c>
      <c r="K125" s="83">
        <v>239590</v>
      </c>
      <c r="L125" s="83">
        <v>141390</v>
      </c>
      <c r="M125" s="83">
        <v>125100</v>
      </c>
      <c r="N125" s="83">
        <v>247870</v>
      </c>
      <c r="O125" s="83">
        <v>325120</v>
      </c>
      <c r="P125" s="83">
        <v>337940</v>
      </c>
      <c r="Q125" s="83">
        <v>264170</v>
      </c>
      <c r="R125" s="83">
        <v>13840</v>
      </c>
      <c r="S125" s="115">
        <v>2998700</v>
      </c>
    </row>
    <row r="126" spans="1:19">
      <c r="A126" s="117"/>
      <c r="B126" s="83"/>
      <c r="C126" s="83"/>
      <c r="D126" s="83"/>
      <c r="E126" s="83"/>
      <c r="F126" s="83"/>
      <c r="G126" s="83"/>
      <c r="H126" s="83"/>
      <c r="I126" s="83"/>
      <c r="J126" s="83"/>
      <c r="K126" s="83"/>
      <c r="L126" s="83"/>
      <c r="M126" s="83"/>
      <c r="N126" s="83"/>
      <c r="O126" s="83"/>
      <c r="P126" s="83"/>
      <c r="Q126" s="83"/>
      <c r="R126" s="115"/>
      <c r="S126" s="115"/>
    </row>
    <row r="127" spans="1:19">
      <c r="A127" s="118"/>
      <c r="B127" s="119"/>
      <c r="C127" s="119"/>
      <c r="D127" s="119"/>
      <c r="E127" s="119"/>
      <c r="F127" s="119"/>
      <c r="G127" s="119"/>
      <c r="H127" s="119"/>
      <c r="I127" s="119"/>
      <c r="J127" s="119"/>
      <c r="K127" s="119"/>
      <c r="L127" s="119"/>
      <c r="M127" s="119"/>
      <c r="N127" s="119"/>
      <c r="O127" s="119"/>
      <c r="P127" s="119"/>
      <c r="Q127" s="119"/>
      <c r="R127" s="120"/>
      <c r="S127" s="120"/>
    </row>
    <row r="128" spans="1:19">
      <c r="A128" s="117"/>
      <c r="B128" s="83"/>
      <c r="C128" s="83"/>
      <c r="D128" s="83"/>
      <c r="E128" s="83"/>
      <c r="F128" s="83"/>
      <c r="G128" s="83"/>
      <c r="H128" s="83"/>
      <c r="I128" s="83"/>
      <c r="J128" s="83"/>
      <c r="K128" s="83"/>
      <c r="L128" s="83"/>
      <c r="M128" s="83"/>
      <c r="N128" s="83"/>
      <c r="O128" s="83"/>
      <c r="P128" s="83"/>
      <c r="Q128" s="83"/>
      <c r="R128" s="115"/>
      <c r="S128" s="115"/>
    </row>
    <row r="129" spans="1:19">
      <c r="A129" s="117"/>
      <c r="B129" s="83"/>
      <c r="C129" s="83"/>
      <c r="D129" s="83"/>
      <c r="E129" s="83"/>
      <c r="F129" s="83"/>
      <c r="G129" s="83"/>
      <c r="H129" s="83"/>
      <c r="I129" s="83"/>
      <c r="J129" s="83"/>
      <c r="K129" s="83"/>
      <c r="L129" s="83"/>
      <c r="M129" s="83"/>
      <c r="N129" s="83"/>
      <c r="O129" s="83"/>
      <c r="P129" s="83"/>
      <c r="Q129" s="83"/>
      <c r="R129" s="115"/>
      <c r="S129" s="115"/>
    </row>
    <row r="130" spans="1:19">
      <c r="A130" s="117"/>
      <c r="B130" s="83"/>
      <c r="C130" s="83"/>
      <c r="D130" s="83"/>
      <c r="E130" s="83"/>
      <c r="F130" s="83"/>
      <c r="G130" s="83"/>
      <c r="H130" s="83"/>
      <c r="I130" s="83"/>
      <c r="J130" s="83"/>
      <c r="K130" s="83"/>
      <c r="L130" s="83"/>
      <c r="M130" s="83"/>
      <c r="N130" s="83"/>
      <c r="O130" s="83"/>
      <c r="P130" s="83"/>
      <c r="Q130" s="83"/>
      <c r="R130" s="115"/>
      <c r="S130" s="115"/>
    </row>
    <row r="131" spans="1:19">
      <c r="A131" s="117"/>
      <c r="B131" s="83"/>
      <c r="C131" s="83"/>
      <c r="D131" s="83"/>
      <c r="E131" s="83"/>
      <c r="F131" s="83"/>
      <c r="G131" s="83"/>
      <c r="H131" s="83"/>
      <c r="I131" s="83"/>
      <c r="J131" s="83"/>
      <c r="K131" s="83"/>
      <c r="L131" s="83"/>
      <c r="M131" s="83"/>
      <c r="N131" s="83"/>
      <c r="O131" s="83"/>
      <c r="P131" s="83"/>
      <c r="Q131" s="83"/>
      <c r="R131" s="115"/>
      <c r="S131" s="115"/>
    </row>
    <row r="132" spans="1:19">
      <c r="A132" s="117"/>
      <c r="B132" s="83"/>
      <c r="C132" s="83"/>
      <c r="D132" s="83"/>
      <c r="E132" s="83"/>
      <c r="F132" s="83"/>
      <c r="G132" s="83"/>
      <c r="H132" s="83"/>
      <c r="I132" s="83"/>
      <c r="J132" s="83"/>
      <c r="K132" s="83"/>
      <c r="L132" s="83"/>
      <c r="M132" s="83"/>
      <c r="N132" s="83"/>
      <c r="O132" s="83"/>
      <c r="P132" s="83"/>
      <c r="Q132" s="83"/>
      <c r="R132" s="115"/>
      <c r="S132" s="115"/>
    </row>
    <row r="133" spans="1:19">
      <c r="A133" s="117"/>
      <c r="B133" s="83"/>
      <c r="C133" s="83"/>
      <c r="D133" s="83"/>
      <c r="E133" s="83"/>
      <c r="F133" s="83"/>
      <c r="G133" s="83"/>
      <c r="H133" s="83"/>
      <c r="I133" s="83"/>
      <c r="J133" s="83"/>
      <c r="K133" s="83"/>
      <c r="L133" s="83"/>
      <c r="M133" s="83"/>
      <c r="N133" s="83"/>
      <c r="O133" s="83"/>
      <c r="P133" s="83"/>
      <c r="Q133" s="83"/>
      <c r="R133" s="115"/>
      <c r="S133" s="115"/>
    </row>
    <row r="134" spans="1:19">
      <c r="A134" s="117"/>
      <c r="B134" s="83"/>
      <c r="C134" s="83"/>
      <c r="D134" s="83"/>
      <c r="E134" s="83"/>
      <c r="F134" s="83"/>
      <c r="G134" s="83"/>
      <c r="H134" s="83"/>
      <c r="I134" s="83"/>
      <c r="J134" s="83"/>
      <c r="K134" s="83"/>
      <c r="L134" s="83"/>
      <c r="M134" s="83"/>
      <c r="N134" s="83"/>
      <c r="O134" s="83"/>
      <c r="P134" s="83"/>
      <c r="Q134" s="83"/>
      <c r="R134" s="115"/>
      <c r="S134" s="115"/>
    </row>
    <row r="135" spans="1:19">
      <c r="A135" s="117"/>
      <c r="B135" s="83"/>
      <c r="C135" s="83"/>
      <c r="D135" s="83"/>
      <c r="E135" s="83"/>
      <c r="F135" s="83"/>
      <c r="G135" s="83"/>
      <c r="H135" s="83"/>
      <c r="I135" s="83"/>
      <c r="J135" s="83"/>
      <c r="K135" s="83"/>
      <c r="L135" s="83"/>
      <c r="M135" s="83"/>
      <c r="N135" s="83"/>
      <c r="O135" s="83"/>
      <c r="P135" s="83"/>
      <c r="Q135" s="83"/>
      <c r="R135" s="115"/>
      <c r="S135" s="115"/>
    </row>
    <row r="136" spans="1:19">
      <c r="A136" s="117"/>
      <c r="B136" s="83"/>
      <c r="C136" s="83"/>
      <c r="D136" s="83"/>
      <c r="E136" s="83"/>
      <c r="F136" s="83"/>
      <c r="G136" s="83"/>
      <c r="H136" s="83"/>
      <c r="I136" s="83"/>
      <c r="J136" s="83"/>
      <c r="K136" s="83"/>
      <c r="L136" s="83"/>
      <c r="M136" s="83"/>
      <c r="N136" s="83"/>
      <c r="O136" s="83"/>
      <c r="P136" s="83"/>
      <c r="Q136" s="83"/>
      <c r="R136" s="115"/>
      <c r="S136" s="115"/>
    </row>
    <row r="137" spans="1:19">
      <c r="A137" s="117"/>
      <c r="B137" s="83"/>
      <c r="C137" s="83"/>
      <c r="D137" s="83"/>
      <c r="E137" s="83"/>
      <c r="F137" s="83"/>
      <c r="G137" s="83"/>
      <c r="H137" s="83"/>
      <c r="I137" s="83"/>
      <c r="J137" s="83"/>
      <c r="K137" s="83"/>
      <c r="L137" s="83"/>
      <c r="M137" s="83"/>
      <c r="N137" s="83"/>
      <c r="O137" s="83"/>
      <c r="P137" s="83"/>
      <c r="Q137" s="83"/>
      <c r="R137" s="115"/>
      <c r="S137" s="115"/>
    </row>
    <row r="138" spans="1:19">
      <c r="A138" s="117"/>
      <c r="B138" s="83"/>
      <c r="C138" s="83"/>
      <c r="D138" s="83"/>
      <c r="E138" s="83"/>
      <c r="F138" s="83"/>
      <c r="G138" s="83"/>
      <c r="H138" s="83"/>
      <c r="I138" s="83"/>
      <c r="J138" s="83"/>
      <c r="K138" s="83"/>
      <c r="L138" s="83"/>
      <c r="M138" s="83"/>
      <c r="N138" s="83"/>
      <c r="O138" s="83"/>
      <c r="P138" s="83"/>
      <c r="Q138" s="83"/>
      <c r="R138" s="115"/>
      <c r="S138" s="115"/>
    </row>
    <row r="139" spans="1:19">
      <c r="A139" s="118"/>
      <c r="B139" s="119"/>
      <c r="C139" s="119"/>
      <c r="D139" s="119"/>
      <c r="E139" s="119"/>
      <c r="F139" s="119"/>
      <c r="G139" s="119"/>
      <c r="H139" s="119"/>
      <c r="I139" s="119"/>
      <c r="J139" s="119"/>
      <c r="K139" s="119"/>
      <c r="L139" s="119"/>
      <c r="M139" s="119"/>
      <c r="N139" s="119"/>
      <c r="O139" s="119"/>
      <c r="P139" s="119"/>
      <c r="Q139" s="119"/>
      <c r="R139" s="120"/>
      <c r="S139" s="120"/>
    </row>
    <row r="140" spans="1:19">
      <c r="A140" s="117"/>
      <c r="B140" s="83"/>
      <c r="C140" s="83"/>
      <c r="D140" s="83"/>
      <c r="E140" s="83"/>
      <c r="F140" s="83"/>
      <c r="G140" s="83"/>
      <c r="H140" s="83"/>
      <c r="I140" s="83"/>
      <c r="J140" s="83"/>
      <c r="K140" s="83"/>
      <c r="L140" s="83"/>
      <c r="M140" s="83"/>
      <c r="N140" s="83"/>
      <c r="O140" s="83"/>
      <c r="P140" s="83"/>
      <c r="Q140" s="83"/>
      <c r="R140" s="115"/>
      <c r="S140" s="115"/>
    </row>
    <row r="141" spans="1:19">
      <c r="A141" s="117"/>
      <c r="B141" s="83"/>
      <c r="C141" s="83"/>
      <c r="D141" s="83"/>
      <c r="E141" s="83"/>
      <c r="F141" s="83"/>
      <c r="G141" s="83"/>
      <c r="H141" s="83"/>
      <c r="I141" s="83"/>
      <c r="J141" s="83"/>
      <c r="K141" s="83"/>
      <c r="L141" s="83"/>
      <c r="M141" s="83"/>
      <c r="N141" s="83"/>
      <c r="O141" s="83"/>
      <c r="P141" s="83"/>
      <c r="Q141" s="83"/>
      <c r="R141" s="115"/>
      <c r="S141" s="115"/>
    </row>
    <row r="142" spans="1:19">
      <c r="A142" s="117"/>
      <c r="B142" s="83"/>
      <c r="C142" s="83"/>
      <c r="D142" s="83"/>
      <c r="E142" s="83"/>
      <c r="F142" s="83"/>
      <c r="G142" s="83"/>
      <c r="H142" s="83"/>
      <c r="I142" s="83"/>
      <c r="J142" s="83"/>
      <c r="K142" s="83"/>
      <c r="L142" s="83"/>
      <c r="M142" s="83"/>
      <c r="N142" s="83"/>
      <c r="O142" s="83"/>
      <c r="P142" s="83"/>
      <c r="Q142" s="83"/>
      <c r="R142" s="115"/>
      <c r="S142" s="115"/>
    </row>
    <row r="143" spans="1:19">
      <c r="A143" s="117"/>
      <c r="B143" s="83"/>
      <c r="C143" s="83"/>
      <c r="D143" s="83"/>
      <c r="E143" s="83"/>
      <c r="F143" s="83"/>
      <c r="G143" s="83"/>
      <c r="H143" s="83"/>
      <c r="I143" s="83"/>
      <c r="J143" s="83"/>
      <c r="K143" s="83"/>
      <c r="L143" s="83"/>
      <c r="M143" s="83"/>
      <c r="N143" s="83"/>
      <c r="O143" s="83"/>
      <c r="P143" s="83"/>
      <c r="Q143" s="83"/>
      <c r="R143" s="115"/>
      <c r="S143" s="115"/>
    </row>
    <row r="144" spans="1:19">
      <c r="A144" s="117"/>
      <c r="B144" s="83"/>
      <c r="C144" s="83"/>
      <c r="D144" s="83"/>
      <c r="E144" s="83"/>
      <c r="F144" s="83"/>
      <c r="G144" s="83"/>
      <c r="H144" s="83"/>
      <c r="I144" s="83"/>
      <c r="J144" s="83"/>
      <c r="K144" s="83"/>
      <c r="L144" s="83"/>
      <c r="M144" s="83"/>
      <c r="N144" s="83"/>
      <c r="O144" s="83"/>
      <c r="P144" s="83"/>
      <c r="Q144" s="83"/>
      <c r="R144" s="115"/>
      <c r="S144" s="115"/>
    </row>
    <row r="145" spans="1:19">
      <c r="A145" s="117"/>
      <c r="B145" s="83"/>
      <c r="C145" s="83"/>
      <c r="D145" s="83"/>
      <c r="E145" s="83"/>
      <c r="F145" s="83"/>
      <c r="G145" s="83"/>
      <c r="H145" s="83"/>
      <c r="I145" s="83"/>
      <c r="J145" s="83"/>
      <c r="K145" s="83"/>
      <c r="L145" s="83"/>
      <c r="M145" s="83"/>
      <c r="N145" s="83"/>
      <c r="O145" s="83"/>
      <c r="P145" s="83"/>
      <c r="Q145" s="83"/>
      <c r="R145" s="115"/>
      <c r="S145" s="115"/>
    </row>
    <row r="146" spans="1:19">
      <c r="A146" s="117"/>
      <c r="B146" s="83"/>
      <c r="C146" s="83"/>
      <c r="D146" s="83"/>
      <c r="E146" s="83"/>
      <c r="F146" s="83"/>
      <c r="G146" s="83"/>
      <c r="H146" s="83"/>
      <c r="I146" s="83"/>
      <c r="J146" s="83"/>
      <c r="K146" s="83"/>
      <c r="L146" s="83"/>
      <c r="M146" s="83"/>
      <c r="N146" s="83"/>
      <c r="O146" s="83"/>
      <c r="P146" s="83"/>
      <c r="Q146" s="83"/>
      <c r="R146" s="115"/>
      <c r="S146" s="115"/>
    </row>
    <row r="147" spans="1:19">
      <c r="A147" s="117"/>
      <c r="B147" s="83"/>
      <c r="C147" s="83"/>
      <c r="D147" s="83"/>
      <c r="E147" s="83"/>
      <c r="F147" s="83"/>
      <c r="G147" s="83"/>
      <c r="H147" s="83"/>
      <c r="I147" s="83"/>
      <c r="J147" s="83"/>
      <c r="K147" s="83"/>
      <c r="L147" s="83"/>
      <c r="M147" s="83"/>
      <c r="N147" s="83"/>
      <c r="O147" s="83"/>
      <c r="P147" s="83"/>
      <c r="Q147" s="83"/>
      <c r="R147" s="115"/>
      <c r="S147" s="115"/>
    </row>
    <row r="148" spans="1:19">
      <c r="A148" s="117"/>
      <c r="B148" s="83"/>
      <c r="C148" s="83"/>
      <c r="D148" s="83"/>
      <c r="E148" s="83"/>
      <c r="F148" s="83"/>
      <c r="G148" s="83"/>
      <c r="H148" s="83"/>
      <c r="I148" s="83"/>
      <c r="J148" s="83"/>
      <c r="K148" s="83"/>
      <c r="L148" s="83"/>
      <c r="M148" s="83"/>
      <c r="N148" s="83"/>
      <c r="O148" s="83"/>
      <c r="P148" s="83"/>
      <c r="Q148" s="83"/>
      <c r="R148" s="115"/>
      <c r="S148" s="115"/>
    </row>
    <row r="149" spans="1:19">
      <c r="A149" s="117"/>
      <c r="B149" s="83"/>
      <c r="C149" s="83"/>
      <c r="D149" s="83"/>
      <c r="E149" s="83"/>
      <c r="F149" s="83"/>
      <c r="G149" s="83"/>
      <c r="H149" s="83"/>
      <c r="I149" s="83"/>
      <c r="J149" s="83"/>
      <c r="K149" s="83"/>
      <c r="L149" s="83"/>
      <c r="M149" s="83"/>
      <c r="N149" s="83"/>
      <c r="O149" s="83"/>
      <c r="P149" s="83"/>
      <c r="Q149" s="83"/>
      <c r="R149" s="115"/>
      <c r="S149" s="115"/>
    </row>
    <row r="150" spans="1:19">
      <c r="A150" s="117"/>
      <c r="B150" s="83"/>
      <c r="C150" s="83"/>
      <c r="D150" s="83"/>
      <c r="E150" s="83"/>
      <c r="F150" s="83"/>
      <c r="G150" s="83"/>
      <c r="H150" s="83"/>
      <c r="I150" s="83"/>
      <c r="J150" s="83"/>
      <c r="K150" s="83"/>
      <c r="L150" s="83"/>
      <c r="M150" s="83"/>
      <c r="N150" s="83"/>
      <c r="O150" s="83"/>
      <c r="P150" s="83"/>
      <c r="Q150" s="83"/>
      <c r="R150" s="115"/>
      <c r="S150" s="115"/>
    </row>
    <row r="151" spans="1:19">
      <c r="A151" s="118"/>
      <c r="B151" s="119"/>
      <c r="C151" s="119"/>
      <c r="D151" s="119"/>
      <c r="E151" s="119"/>
      <c r="F151" s="119"/>
      <c r="G151" s="119"/>
      <c r="H151" s="119"/>
      <c r="I151" s="119"/>
      <c r="J151" s="119"/>
      <c r="K151" s="119"/>
      <c r="L151" s="119"/>
      <c r="M151" s="119"/>
      <c r="N151" s="119"/>
      <c r="O151" s="119"/>
      <c r="P151" s="119"/>
      <c r="Q151" s="119"/>
      <c r="R151" s="120"/>
      <c r="S151" s="120"/>
    </row>
    <row r="152" spans="1:19">
      <c r="A152" s="117"/>
      <c r="B152" s="83"/>
      <c r="C152" s="83"/>
      <c r="D152" s="83"/>
      <c r="E152" s="83"/>
      <c r="F152" s="83"/>
      <c r="G152" s="83"/>
      <c r="H152" s="83"/>
      <c r="I152" s="83"/>
      <c r="J152" s="83"/>
      <c r="K152" s="83"/>
      <c r="L152" s="83"/>
      <c r="M152" s="83"/>
      <c r="N152" s="83"/>
      <c r="O152" s="83"/>
      <c r="P152" s="83"/>
      <c r="Q152" s="83"/>
      <c r="R152" s="115"/>
      <c r="S152" s="115"/>
    </row>
    <row r="153" spans="1:19">
      <c r="A153" s="117"/>
      <c r="B153" s="83"/>
      <c r="C153" s="83"/>
      <c r="D153" s="83"/>
      <c r="E153" s="83"/>
      <c r="F153" s="83"/>
      <c r="G153" s="83"/>
      <c r="H153" s="83"/>
      <c r="I153" s="83"/>
      <c r="J153" s="83"/>
      <c r="K153" s="83"/>
      <c r="L153" s="83"/>
      <c r="M153" s="83"/>
      <c r="N153" s="83"/>
      <c r="O153" s="83"/>
      <c r="P153" s="83"/>
      <c r="Q153" s="83"/>
      <c r="R153" s="115"/>
      <c r="S153" s="115"/>
    </row>
    <row r="154" spans="1:19">
      <c r="A154" s="117"/>
      <c r="B154" s="83"/>
      <c r="C154" s="83"/>
      <c r="D154" s="83"/>
      <c r="E154" s="83"/>
      <c r="F154" s="83"/>
      <c r="G154" s="83"/>
      <c r="H154" s="83"/>
      <c r="I154" s="83"/>
      <c r="J154" s="83"/>
      <c r="K154" s="83"/>
      <c r="L154" s="83"/>
      <c r="M154" s="83"/>
      <c r="N154" s="83"/>
      <c r="O154" s="83"/>
      <c r="P154" s="83"/>
      <c r="Q154" s="83"/>
      <c r="R154" s="115"/>
      <c r="S154" s="115"/>
    </row>
    <row r="155" spans="1:19">
      <c r="A155" s="117"/>
      <c r="B155" s="83"/>
      <c r="C155" s="83"/>
      <c r="D155" s="83"/>
      <c r="E155" s="83"/>
      <c r="F155" s="83"/>
      <c r="G155" s="83"/>
      <c r="H155" s="83"/>
      <c r="I155" s="83"/>
      <c r="J155" s="83"/>
      <c r="K155" s="83"/>
      <c r="L155" s="83"/>
      <c r="M155" s="83"/>
      <c r="N155" s="83"/>
      <c r="O155" s="83"/>
      <c r="P155" s="83"/>
      <c r="Q155" s="83"/>
      <c r="R155" s="115"/>
      <c r="S155" s="115"/>
    </row>
    <row r="156" spans="1:19">
      <c r="A156" s="117"/>
      <c r="B156" s="83"/>
      <c r="C156" s="83"/>
      <c r="D156" s="83"/>
      <c r="E156" s="83"/>
      <c r="F156" s="83"/>
      <c r="G156" s="83"/>
      <c r="H156" s="83"/>
      <c r="I156" s="83"/>
      <c r="J156" s="83"/>
      <c r="K156" s="83"/>
      <c r="L156" s="83"/>
      <c r="M156" s="83"/>
      <c r="N156" s="83"/>
      <c r="O156" s="83"/>
      <c r="P156" s="83"/>
      <c r="Q156" s="83"/>
      <c r="R156" s="115"/>
      <c r="S156" s="115"/>
    </row>
    <row r="157" spans="1:19">
      <c r="A157" s="117"/>
      <c r="B157" s="83"/>
      <c r="C157" s="83"/>
      <c r="D157" s="83"/>
      <c r="E157" s="83"/>
      <c r="F157" s="83"/>
      <c r="G157" s="83"/>
      <c r="H157" s="83"/>
      <c r="I157" s="83"/>
      <c r="J157" s="83"/>
      <c r="K157" s="83"/>
      <c r="L157" s="83"/>
      <c r="M157" s="83"/>
      <c r="N157" s="83"/>
      <c r="O157" s="83"/>
      <c r="P157" s="83"/>
      <c r="Q157" s="83"/>
      <c r="R157" s="115"/>
      <c r="S157" s="115"/>
    </row>
    <row r="158" spans="1:19">
      <c r="A158" s="117"/>
      <c r="B158" s="83"/>
      <c r="C158" s="83"/>
      <c r="D158" s="83"/>
      <c r="E158" s="83"/>
      <c r="F158" s="83"/>
      <c r="G158" s="83"/>
      <c r="H158" s="83"/>
      <c r="I158" s="83"/>
      <c r="J158" s="83"/>
      <c r="K158" s="83"/>
      <c r="L158" s="83"/>
      <c r="M158" s="83"/>
      <c r="N158" s="83"/>
      <c r="O158" s="83"/>
      <c r="P158" s="83"/>
      <c r="Q158" s="83"/>
      <c r="R158" s="115"/>
      <c r="S158" s="115"/>
    </row>
    <row r="159" spans="1:19">
      <c r="A159" s="117"/>
      <c r="B159" s="83"/>
      <c r="C159" s="83"/>
      <c r="D159" s="83"/>
      <c r="E159" s="83"/>
      <c r="F159" s="83"/>
      <c r="G159" s="83"/>
      <c r="H159" s="83"/>
      <c r="I159" s="83"/>
      <c r="J159" s="83"/>
      <c r="K159" s="83"/>
      <c r="L159" s="83"/>
      <c r="M159" s="83"/>
      <c r="N159" s="83"/>
      <c r="O159" s="83"/>
      <c r="P159" s="83"/>
      <c r="Q159" s="83"/>
      <c r="R159" s="115"/>
      <c r="S159" s="115"/>
    </row>
    <row r="160" spans="1:19">
      <c r="A160" s="117"/>
      <c r="B160" s="83"/>
      <c r="C160" s="83"/>
      <c r="D160" s="83"/>
      <c r="E160" s="83"/>
      <c r="F160" s="83"/>
      <c r="G160" s="83"/>
      <c r="H160" s="83"/>
      <c r="I160" s="83"/>
      <c r="J160" s="83"/>
      <c r="K160" s="83"/>
      <c r="L160" s="83"/>
      <c r="M160" s="83"/>
      <c r="N160" s="83"/>
      <c r="O160" s="83"/>
      <c r="P160" s="83"/>
      <c r="Q160" s="83"/>
      <c r="R160" s="115"/>
      <c r="S160" s="115"/>
    </row>
    <row r="161" spans="1:19">
      <c r="A161" s="117"/>
      <c r="B161" s="83"/>
      <c r="C161" s="83"/>
      <c r="D161" s="83"/>
      <c r="E161" s="83"/>
      <c r="F161" s="83"/>
      <c r="G161" s="83"/>
      <c r="H161" s="83"/>
      <c r="I161" s="83"/>
      <c r="J161" s="83"/>
      <c r="K161" s="83"/>
      <c r="L161" s="83"/>
      <c r="M161" s="83"/>
      <c r="N161" s="83"/>
      <c r="O161" s="83"/>
      <c r="P161" s="83"/>
      <c r="Q161" s="83"/>
      <c r="R161" s="115"/>
      <c r="S161" s="115"/>
    </row>
    <row r="162" spans="1:19">
      <c r="A162" s="117"/>
      <c r="B162" s="83"/>
      <c r="C162" s="83"/>
      <c r="D162" s="83"/>
      <c r="E162" s="83"/>
      <c r="F162" s="83"/>
      <c r="G162" s="83"/>
      <c r="H162" s="83"/>
      <c r="I162" s="83"/>
      <c r="J162" s="83"/>
      <c r="K162" s="83"/>
      <c r="L162" s="83"/>
      <c r="M162" s="83"/>
      <c r="N162" s="83"/>
      <c r="O162" s="83"/>
      <c r="P162" s="83"/>
      <c r="Q162" s="83"/>
      <c r="R162" s="115"/>
      <c r="S162" s="115"/>
    </row>
    <row r="163" spans="1:19">
      <c r="A163" s="118"/>
      <c r="B163" s="119"/>
      <c r="C163" s="119"/>
      <c r="D163" s="119"/>
      <c r="E163" s="119"/>
      <c r="F163" s="119"/>
      <c r="G163" s="119"/>
      <c r="H163" s="119"/>
      <c r="I163" s="119"/>
      <c r="J163" s="119"/>
      <c r="K163" s="119"/>
      <c r="L163" s="119"/>
      <c r="M163" s="119"/>
      <c r="N163" s="119"/>
      <c r="O163" s="119"/>
      <c r="P163" s="119"/>
      <c r="Q163" s="119"/>
      <c r="R163" s="120"/>
      <c r="S163" s="120"/>
    </row>
    <row r="164" spans="1:19">
      <c r="A164" s="117"/>
      <c r="B164" s="83"/>
      <c r="C164" s="83"/>
      <c r="D164" s="83"/>
      <c r="E164" s="83"/>
      <c r="F164" s="83"/>
      <c r="G164" s="83"/>
      <c r="H164" s="83"/>
      <c r="I164" s="83"/>
      <c r="J164" s="83"/>
      <c r="K164" s="83"/>
      <c r="L164" s="83"/>
      <c r="M164" s="83"/>
      <c r="N164" s="83"/>
      <c r="O164" s="83"/>
      <c r="P164" s="83"/>
      <c r="Q164" s="83"/>
      <c r="R164" s="115"/>
      <c r="S164" s="115"/>
    </row>
    <row r="165" spans="1:19">
      <c r="A165" s="117"/>
      <c r="B165" s="83"/>
      <c r="C165" s="83"/>
      <c r="D165" s="83"/>
      <c r="E165" s="83"/>
      <c r="F165" s="83"/>
      <c r="G165" s="83"/>
      <c r="H165" s="83"/>
      <c r="I165" s="83"/>
      <c r="J165" s="83"/>
      <c r="K165" s="83"/>
      <c r="L165" s="83"/>
      <c r="M165" s="83"/>
      <c r="N165" s="83"/>
      <c r="O165" s="83"/>
      <c r="P165" s="83"/>
      <c r="Q165" s="83"/>
      <c r="R165" s="115"/>
      <c r="S165" s="115"/>
    </row>
    <row r="166" spans="1:19">
      <c r="A166" s="117"/>
      <c r="B166" s="83"/>
      <c r="C166" s="83"/>
      <c r="D166" s="83"/>
      <c r="E166" s="83"/>
      <c r="F166" s="83"/>
      <c r="G166" s="83"/>
      <c r="H166" s="83"/>
      <c r="I166" s="83"/>
      <c r="J166" s="83"/>
      <c r="K166" s="83"/>
      <c r="L166" s="83"/>
      <c r="M166" s="83"/>
      <c r="N166" s="83"/>
      <c r="O166" s="83"/>
      <c r="P166" s="83"/>
      <c r="Q166" s="83"/>
      <c r="R166" s="115"/>
      <c r="S166" s="115"/>
    </row>
    <row r="167" spans="1:19">
      <c r="A167" s="117"/>
      <c r="B167" s="83"/>
      <c r="C167" s="83"/>
      <c r="D167" s="83"/>
      <c r="E167" s="83"/>
      <c r="F167" s="83"/>
      <c r="G167" s="83"/>
      <c r="H167" s="83"/>
      <c r="I167" s="83"/>
      <c r="J167" s="83"/>
      <c r="K167" s="83"/>
      <c r="L167" s="83"/>
      <c r="M167" s="83"/>
      <c r="N167" s="83"/>
      <c r="O167" s="83"/>
      <c r="P167" s="83"/>
      <c r="Q167" s="83"/>
      <c r="R167" s="115"/>
      <c r="S167" s="115"/>
    </row>
    <row r="168" spans="1:19">
      <c r="A168" s="117"/>
      <c r="B168" s="83"/>
      <c r="C168" s="83"/>
      <c r="D168" s="83"/>
      <c r="E168" s="83"/>
      <c r="F168" s="83"/>
      <c r="G168" s="83"/>
      <c r="H168" s="83"/>
      <c r="I168" s="83"/>
      <c r="J168" s="83"/>
      <c r="K168" s="83"/>
      <c r="L168" s="83"/>
      <c r="M168" s="83"/>
      <c r="N168" s="83"/>
      <c r="O168" s="83"/>
      <c r="P168" s="83"/>
      <c r="Q168" s="83"/>
      <c r="R168" s="115"/>
      <c r="S168" s="115"/>
    </row>
    <row r="169" spans="1:19">
      <c r="A169" s="117"/>
      <c r="B169" s="83"/>
      <c r="C169" s="83"/>
      <c r="D169" s="83"/>
      <c r="E169" s="83"/>
      <c r="F169" s="83"/>
      <c r="G169" s="83"/>
      <c r="H169" s="83"/>
      <c r="I169" s="83"/>
      <c r="J169" s="83"/>
      <c r="K169" s="83"/>
      <c r="L169" s="83"/>
      <c r="M169" s="83"/>
      <c r="N169" s="83"/>
      <c r="O169" s="83"/>
      <c r="P169" s="83"/>
      <c r="Q169" s="83"/>
      <c r="R169" s="115"/>
      <c r="S169" s="115"/>
    </row>
    <row r="170" spans="1:19">
      <c r="A170" s="117"/>
      <c r="B170" s="83"/>
      <c r="C170" s="83"/>
      <c r="D170" s="83"/>
      <c r="E170" s="83"/>
      <c r="F170" s="83"/>
      <c r="G170" s="83"/>
      <c r="H170" s="83"/>
      <c r="I170" s="83"/>
      <c r="J170" s="83"/>
      <c r="K170" s="83"/>
      <c r="L170" s="83"/>
      <c r="M170" s="83"/>
      <c r="N170" s="83"/>
      <c r="O170" s="83"/>
      <c r="P170" s="83"/>
      <c r="Q170" s="83"/>
      <c r="R170" s="115"/>
      <c r="S170" s="115"/>
    </row>
    <row r="171" spans="1:19">
      <c r="A171" s="117"/>
      <c r="B171" s="83"/>
      <c r="C171" s="83"/>
      <c r="D171" s="83"/>
      <c r="E171" s="83"/>
      <c r="F171" s="83"/>
      <c r="G171" s="83"/>
      <c r="H171" s="83"/>
      <c r="I171" s="83"/>
      <c r="J171" s="83"/>
      <c r="K171" s="83"/>
      <c r="L171" s="83"/>
      <c r="M171" s="83"/>
      <c r="N171" s="83"/>
      <c r="O171" s="83"/>
      <c r="P171" s="83"/>
      <c r="Q171" s="83"/>
      <c r="R171" s="115"/>
      <c r="S171" s="115"/>
    </row>
    <row r="172" spans="1:19">
      <c r="A172" s="117"/>
      <c r="B172" s="83"/>
      <c r="C172" s="83"/>
      <c r="D172" s="83"/>
      <c r="E172" s="83"/>
      <c r="F172" s="83"/>
      <c r="G172" s="83"/>
      <c r="H172" s="83"/>
      <c r="I172" s="83"/>
      <c r="J172" s="83"/>
      <c r="K172" s="83"/>
      <c r="L172" s="83"/>
      <c r="M172" s="83"/>
      <c r="N172" s="83"/>
      <c r="O172" s="83"/>
      <c r="P172" s="83"/>
      <c r="Q172" s="83"/>
      <c r="R172" s="115"/>
      <c r="S172" s="115"/>
    </row>
    <row r="173" spans="1:19">
      <c r="A173" s="117"/>
      <c r="B173" s="83"/>
      <c r="C173" s="83"/>
      <c r="D173" s="83"/>
      <c r="E173" s="83"/>
      <c r="F173" s="83"/>
      <c r="G173" s="83"/>
      <c r="H173" s="83"/>
      <c r="I173" s="83"/>
      <c r="J173" s="83"/>
      <c r="K173" s="83"/>
      <c r="L173" s="83"/>
      <c r="M173" s="83"/>
      <c r="N173" s="83"/>
      <c r="O173" s="83"/>
      <c r="P173" s="83"/>
      <c r="Q173" s="83"/>
      <c r="R173" s="115"/>
      <c r="S173" s="115"/>
    </row>
    <row r="174" spans="1:19">
      <c r="A174" s="117"/>
      <c r="B174" s="83"/>
      <c r="C174" s="83"/>
      <c r="D174" s="83"/>
      <c r="E174" s="83"/>
      <c r="F174" s="83"/>
      <c r="G174" s="83"/>
      <c r="H174" s="83"/>
      <c r="I174" s="83"/>
      <c r="J174" s="83"/>
      <c r="K174" s="83"/>
      <c r="L174" s="83"/>
      <c r="M174" s="83"/>
      <c r="N174" s="83"/>
      <c r="O174" s="83"/>
      <c r="P174" s="83"/>
      <c r="Q174" s="83"/>
      <c r="R174" s="115"/>
      <c r="S174" s="115"/>
    </row>
    <row r="175" spans="1:19">
      <c r="A175" s="118"/>
      <c r="B175" s="119"/>
      <c r="C175" s="119"/>
      <c r="D175" s="119"/>
      <c r="E175" s="119"/>
      <c r="F175" s="119"/>
      <c r="G175" s="119"/>
      <c r="H175" s="119"/>
      <c r="I175" s="119"/>
      <c r="J175" s="119"/>
      <c r="K175" s="119"/>
      <c r="L175" s="119"/>
      <c r="M175" s="119"/>
      <c r="N175" s="119"/>
      <c r="O175" s="119"/>
      <c r="P175" s="119"/>
      <c r="Q175" s="119"/>
      <c r="R175" s="120"/>
      <c r="S175" s="120"/>
    </row>
    <row r="176" spans="1:19">
      <c r="A176" s="117"/>
      <c r="B176" s="83"/>
      <c r="C176" s="83"/>
      <c r="D176" s="83"/>
      <c r="E176" s="83"/>
      <c r="F176" s="83"/>
      <c r="G176" s="83"/>
      <c r="H176" s="83"/>
      <c r="I176" s="83"/>
      <c r="J176" s="83"/>
      <c r="K176" s="83"/>
      <c r="L176" s="83"/>
      <c r="M176" s="83"/>
      <c r="N176" s="83"/>
      <c r="O176" s="83"/>
      <c r="P176" s="83"/>
      <c r="Q176" s="83"/>
      <c r="R176" s="115"/>
      <c r="S176" s="115"/>
    </row>
    <row r="177" spans="1:19">
      <c r="A177" s="117"/>
      <c r="B177" s="83"/>
      <c r="C177" s="83"/>
      <c r="D177" s="83"/>
      <c r="E177" s="83"/>
      <c r="F177" s="83"/>
      <c r="G177" s="83"/>
      <c r="H177" s="83"/>
      <c r="I177" s="83"/>
      <c r="J177" s="83"/>
      <c r="K177" s="83"/>
      <c r="L177" s="83"/>
      <c r="M177" s="83"/>
      <c r="N177" s="83"/>
      <c r="O177" s="83"/>
      <c r="P177" s="83"/>
      <c r="Q177" s="83"/>
      <c r="R177" s="115"/>
      <c r="S177" s="115"/>
    </row>
    <row r="178" spans="1:19">
      <c r="A178" s="117"/>
      <c r="B178" s="83"/>
      <c r="C178" s="83"/>
      <c r="D178" s="83"/>
      <c r="E178" s="83"/>
      <c r="F178" s="83"/>
      <c r="G178" s="83"/>
      <c r="H178" s="83"/>
      <c r="I178" s="83"/>
      <c r="J178" s="83"/>
      <c r="K178" s="83"/>
      <c r="L178" s="83"/>
      <c r="M178" s="83"/>
      <c r="N178" s="83"/>
      <c r="O178" s="83"/>
      <c r="P178" s="83"/>
      <c r="Q178" s="83"/>
      <c r="R178" s="115"/>
      <c r="S178" s="115"/>
    </row>
    <row r="179" spans="1:19">
      <c r="A179" s="117"/>
      <c r="B179" s="83"/>
      <c r="C179" s="83"/>
      <c r="D179" s="83"/>
      <c r="E179" s="83"/>
      <c r="F179" s="83"/>
      <c r="G179" s="83"/>
      <c r="H179" s="83"/>
      <c r="I179" s="83"/>
      <c r="J179" s="83"/>
      <c r="K179" s="83"/>
      <c r="L179" s="83"/>
      <c r="M179" s="83"/>
      <c r="N179" s="83"/>
      <c r="O179" s="83"/>
      <c r="P179" s="83"/>
      <c r="Q179" s="83"/>
      <c r="R179" s="115"/>
      <c r="S179" s="115"/>
    </row>
    <row r="180" spans="1:19">
      <c r="A180" s="27"/>
      <c r="B180" s="83"/>
      <c r="C180" s="83"/>
      <c r="D180" s="83"/>
      <c r="E180" s="83"/>
      <c r="F180" s="83"/>
      <c r="G180" s="83"/>
      <c r="H180" s="83"/>
      <c r="I180" s="83"/>
      <c r="J180" s="83"/>
      <c r="K180" s="83"/>
      <c r="L180" s="83"/>
      <c r="M180" s="83"/>
      <c r="N180" s="83"/>
      <c r="O180" s="83"/>
      <c r="P180" s="83"/>
      <c r="Q180" s="83"/>
      <c r="R180" s="115"/>
      <c r="S180" s="115"/>
    </row>
    <row r="181" spans="1:19">
      <c r="A181" s="27"/>
      <c r="B181" s="83"/>
      <c r="C181" s="83"/>
      <c r="D181" s="83"/>
      <c r="E181" s="83"/>
      <c r="F181" s="83"/>
      <c r="G181" s="83"/>
      <c r="H181" s="83"/>
      <c r="I181" s="83"/>
      <c r="J181" s="83"/>
      <c r="K181" s="83"/>
      <c r="L181" s="83"/>
      <c r="M181" s="83"/>
      <c r="N181" s="83"/>
      <c r="O181" s="83"/>
      <c r="P181" s="83"/>
      <c r="Q181" s="83"/>
      <c r="R181" s="115"/>
      <c r="S181" s="115"/>
    </row>
    <row r="182" spans="1:19">
      <c r="A182" s="27"/>
      <c r="B182" s="83"/>
      <c r="C182" s="83"/>
      <c r="D182" s="83"/>
      <c r="E182" s="83"/>
      <c r="F182" s="83"/>
      <c r="G182" s="83"/>
      <c r="H182" s="83"/>
      <c r="I182" s="83"/>
      <c r="J182" s="83"/>
      <c r="K182" s="83"/>
      <c r="L182" s="83"/>
      <c r="M182" s="83"/>
      <c r="N182" s="83"/>
      <c r="O182" s="83"/>
      <c r="P182" s="83"/>
      <c r="Q182" s="83"/>
      <c r="R182" s="115"/>
      <c r="S182" s="115"/>
    </row>
    <row r="183" spans="1:19">
      <c r="A183" s="27"/>
      <c r="B183" s="83"/>
      <c r="C183" s="83"/>
      <c r="D183" s="83"/>
      <c r="E183" s="83"/>
      <c r="F183" s="83"/>
      <c r="G183" s="83"/>
      <c r="H183" s="83"/>
      <c r="I183" s="83"/>
      <c r="J183" s="83"/>
      <c r="K183" s="83"/>
      <c r="L183" s="83"/>
      <c r="M183" s="83"/>
      <c r="N183" s="83"/>
      <c r="O183" s="83"/>
      <c r="P183" s="83"/>
      <c r="Q183" s="83"/>
      <c r="R183" s="115"/>
      <c r="S183" s="115"/>
    </row>
    <row r="184" spans="1:19">
      <c r="A184" s="27"/>
      <c r="B184" s="83"/>
      <c r="C184" s="83"/>
      <c r="D184" s="83"/>
      <c r="E184" s="83"/>
      <c r="F184" s="83"/>
      <c r="G184" s="83"/>
      <c r="H184" s="83"/>
      <c r="I184" s="83"/>
      <c r="J184" s="83"/>
      <c r="K184" s="83"/>
      <c r="L184" s="83"/>
      <c r="M184" s="83"/>
      <c r="N184" s="83"/>
      <c r="O184" s="83"/>
      <c r="P184" s="83"/>
      <c r="Q184" s="83"/>
      <c r="R184" s="115"/>
      <c r="S184" s="115"/>
    </row>
    <row r="185" spans="1:19">
      <c r="A185" s="27"/>
      <c r="B185" s="83"/>
      <c r="C185" s="83"/>
      <c r="D185" s="83"/>
      <c r="E185" s="83"/>
      <c r="F185" s="83"/>
      <c r="G185" s="83"/>
      <c r="H185" s="83"/>
      <c r="I185" s="83"/>
      <c r="J185" s="83"/>
      <c r="K185" s="83"/>
      <c r="L185" s="83"/>
      <c r="M185" s="83"/>
      <c r="N185" s="83"/>
      <c r="O185" s="83"/>
      <c r="P185" s="83"/>
      <c r="Q185" s="83"/>
      <c r="R185" s="115"/>
      <c r="S185" s="115"/>
    </row>
    <row r="186" spans="1:19">
      <c r="A186" s="27"/>
      <c r="B186" s="83"/>
      <c r="C186" s="83"/>
      <c r="D186" s="83"/>
      <c r="E186" s="83"/>
      <c r="F186" s="83"/>
      <c r="G186" s="83"/>
      <c r="H186" s="83"/>
      <c r="I186" s="83"/>
      <c r="J186" s="83"/>
      <c r="K186" s="83"/>
      <c r="L186" s="83"/>
      <c r="M186" s="83"/>
      <c r="N186" s="83"/>
      <c r="O186" s="83"/>
      <c r="P186" s="83"/>
      <c r="Q186" s="83"/>
      <c r="R186" s="115"/>
      <c r="S186" s="115"/>
    </row>
    <row r="187" spans="1:19">
      <c r="A187" s="99"/>
      <c r="B187" s="119"/>
      <c r="C187" s="119"/>
      <c r="D187" s="119"/>
      <c r="E187" s="119"/>
      <c r="F187" s="119"/>
      <c r="G187" s="119"/>
      <c r="H187" s="119"/>
      <c r="I187" s="119"/>
      <c r="J187" s="119"/>
      <c r="K187" s="119"/>
      <c r="L187" s="119"/>
      <c r="M187" s="119"/>
      <c r="N187" s="119"/>
      <c r="O187" s="119"/>
      <c r="P187" s="119"/>
      <c r="Q187" s="119"/>
      <c r="R187" s="120"/>
      <c r="S187" s="120"/>
    </row>
    <row r="188" spans="1:19">
      <c r="A188" s="27"/>
      <c r="B188" s="83"/>
      <c r="C188" s="83"/>
      <c r="D188" s="83"/>
      <c r="E188" s="83"/>
      <c r="F188" s="83"/>
      <c r="G188" s="83"/>
      <c r="H188" s="83"/>
      <c r="I188" s="83"/>
      <c r="J188" s="83"/>
      <c r="K188" s="83"/>
      <c r="L188" s="83"/>
      <c r="M188" s="83"/>
      <c r="N188" s="83"/>
      <c r="O188" s="83"/>
      <c r="P188" s="83"/>
      <c r="Q188" s="83"/>
      <c r="R188" s="115"/>
      <c r="S188" s="115"/>
    </row>
    <row r="189" spans="1:19">
      <c r="A189" s="27"/>
      <c r="B189" s="83"/>
      <c r="C189" s="83"/>
      <c r="D189" s="83"/>
      <c r="E189" s="83"/>
      <c r="F189" s="83"/>
      <c r="G189" s="83"/>
      <c r="H189" s="83"/>
      <c r="I189" s="83"/>
      <c r="J189" s="83"/>
      <c r="K189" s="83"/>
      <c r="L189" s="83"/>
      <c r="M189" s="83"/>
      <c r="N189" s="83"/>
      <c r="O189" s="83"/>
      <c r="P189" s="83"/>
      <c r="Q189" s="83"/>
      <c r="R189" s="115"/>
      <c r="S189" s="115"/>
    </row>
    <row r="190" spans="1:19">
      <c r="A190" s="27"/>
      <c r="B190" s="83"/>
      <c r="C190" s="83"/>
      <c r="D190" s="83"/>
      <c r="E190" s="83"/>
      <c r="F190" s="83"/>
      <c r="G190" s="83"/>
      <c r="H190" s="83"/>
      <c r="I190" s="83"/>
      <c r="J190" s="83"/>
      <c r="K190" s="83"/>
      <c r="L190" s="83"/>
      <c r="M190" s="83"/>
      <c r="N190" s="83"/>
      <c r="O190" s="83"/>
      <c r="P190" s="83"/>
      <c r="Q190" s="83"/>
      <c r="R190" s="115"/>
      <c r="S190" s="115"/>
    </row>
    <row r="191" spans="1:19">
      <c r="A191" s="27"/>
      <c r="B191" s="83"/>
      <c r="C191" s="83"/>
      <c r="D191" s="83"/>
      <c r="E191" s="83"/>
      <c r="F191" s="83"/>
      <c r="G191" s="83"/>
      <c r="H191" s="83"/>
      <c r="I191" s="83"/>
      <c r="J191" s="83"/>
      <c r="K191" s="83"/>
      <c r="L191" s="83"/>
      <c r="M191" s="83"/>
      <c r="N191" s="83"/>
      <c r="O191" s="83"/>
      <c r="P191" s="83"/>
      <c r="Q191" s="83"/>
      <c r="R191" s="115"/>
      <c r="S191" s="115"/>
    </row>
    <row r="192" spans="1:19">
      <c r="A192" s="27"/>
      <c r="B192" s="83"/>
      <c r="C192" s="83"/>
      <c r="D192" s="83"/>
      <c r="E192" s="83"/>
      <c r="F192" s="83"/>
      <c r="G192" s="83"/>
      <c r="H192" s="83"/>
      <c r="I192" s="83"/>
      <c r="J192" s="83"/>
      <c r="K192" s="83"/>
      <c r="L192" s="83"/>
      <c r="M192" s="83"/>
      <c r="N192" s="83"/>
      <c r="O192" s="83"/>
      <c r="P192" s="83"/>
      <c r="Q192" s="83"/>
      <c r="R192" s="115"/>
      <c r="S192" s="115"/>
    </row>
    <row r="193" spans="1:19">
      <c r="A193" s="27"/>
      <c r="B193" s="83"/>
      <c r="C193" s="83"/>
      <c r="D193" s="83"/>
      <c r="E193" s="83"/>
      <c r="F193" s="83"/>
      <c r="G193" s="83"/>
      <c r="H193" s="83"/>
      <c r="I193" s="83"/>
      <c r="J193" s="83"/>
      <c r="K193" s="83"/>
      <c r="L193" s="83"/>
      <c r="M193" s="83"/>
      <c r="N193" s="83"/>
      <c r="O193" s="83"/>
      <c r="P193" s="83"/>
      <c r="Q193" s="83"/>
      <c r="R193" s="115"/>
      <c r="S193" s="115"/>
    </row>
    <row r="194" spans="1:19">
      <c r="A194" s="27"/>
      <c r="B194" s="83"/>
      <c r="C194" s="83"/>
      <c r="D194" s="83"/>
      <c r="E194" s="83"/>
      <c r="F194" s="83"/>
      <c r="G194" s="83"/>
      <c r="H194" s="83"/>
      <c r="I194" s="83"/>
      <c r="J194" s="83"/>
      <c r="K194" s="83"/>
      <c r="L194" s="83"/>
      <c r="M194" s="83"/>
      <c r="N194" s="83"/>
      <c r="O194" s="83"/>
      <c r="P194" s="83"/>
      <c r="Q194" s="83"/>
      <c r="R194" s="115"/>
      <c r="S194" s="115"/>
    </row>
    <row r="195" spans="1:19">
      <c r="A195" s="27"/>
      <c r="B195" s="83"/>
      <c r="C195" s="83"/>
      <c r="D195" s="83"/>
      <c r="E195" s="83"/>
      <c r="F195" s="83"/>
      <c r="G195" s="83"/>
      <c r="H195" s="83"/>
      <c r="I195" s="83"/>
      <c r="J195" s="83"/>
      <c r="K195" s="83"/>
      <c r="L195" s="83"/>
      <c r="M195" s="83"/>
      <c r="N195" s="83"/>
      <c r="O195" s="83"/>
      <c r="P195" s="83"/>
      <c r="Q195" s="83"/>
      <c r="R195" s="115"/>
      <c r="S195" s="115"/>
    </row>
    <row r="196" spans="1:19">
      <c r="A196" s="27"/>
      <c r="B196" s="83"/>
      <c r="C196" s="83"/>
      <c r="D196" s="83"/>
      <c r="E196" s="83"/>
      <c r="F196" s="83"/>
      <c r="G196" s="83"/>
      <c r="H196" s="83"/>
      <c r="I196" s="83"/>
      <c r="J196" s="83"/>
      <c r="K196" s="83"/>
      <c r="L196" s="83"/>
      <c r="M196" s="83"/>
      <c r="N196" s="83"/>
      <c r="O196" s="83"/>
      <c r="P196" s="83"/>
      <c r="Q196" s="83"/>
      <c r="R196" s="115"/>
      <c r="S196" s="115"/>
    </row>
    <row r="197" spans="1:19">
      <c r="A197" s="27"/>
      <c r="B197" s="83"/>
      <c r="C197" s="83"/>
      <c r="D197" s="83"/>
      <c r="E197" s="83"/>
      <c r="F197" s="83"/>
      <c r="G197" s="83"/>
      <c r="H197" s="83"/>
      <c r="I197" s="83"/>
      <c r="J197" s="83"/>
      <c r="K197" s="83"/>
      <c r="L197" s="83"/>
      <c r="M197" s="83"/>
      <c r="N197" s="83"/>
      <c r="O197" s="83"/>
      <c r="P197" s="83"/>
      <c r="Q197" s="83"/>
      <c r="R197" s="115"/>
      <c r="S197" s="115"/>
    </row>
    <row r="198" spans="1:19">
      <c r="A198" s="27"/>
      <c r="B198" s="83"/>
      <c r="C198" s="83"/>
      <c r="D198" s="83"/>
      <c r="E198" s="83"/>
      <c r="F198" s="83"/>
      <c r="G198" s="83"/>
      <c r="H198" s="83"/>
      <c r="I198" s="83"/>
      <c r="J198" s="83"/>
      <c r="K198" s="83"/>
      <c r="L198" s="83"/>
      <c r="M198" s="83"/>
      <c r="N198" s="83"/>
      <c r="O198" s="83"/>
      <c r="P198" s="83"/>
      <c r="Q198" s="83"/>
      <c r="R198" s="115"/>
      <c r="S198" s="115"/>
    </row>
    <row r="199" spans="1:19">
      <c r="A199" s="99"/>
      <c r="B199" s="119"/>
      <c r="C199" s="119"/>
      <c r="D199" s="119"/>
      <c r="E199" s="119"/>
      <c r="F199" s="119"/>
      <c r="G199" s="119"/>
      <c r="H199" s="119"/>
      <c r="I199" s="119"/>
      <c r="J199" s="119"/>
      <c r="K199" s="119"/>
      <c r="L199" s="119"/>
      <c r="M199" s="119"/>
      <c r="N199" s="119"/>
      <c r="O199" s="119"/>
      <c r="P199" s="119"/>
      <c r="Q199" s="119"/>
      <c r="R199" s="120"/>
      <c r="S199" s="120"/>
    </row>
    <row r="200" spans="1:19">
      <c r="A200" s="27"/>
      <c r="B200" s="83"/>
      <c r="C200" s="83"/>
      <c r="D200" s="83"/>
      <c r="E200" s="83"/>
      <c r="F200" s="83"/>
      <c r="G200" s="83"/>
      <c r="H200" s="83"/>
      <c r="I200" s="83"/>
      <c r="J200" s="83"/>
      <c r="K200" s="83"/>
      <c r="L200" s="83"/>
      <c r="M200" s="83"/>
      <c r="N200" s="83"/>
      <c r="O200" s="83"/>
      <c r="P200" s="83"/>
      <c r="Q200" s="83"/>
      <c r="R200" s="115"/>
      <c r="S200" s="115"/>
    </row>
    <row r="201" spans="1:19">
      <c r="A201" s="27"/>
      <c r="B201" s="83"/>
      <c r="C201" s="83"/>
      <c r="D201" s="83"/>
      <c r="E201" s="83"/>
      <c r="F201" s="83"/>
      <c r="G201" s="83"/>
      <c r="H201" s="83"/>
      <c r="I201" s="83"/>
      <c r="J201" s="83"/>
      <c r="K201" s="83"/>
      <c r="L201" s="83"/>
      <c r="M201" s="83"/>
      <c r="N201" s="83"/>
      <c r="O201" s="83"/>
      <c r="P201" s="83"/>
      <c r="Q201" s="83"/>
      <c r="R201" s="115"/>
      <c r="S201" s="115"/>
    </row>
    <row r="202" spans="1:19">
      <c r="A202" s="27"/>
      <c r="B202" s="83"/>
      <c r="C202" s="83"/>
      <c r="D202" s="83"/>
      <c r="E202" s="83"/>
      <c r="F202" s="83"/>
      <c r="G202" s="83"/>
      <c r="H202" s="83"/>
      <c r="I202" s="83"/>
      <c r="J202" s="83"/>
      <c r="K202" s="83"/>
      <c r="L202" s="83"/>
      <c r="M202" s="83"/>
      <c r="N202" s="83"/>
      <c r="O202" s="83"/>
      <c r="P202" s="83"/>
      <c r="Q202" s="83"/>
      <c r="R202" s="115"/>
      <c r="S202" s="115"/>
    </row>
    <row r="203" spans="1:19">
      <c r="A203" s="27"/>
      <c r="B203" s="83"/>
      <c r="C203" s="83"/>
      <c r="D203" s="83"/>
      <c r="E203" s="83"/>
      <c r="F203" s="83"/>
      <c r="G203" s="83"/>
      <c r="H203" s="83"/>
      <c r="I203" s="83"/>
      <c r="J203" s="83"/>
      <c r="K203" s="83"/>
      <c r="L203" s="83"/>
      <c r="M203" s="83"/>
      <c r="N203" s="83"/>
      <c r="O203" s="83"/>
      <c r="P203" s="83"/>
      <c r="Q203" s="83"/>
      <c r="R203" s="115"/>
      <c r="S203" s="115"/>
    </row>
    <row r="204" spans="1:19">
      <c r="A204" s="27"/>
      <c r="B204" s="83"/>
      <c r="C204" s="83"/>
      <c r="D204" s="83"/>
      <c r="E204" s="83"/>
      <c r="F204" s="83"/>
      <c r="G204" s="83"/>
      <c r="H204" s="83"/>
      <c r="I204" s="83"/>
      <c r="J204" s="83"/>
      <c r="K204" s="83"/>
      <c r="L204" s="83"/>
      <c r="M204" s="83"/>
      <c r="N204" s="83"/>
      <c r="O204" s="83"/>
      <c r="P204" s="83"/>
      <c r="Q204" s="83"/>
      <c r="R204" s="115"/>
      <c r="S204" s="115"/>
    </row>
    <row r="205" spans="1:19">
      <c r="A205" s="27"/>
      <c r="B205" s="83"/>
      <c r="C205" s="83"/>
      <c r="D205" s="83"/>
      <c r="E205" s="83"/>
      <c r="F205" s="83"/>
      <c r="G205" s="83"/>
      <c r="H205" s="83"/>
      <c r="I205" s="83"/>
      <c r="J205" s="83"/>
      <c r="K205" s="83"/>
      <c r="L205" s="83"/>
      <c r="M205" s="83"/>
      <c r="N205" s="83"/>
      <c r="O205" s="83"/>
      <c r="P205" s="83"/>
      <c r="Q205" s="83"/>
      <c r="R205" s="115"/>
      <c r="S205" s="115"/>
    </row>
    <row r="206" spans="1:19">
      <c r="A206" s="27"/>
      <c r="B206" s="83"/>
      <c r="C206" s="83"/>
      <c r="D206" s="83"/>
      <c r="E206" s="83"/>
      <c r="F206" s="83"/>
      <c r="G206" s="83"/>
      <c r="H206" s="83"/>
      <c r="I206" s="83"/>
      <c r="J206" s="83"/>
      <c r="K206" s="83"/>
      <c r="L206" s="83"/>
      <c r="M206" s="83"/>
      <c r="N206" s="83"/>
      <c r="O206" s="83"/>
      <c r="P206" s="83"/>
      <c r="Q206" s="83"/>
      <c r="R206" s="115"/>
      <c r="S206" s="115"/>
    </row>
    <row r="207" spans="1:19">
      <c r="A207" s="27"/>
      <c r="B207" s="83"/>
      <c r="C207" s="83"/>
      <c r="D207" s="83"/>
      <c r="E207" s="83"/>
      <c r="F207" s="83"/>
      <c r="G207" s="83"/>
      <c r="H207" s="83"/>
      <c r="I207" s="83"/>
      <c r="J207" s="83"/>
      <c r="K207" s="83"/>
      <c r="L207" s="83"/>
      <c r="M207" s="83"/>
      <c r="N207" s="83"/>
      <c r="O207" s="83"/>
      <c r="P207" s="83"/>
      <c r="Q207" s="83"/>
      <c r="R207" s="115"/>
      <c r="S207" s="115"/>
    </row>
    <row r="208" spans="1:19">
      <c r="A208" s="27"/>
      <c r="B208" s="83"/>
      <c r="C208" s="83"/>
      <c r="D208" s="83"/>
      <c r="E208" s="83"/>
      <c r="F208" s="83"/>
      <c r="G208" s="83"/>
      <c r="H208" s="83"/>
      <c r="I208" s="83"/>
      <c r="J208" s="83"/>
      <c r="K208" s="83"/>
      <c r="L208" s="83"/>
      <c r="M208" s="83"/>
      <c r="N208" s="83"/>
      <c r="O208" s="83"/>
      <c r="P208" s="83"/>
      <c r="Q208" s="83"/>
      <c r="R208" s="115"/>
      <c r="S208" s="115"/>
    </row>
    <row r="209" spans="1:19">
      <c r="A209" s="27"/>
      <c r="B209" s="83"/>
      <c r="C209" s="83"/>
      <c r="D209" s="83"/>
      <c r="E209" s="83"/>
      <c r="F209" s="83"/>
      <c r="G209" s="83"/>
      <c r="H209" s="83"/>
      <c r="I209" s="83"/>
      <c r="J209" s="83"/>
      <c r="K209" s="83"/>
      <c r="L209" s="83"/>
      <c r="M209" s="83"/>
      <c r="N209" s="83"/>
      <c r="O209" s="83"/>
      <c r="P209" s="83"/>
      <c r="Q209" s="83"/>
      <c r="R209" s="115"/>
      <c r="S209" s="115"/>
    </row>
    <row r="210" spans="1:19">
      <c r="A210" s="27"/>
      <c r="B210" s="83"/>
      <c r="C210" s="83"/>
      <c r="D210" s="83"/>
      <c r="E210" s="83"/>
      <c r="F210" s="83"/>
      <c r="G210" s="83"/>
      <c r="H210" s="83"/>
      <c r="I210" s="83"/>
      <c r="J210" s="83"/>
      <c r="K210" s="83"/>
      <c r="L210" s="83"/>
      <c r="M210" s="83"/>
      <c r="N210" s="83"/>
      <c r="O210" s="83"/>
      <c r="P210" s="83"/>
      <c r="Q210" s="83"/>
      <c r="R210" s="115"/>
      <c r="S210" s="115"/>
    </row>
    <row r="211" spans="1:19">
      <c r="A211" s="99"/>
      <c r="B211" s="119"/>
      <c r="C211" s="119"/>
      <c r="D211" s="119"/>
      <c r="E211" s="119"/>
      <c r="F211" s="119"/>
      <c r="G211" s="119"/>
      <c r="H211" s="119"/>
      <c r="I211" s="119"/>
      <c r="J211" s="119"/>
      <c r="K211" s="119"/>
      <c r="L211" s="119"/>
      <c r="M211" s="119"/>
      <c r="N211" s="119"/>
      <c r="O211" s="119"/>
      <c r="P211" s="119"/>
      <c r="Q211" s="119"/>
      <c r="R211" s="120"/>
      <c r="S211" s="120"/>
    </row>
    <row r="212" spans="1:19">
      <c r="A212" s="27"/>
      <c r="B212" s="83"/>
      <c r="C212" s="83"/>
      <c r="D212" s="83"/>
      <c r="E212" s="83"/>
      <c r="F212" s="83"/>
      <c r="G212" s="83"/>
      <c r="H212" s="83"/>
      <c r="I212" s="83"/>
      <c r="J212" s="83"/>
      <c r="K212" s="83"/>
      <c r="L212" s="83"/>
      <c r="M212" s="83"/>
      <c r="N212" s="83"/>
      <c r="O212" s="83"/>
      <c r="P212" s="83"/>
      <c r="Q212" s="83"/>
      <c r="R212" s="115"/>
      <c r="S212" s="115"/>
    </row>
    <row r="213" spans="1:19">
      <c r="A213" s="27"/>
      <c r="B213" s="83"/>
      <c r="C213" s="83"/>
      <c r="D213" s="83"/>
      <c r="E213" s="83"/>
      <c r="F213" s="83"/>
      <c r="G213" s="83"/>
      <c r="H213" s="83"/>
      <c r="I213" s="83"/>
      <c r="J213" s="83"/>
      <c r="K213" s="83"/>
      <c r="L213" s="83"/>
      <c r="M213" s="83"/>
      <c r="N213" s="83"/>
      <c r="O213" s="83"/>
      <c r="P213" s="83"/>
      <c r="Q213" s="83"/>
      <c r="R213" s="115"/>
      <c r="S213" s="115"/>
    </row>
    <row r="214" spans="1:19">
      <c r="A214" s="27"/>
      <c r="B214" s="83"/>
      <c r="C214" s="83"/>
      <c r="D214" s="83"/>
      <c r="E214" s="83"/>
      <c r="F214" s="83"/>
      <c r="G214" s="83"/>
      <c r="H214" s="83"/>
      <c r="I214" s="83"/>
      <c r="J214" s="83"/>
      <c r="K214" s="83"/>
      <c r="L214" s="83"/>
      <c r="M214" s="83"/>
      <c r="N214" s="83"/>
      <c r="O214" s="83"/>
      <c r="P214" s="83"/>
      <c r="Q214" s="83"/>
      <c r="R214" s="115"/>
      <c r="S214" s="115"/>
    </row>
    <row r="215" spans="1:19">
      <c r="A215" s="27"/>
      <c r="B215" s="83"/>
      <c r="C215" s="83"/>
      <c r="D215" s="83"/>
      <c r="E215" s="83"/>
      <c r="F215" s="83"/>
      <c r="G215" s="83"/>
      <c r="H215" s="83"/>
      <c r="I215" s="83"/>
      <c r="J215" s="83"/>
      <c r="K215" s="83"/>
      <c r="L215" s="83"/>
      <c r="M215" s="83"/>
      <c r="N215" s="83"/>
      <c r="O215" s="83"/>
      <c r="P215" s="83"/>
      <c r="Q215" s="83"/>
      <c r="R215" s="115"/>
      <c r="S215" s="115"/>
    </row>
    <row r="216" spans="1:19">
      <c r="A216" s="27"/>
      <c r="B216" s="83"/>
      <c r="C216" s="83"/>
      <c r="D216" s="83"/>
      <c r="E216" s="83"/>
      <c r="F216" s="83"/>
      <c r="G216" s="83"/>
      <c r="H216" s="83"/>
      <c r="I216" s="83"/>
      <c r="J216" s="83"/>
      <c r="K216" s="83"/>
      <c r="L216" s="83"/>
      <c r="M216" s="83"/>
      <c r="N216" s="83"/>
      <c r="O216" s="83"/>
      <c r="P216" s="83"/>
      <c r="Q216" s="83"/>
      <c r="R216" s="115"/>
      <c r="S216" s="115"/>
    </row>
    <row r="217" spans="1:19">
      <c r="A217" s="27"/>
      <c r="B217" s="83"/>
      <c r="C217" s="83"/>
      <c r="D217" s="83"/>
      <c r="E217" s="83"/>
      <c r="F217" s="83"/>
      <c r="G217" s="83"/>
      <c r="H217" s="83"/>
      <c r="I217" s="83"/>
      <c r="J217" s="83"/>
      <c r="K217" s="83"/>
      <c r="L217" s="83"/>
      <c r="M217" s="83"/>
      <c r="N217" s="83"/>
      <c r="O217" s="83"/>
      <c r="P217" s="83"/>
      <c r="Q217" s="83"/>
      <c r="R217" s="115"/>
      <c r="S217" s="115"/>
    </row>
    <row r="218" spans="1:19">
      <c r="A218" s="27"/>
      <c r="B218" s="83"/>
      <c r="C218" s="83"/>
      <c r="D218" s="83"/>
      <c r="E218" s="83"/>
      <c r="F218" s="83"/>
      <c r="G218" s="83"/>
      <c r="H218" s="83"/>
      <c r="I218" s="83"/>
      <c r="J218" s="83"/>
      <c r="K218" s="83"/>
      <c r="L218" s="83"/>
      <c r="M218" s="83"/>
      <c r="N218" s="83"/>
      <c r="O218" s="83"/>
      <c r="P218" s="83"/>
      <c r="Q218" s="83"/>
      <c r="R218" s="115"/>
      <c r="S218" s="115"/>
    </row>
    <row r="219" spans="1:19">
      <c r="A219" s="27"/>
      <c r="B219" s="83"/>
      <c r="C219" s="83"/>
      <c r="D219" s="83"/>
      <c r="E219" s="83"/>
      <c r="F219" s="83"/>
      <c r="G219" s="83"/>
      <c r="H219" s="83"/>
      <c r="I219" s="83"/>
      <c r="J219" s="83"/>
      <c r="K219" s="83"/>
      <c r="L219" s="83"/>
      <c r="M219" s="83"/>
      <c r="N219" s="83"/>
      <c r="O219" s="83"/>
      <c r="P219" s="83"/>
      <c r="Q219" s="83"/>
      <c r="R219" s="115"/>
      <c r="S219" s="115"/>
    </row>
    <row r="220" spans="1:19">
      <c r="A220" s="27"/>
      <c r="B220" s="83"/>
      <c r="C220" s="83"/>
      <c r="D220" s="83"/>
      <c r="E220" s="83"/>
      <c r="F220" s="83"/>
      <c r="G220" s="83"/>
      <c r="H220" s="83"/>
      <c r="I220" s="83"/>
      <c r="J220" s="83"/>
      <c r="K220" s="83"/>
      <c r="L220" s="83"/>
      <c r="M220" s="83"/>
      <c r="N220" s="83"/>
      <c r="O220" s="83"/>
      <c r="P220" s="83"/>
      <c r="Q220" s="83"/>
      <c r="R220" s="115"/>
      <c r="S220" s="115"/>
    </row>
    <row r="221" spans="1:19">
      <c r="A221" s="27"/>
      <c r="B221" s="83"/>
      <c r="C221" s="83"/>
      <c r="D221" s="83"/>
      <c r="E221" s="83"/>
      <c r="F221" s="83"/>
      <c r="G221" s="83"/>
      <c r="H221" s="83"/>
      <c r="I221" s="83"/>
      <c r="J221" s="83"/>
      <c r="K221" s="83"/>
      <c r="L221" s="83"/>
      <c r="M221" s="83"/>
      <c r="N221" s="83"/>
      <c r="O221" s="83"/>
      <c r="P221" s="83"/>
      <c r="Q221" s="83"/>
      <c r="R221" s="115"/>
      <c r="S221" s="115"/>
    </row>
    <row r="222" spans="1:19">
      <c r="A222" s="27"/>
      <c r="B222" s="83"/>
      <c r="C222" s="83"/>
      <c r="D222" s="83"/>
      <c r="E222" s="83"/>
      <c r="F222" s="83"/>
      <c r="G222" s="83"/>
      <c r="H222" s="83"/>
      <c r="I222" s="83"/>
      <c r="J222" s="83"/>
      <c r="K222" s="83"/>
      <c r="L222" s="83"/>
      <c r="M222" s="83"/>
      <c r="N222" s="83"/>
      <c r="O222" s="83"/>
      <c r="P222" s="83"/>
      <c r="Q222" s="83"/>
      <c r="R222" s="115"/>
      <c r="S222" s="115"/>
    </row>
    <row r="223" spans="1:19">
      <c r="A223" s="99"/>
      <c r="B223" s="119"/>
      <c r="C223" s="119"/>
      <c r="D223" s="119"/>
      <c r="E223" s="119"/>
      <c r="F223" s="119"/>
      <c r="G223" s="119"/>
      <c r="H223" s="119"/>
      <c r="I223" s="119"/>
      <c r="J223" s="119"/>
      <c r="K223" s="119"/>
      <c r="L223" s="119"/>
      <c r="M223" s="119"/>
      <c r="N223" s="119"/>
      <c r="O223" s="119"/>
      <c r="P223" s="119"/>
      <c r="Q223" s="119"/>
      <c r="R223" s="120"/>
      <c r="S223" s="120"/>
    </row>
    <row r="224" spans="1:19">
      <c r="A224" s="27"/>
      <c r="B224" s="83"/>
      <c r="C224" s="83"/>
      <c r="D224" s="83"/>
      <c r="E224" s="83"/>
      <c r="F224" s="83"/>
      <c r="G224" s="83"/>
      <c r="H224" s="83"/>
      <c r="I224" s="83"/>
      <c r="J224" s="83"/>
      <c r="K224" s="83"/>
      <c r="L224" s="83"/>
      <c r="M224" s="83"/>
      <c r="N224" s="83"/>
      <c r="O224" s="83"/>
      <c r="P224" s="83"/>
      <c r="Q224" s="83"/>
      <c r="R224" s="115"/>
      <c r="S224" s="115"/>
    </row>
    <row r="225" spans="1:19">
      <c r="A225" s="27"/>
      <c r="B225" s="83"/>
      <c r="C225" s="83"/>
      <c r="D225" s="83"/>
      <c r="E225" s="83"/>
      <c r="F225" s="83"/>
      <c r="G225" s="83"/>
      <c r="H225" s="83"/>
      <c r="I225" s="83"/>
      <c r="J225" s="83"/>
      <c r="K225" s="83"/>
      <c r="L225" s="83"/>
      <c r="M225" s="83"/>
      <c r="N225" s="83"/>
      <c r="O225" s="83"/>
      <c r="P225" s="83"/>
      <c r="Q225" s="83"/>
      <c r="R225" s="115"/>
      <c r="S225" s="115"/>
    </row>
    <row r="226" spans="1:19">
      <c r="A226" s="27"/>
      <c r="B226" s="83"/>
      <c r="C226" s="83"/>
      <c r="D226" s="83"/>
      <c r="E226" s="83"/>
      <c r="F226" s="83"/>
      <c r="G226" s="83"/>
      <c r="H226" s="83"/>
      <c r="I226" s="83"/>
      <c r="J226" s="83"/>
      <c r="K226" s="83"/>
      <c r="L226" s="83"/>
      <c r="M226" s="83"/>
      <c r="N226" s="83"/>
      <c r="O226" s="83"/>
      <c r="P226" s="83"/>
      <c r="Q226" s="83"/>
      <c r="R226" s="115"/>
      <c r="S226" s="115"/>
    </row>
    <row r="227" spans="1:19">
      <c r="A227" s="27"/>
      <c r="B227" s="83"/>
      <c r="C227" s="83"/>
      <c r="D227" s="83"/>
      <c r="E227" s="83"/>
      <c r="F227" s="83"/>
      <c r="G227" s="83"/>
      <c r="H227" s="83"/>
      <c r="I227" s="83"/>
      <c r="J227" s="83"/>
      <c r="K227" s="83"/>
      <c r="L227" s="83"/>
      <c r="M227" s="83"/>
      <c r="N227" s="83"/>
      <c r="O227" s="83"/>
      <c r="P227" s="83"/>
      <c r="Q227" s="83"/>
      <c r="R227" s="115"/>
      <c r="S227" s="115"/>
    </row>
    <row r="228" spans="1:19">
      <c r="A228" s="27"/>
      <c r="B228" s="83"/>
      <c r="C228" s="83"/>
      <c r="D228" s="83"/>
      <c r="E228" s="83"/>
      <c r="F228" s="83"/>
      <c r="G228" s="83"/>
      <c r="H228" s="83"/>
      <c r="I228" s="83"/>
      <c r="J228" s="83"/>
      <c r="K228" s="83"/>
      <c r="L228" s="83"/>
      <c r="M228" s="83"/>
      <c r="N228" s="83"/>
      <c r="O228" s="83"/>
      <c r="P228" s="83"/>
      <c r="Q228" s="83"/>
      <c r="R228" s="115"/>
      <c r="S228" s="115"/>
    </row>
    <row r="229" spans="1:19">
      <c r="A229" s="27"/>
      <c r="B229" s="83"/>
      <c r="C229" s="83"/>
      <c r="D229" s="83"/>
      <c r="E229" s="83"/>
      <c r="F229" s="83"/>
      <c r="G229" s="83"/>
      <c r="H229" s="83"/>
      <c r="I229" s="83"/>
      <c r="J229" s="83"/>
      <c r="K229" s="83"/>
      <c r="L229" s="83"/>
      <c r="M229" s="83"/>
      <c r="N229" s="83"/>
      <c r="O229" s="83"/>
      <c r="P229" s="83"/>
      <c r="Q229" s="83"/>
      <c r="R229" s="115"/>
      <c r="S229" s="115"/>
    </row>
    <row r="230" spans="1:19">
      <c r="A230" s="27"/>
      <c r="B230" s="83"/>
      <c r="C230" s="83"/>
      <c r="D230" s="83"/>
      <c r="E230" s="83"/>
      <c r="F230" s="83"/>
      <c r="G230" s="83"/>
      <c r="H230" s="83"/>
      <c r="I230" s="83"/>
      <c r="J230" s="83"/>
      <c r="K230" s="83"/>
      <c r="L230" s="83"/>
      <c r="M230" s="83"/>
      <c r="N230" s="83"/>
      <c r="O230" s="83"/>
      <c r="P230" s="83"/>
      <c r="Q230" s="83"/>
      <c r="R230" s="115"/>
      <c r="S230" s="115"/>
    </row>
    <row r="231" spans="1:19">
      <c r="A231" s="27"/>
      <c r="B231" s="83"/>
      <c r="C231" s="83"/>
      <c r="D231" s="83"/>
      <c r="E231" s="83"/>
      <c r="F231" s="83"/>
      <c r="G231" s="83"/>
      <c r="H231" s="83"/>
      <c r="I231" s="83"/>
      <c r="J231" s="83"/>
      <c r="K231" s="83"/>
      <c r="L231" s="83"/>
      <c r="M231" s="83"/>
      <c r="N231" s="83"/>
      <c r="O231" s="83"/>
      <c r="P231" s="83"/>
      <c r="Q231" s="83"/>
      <c r="R231" s="115"/>
      <c r="S231" s="115"/>
    </row>
    <row r="232" spans="1:19">
      <c r="A232" s="27"/>
      <c r="B232" s="83"/>
      <c r="C232" s="83"/>
      <c r="D232" s="83"/>
      <c r="E232" s="83"/>
      <c r="F232" s="83"/>
      <c r="G232" s="83"/>
      <c r="H232" s="83"/>
      <c r="I232" s="83"/>
      <c r="J232" s="83"/>
      <c r="K232" s="83"/>
      <c r="L232" s="83"/>
      <c r="M232" s="83"/>
      <c r="N232" s="83"/>
      <c r="O232" s="83"/>
      <c r="P232" s="83"/>
      <c r="Q232" s="83"/>
      <c r="R232" s="115"/>
      <c r="S232" s="115"/>
    </row>
    <row r="233" spans="1:19">
      <c r="A233" s="27"/>
      <c r="B233" s="83"/>
      <c r="C233" s="83"/>
      <c r="D233" s="83"/>
      <c r="E233" s="83"/>
      <c r="F233" s="83"/>
      <c r="G233" s="83"/>
      <c r="H233" s="83"/>
      <c r="I233" s="83"/>
      <c r="J233" s="83"/>
      <c r="K233" s="83"/>
      <c r="L233" s="83"/>
      <c r="M233" s="83"/>
      <c r="N233" s="83"/>
      <c r="O233" s="83"/>
      <c r="P233" s="83"/>
      <c r="Q233" s="83"/>
      <c r="R233" s="115"/>
      <c r="S233" s="115"/>
    </row>
    <row r="234" spans="1:19">
      <c r="A234" s="27"/>
      <c r="B234" s="83"/>
      <c r="C234" s="83"/>
      <c r="D234" s="83"/>
      <c r="E234" s="83"/>
      <c r="F234" s="83"/>
      <c r="G234" s="83"/>
      <c r="H234" s="83"/>
      <c r="I234" s="83"/>
      <c r="J234" s="83"/>
      <c r="K234" s="83"/>
      <c r="L234" s="83"/>
      <c r="M234" s="83"/>
      <c r="N234" s="83"/>
      <c r="O234" s="83"/>
      <c r="P234" s="83"/>
      <c r="Q234" s="83"/>
      <c r="R234" s="115"/>
      <c r="S234" s="115"/>
    </row>
    <row r="235" spans="1:19">
      <c r="A235" s="99"/>
      <c r="B235" s="119"/>
      <c r="C235" s="119"/>
      <c r="D235" s="119"/>
      <c r="E235" s="119"/>
      <c r="F235" s="119"/>
      <c r="G235" s="119"/>
      <c r="H235" s="119"/>
      <c r="I235" s="119"/>
      <c r="J235" s="119"/>
      <c r="K235" s="119"/>
      <c r="L235" s="119"/>
      <c r="M235" s="119"/>
      <c r="N235" s="119"/>
      <c r="O235" s="119"/>
      <c r="P235" s="119"/>
      <c r="Q235" s="119"/>
      <c r="R235" s="120"/>
      <c r="S235" s="120"/>
    </row>
    <row r="236" spans="1:19">
      <c r="A236" s="27"/>
      <c r="B236" s="83"/>
      <c r="C236" s="83"/>
      <c r="D236" s="83"/>
      <c r="E236" s="83"/>
      <c r="F236" s="83"/>
      <c r="G236" s="83"/>
      <c r="H236" s="83"/>
      <c r="I236" s="83"/>
      <c r="J236" s="83"/>
      <c r="K236" s="83"/>
      <c r="L236" s="83"/>
      <c r="M236" s="83"/>
      <c r="N236" s="83"/>
      <c r="O236" s="83"/>
      <c r="P236" s="83"/>
      <c r="Q236" s="83"/>
      <c r="R236" s="115"/>
      <c r="S236" s="115"/>
    </row>
    <row r="237" spans="1:19">
      <c r="A237" s="27"/>
      <c r="B237" s="83"/>
      <c r="C237" s="83"/>
      <c r="D237" s="83"/>
      <c r="E237" s="83"/>
      <c r="F237" s="83"/>
      <c r="G237" s="83"/>
      <c r="H237" s="83"/>
      <c r="I237" s="83"/>
      <c r="J237" s="83"/>
      <c r="K237" s="83"/>
      <c r="L237" s="83"/>
      <c r="M237" s="83"/>
      <c r="N237" s="83"/>
      <c r="O237" s="83"/>
      <c r="P237" s="83"/>
      <c r="Q237" s="83"/>
      <c r="R237" s="115"/>
      <c r="S237" s="115"/>
    </row>
    <row r="238" spans="1:19">
      <c r="A238" s="27"/>
      <c r="B238" s="83"/>
      <c r="C238" s="83"/>
      <c r="D238" s="83"/>
      <c r="E238" s="83"/>
      <c r="F238" s="83"/>
      <c r="G238" s="83"/>
      <c r="H238" s="83"/>
      <c r="I238" s="83"/>
      <c r="J238" s="83"/>
      <c r="K238" s="83"/>
      <c r="L238" s="83"/>
      <c r="M238" s="83"/>
      <c r="N238" s="83"/>
      <c r="O238" s="83"/>
      <c r="P238" s="83"/>
      <c r="Q238" s="83"/>
      <c r="R238" s="115"/>
      <c r="S238" s="115"/>
    </row>
    <row r="239" spans="1:19">
      <c r="A239" s="27"/>
      <c r="B239" s="83"/>
      <c r="C239" s="83"/>
      <c r="D239" s="83"/>
      <c r="E239" s="83"/>
      <c r="F239" s="83"/>
      <c r="G239" s="83"/>
      <c r="H239" s="83"/>
      <c r="I239" s="83"/>
      <c r="J239" s="83"/>
      <c r="K239" s="83"/>
      <c r="L239" s="83"/>
      <c r="M239" s="83"/>
      <c r="N239" s="83"/>
      <c r="O239" s="83"/>
      <c r="P239" s="83"/>
      <c r="Q239" s="83"/>
      <c r="R239" s="115"/>
      <c r="S239" s="115"/>
    </row>
    <row r="240" spans="1:19">
      <c r="A240" s="27"/>
      <c r="B240" s="83"/>
      <c r="C240" s="83"/>
      <c r="D240" s="83"/>
      <c r="E240" s="83"/>
      <c r="F240" s="83"/>
      <c r="G240" s="83"/>
      <c r="H240" s="83"/>
      <c r="I240" s="83"/>
      <c r="J240" s="83"/>
      <c r="K240" s="83"/>
      <c r="L240" s="83"/>
      <c r="M240" s="83"/>
      <c r="N240" s="83"/>
      <c r="O240" s="83"/>
      <c r="P240" s="83"/>
      <c r="Q240" s="83"/>
      <c r="R240" s="115"/>
      <c r="S240" s="115"/>
    </row>
    <row r="241" spans="1:19">
      <c r="A241" s="27"/>
      <c r="B241" s="83"/>
      <c r="C241" s="83"/>
      <c r="D241" s="83"/>
      <c r="E241" s="83"/>
      <c r="F241" s="83"/>
      <c r="G241" s="83"/>
      <c r="H241" s="83"/>
      <c r="I241" s="83"/>
      <c r="J241" s="83"/>
      <c r="K241" s="83"/>
      <c r="L241" s="83"/>
      <c r="M241" s="83"/>
      <c r="N241" s="83"/>
      <c r="O241" s="83"/>
      <c r="P241" s="83"/>
      <c r="Q241" s="83"/>
      <c r="R241" s="115"/>
      <c r="S241" s="115"/>
    </row>
    <row r="242" spans="1:19">
      <c r="A242" s="27"/>
      <c r="B242" s="83"/>
      <c r="C242" s="83"/>
      <c r="D242" s="83"/>
      <c r="E242" s="83"/>
      <c r="F242" s="83"/>
      <c r="G242" s="83"/>
      <c r="H242" s="83"/>
      <c r="I242" s="83"/>
      <c r="J242" s="83"/>
      <c r="K242" s="83"/>
      <c r="L242" s="83"/>
      <c r="M242" s="83"/>
      <c r="N242" s="83"/>
      <c r="O242" s="83"/>
      <c r="P242" s="83"/>
      <c r="Q242" s="83"/>
      <c r="R242" s="115"/>
      <c r="S242" s="115"/>
    </row>
    <row r="243" spans="1:19">
      <c r="A243" s="27"/>
      <c r="B243" s="83"/>
      <c r="C243" s="83"/>
      <c r="D243" s="83"/>
      <c r="E243" s="83"/>
      <c r="F243" s="83"/>
      <c r="G243" s="83"/>
      <c r="H243" s="83"/>
      <c r="I243" s="83"/>
      <c r="J243" s="83"/>
      <c r="K243" s="83"/>
      <c r="L243" s="83"/>
      <c r="M243" s="83"/>
      <c r="N243" s="83"/>
      <c r="O243" s="83"/>
      <c r="P243" s="83"/>
      <c r="Q243" s="83"/>
      <c r="R243" s="115"/>
      <c r="S243" s="115"/>
    </row>
    <row r="244" spans="1:19">
      <c r="A244" s="27"/>
      <c r="B244" s="83"/>
      <c r="C244" s="83"/>
      <c r="D244" s="83"/>
      <c r="E244" s="83"/>
      <c r="F244" s="83"/>
      <c r="G244" s="83"/>
      <c r="H244" s="83"/>
      <c r="I244" s="83"/>
      <c r="J244" s="83"/>
      <c r="K244" s="83"/>
      <c r="L244" s="83"/>
      <c r="M244" s="83"/>
      <c r="N244" s="83"/>
      <c r="O244" s="83"/>
      <c r="P244" s="83"/>
      <c r="Q244" s="83"/>
      <c r="R244" s="115"/>
      <c r="S244" s="115"/>
    </row>
    <row r="245" spans="1:19">
      <c r="A245" s="27"/>
      <c r="B245" s="83"/>
      <c r="C245" s="83"/>
      <c r="D245" s="83"/>
      <c r="E245" s="83"/>
      <c r="F245" s="83"/>
      <c r="G245" s="83"/>
      <c r="H245" s="83"/>
      <c r="I245" s="83"/>
      <c r="J245" s="83"/>
      <c r="K245" s="83"/>
      <c r="L245" s="83"/>
      <c r="M245" s="83"/>
      <c r="N245" s="83"/>
      <c r="O245" s="83"/>
      <c r="P245" s="83"/>
      <c r="Q245" s="83"/>
      <c r="R245" s="115"/>
      <c r="S245" s="115"/>
    </row>
    <row r="246" spans="1:19">
      <c r="A246" s="27"/>
      <c r="B246" s="83"/>
      <c r="C246" s="83"/>
      <c r="D246" s="83"/>
      <c r="E246" s="83"/>
      <c r="F246" s="83"/>
      <c r="G246" s="83"/>
      <c r="H246" s="83"/>
      <c r="I246" s="83"/>
      <c r="J246" s="83"/>
      <c r="K246" s="83"/>
      <c r="L246" s="83"/>
      <c r="M246" s="83"/>
      <c r="N246" s="83"/>
      <c r="O246" s="83"/>
      <c r="P246" s="83"/>
      <c r="Q246" s="83"/>
      <c r="R246" s="115"/>
      <c r="S246" s="115"/>
    </row>
    <row r="247" spans="1:19">
      <c r="A247" s="99"/>
      <c r="B247" s="119"/>
      <c r="C247" s="119"/>
      <c r="D247" s="119"/>
      <c r="E247" s="119"/>
      <c r="F247" s="119"/>
      <c r="G247" s="119"/>
      <c r="H247" s="119"/>
      <c r="I247" s="119"/>
      <c r="J247" s="119"/>
      <c r="K247" s="119"/>
      <c r="L247" s="119"/>
      <c r="M247" s="119"/>
      <c r="N247" s="119"/>
      <c r="O247" s="119"/>
      <c r="P247" s="119"/>
      <c r="Q247" s="119"/>
      <c r="R247" s="120"/>
      <c r="S247" s="120"/>
    </row>
    <row r="248" spans="1:19">
      <c r="A248" s="27"/>
      <c r="B248" s="83"/>
      <c r="C248" s="83"/>
      <c r="D248" s="83"/>
      <c r="E248" s="83"/>
      <c r="F248" s="83"/>
      <c r="G248" s="83"/>
      <c r="H248" s="83"/>
      <c r="I248" s="83"/>
      <c r="J248" s="83"/>
      <c r="K248" s="83"/>
      <c r="L248" s="83"/>
      <c r="M248" s="83"/>
      <c r="N248" s="83"/>
      <c r="O248" s="83"/>
      <c r="P248" s="83"/>
      <c r="Q248" s="83"/>
      <c r="R248" s="115"/>
      <c r="S248" s="115"/>
    </row>
    <row r="249" spans="1:19">
      <c r="A249" s="27"/>
      <c r="B249" s="83"/>
      <c r="C249" s="83"/>
      <c r="D249" s="83"/>
      <c r="E249" s="83"/>
      <c r="F249" s="83"/>
      <c r="G249" s="83"/>
      <c r="H249" s="83"/>
      <c r="I249" s="83"/>
      <c r="J249" s="83"/>
      <c r="K249" s="83"/>
      <c r="L249" s="83"/>
      <c r="M249" s="83"/>
      <c r="N249" s="83"/>
      <c r="O249" s="83"/>
      <c r="P249" s="83"/>
      <c r="Q249" s="83"/>
      <c r="R249" s="115"/>
      <c r="S249" s="115"/>
    </row>
    <row r="250" spans="1:19">
      <c r="A250" s="27"/>
      <c r="B250" s="83"/>
      <c r="C250" s="83"/>
      <c r="D250" s="83"/>
      <c r="E250" s="83"/>
      <c r="F250" s="83"/>
      <c r="G250" s="83"/>
      <c r="H250" s="83"/>
      <c r="I250" s="83"/>
      <c r="J250" s="83"/>
      <c r="K250" s="83"/>
      <c r="L250" s="83"/>
      <c r="M250" s="83"/>
      <c r="N250" s="83"/>
      <c r="O250" s="83"/>
      <c r="P250" s="83"/>
      <c r="Q250" s="83"/>
      <c r="R250" s="115"/>
      <c r="S250" s="115"/>
    </row>
    <row r="251" spans="1:19">
      <c r="A251" s="27"/>
      <c r="B251" s="83"/>
      <c r="C251" s="83"/>
      <c r="D251" s="83"/>
      <c r="E251" s="83"/>
      <c r="F251" s="83"/>
      <c r="G251" s="83"/>
      <c r="H251" s="83"/>
      <c r="I251" s="83"/>
      <c r="J251" s="83"/>
      <c r="K251" s="83"/>
      <c r="L251" s="83"/>
      <c r="M251" s="83"/>
      <c r="N251" s="83"/>
      <c r="O251" s="83"/>
      <c r="P251" s="83"/>
      <c r="Q251" s="83"/>
      <c r="R251" s="115"/>
      <c r="S251" s="115"/>
    </row>
    <row r="252" spans="1:19">
      <c r="A252" s="104"/>
      <c r="B252" s="83"/>
      <c r="C252" s="83"/>
      <c r="D252" s="83"/>
      <c r="E252" s="83"/>
      <c r="F252" s="83"/>
      <c r="G252" s="83"/>
      <c r="H252" s="83"/>
      <c r="I252" s="83"/>
      <c r="J252" s="83"/>
      <c r="K252" s="83"/>
      <c r="L252" s="83"/>
      <c r="M252" s="83"/>
      <c r="N252" s="83"/>
      <c r="O252" s="83"/>
      <c r="P252" s="83"/>
      <c r="Q252" s="83"/>
      <c r="R252" s="115"/>
      <c r="S252" s="115"/>
    </row>
    <row r="253" spans="1:19">
      <c r="A253" s="104"/>
      <c r="B253" s="83"/>
      <c r="C253" s="83"/>
      <c r="D253" s="83"/>
      <c r="E253" s="83"/>
      <c r="F253" s="83"/>
      <c r="G253" s="83"/>
      <c r="H253" s="83"/>
      <c r="I253" s="83"/>
      <c r="J253" s="83"/>
      <c r="K253" s="83"/>
      <c r="L253" s="83"/>
      <c r="M253" s="83"/>
      <c r="N253" s="83"/>
      <c r="O253" s="83"/>
      <c r="P253" s="83"/>
      <c r="Q253" s="83"/>
      <c r="R253" s="115"/>
      <c r="S253" s="115"/>
    </row>
    <row r="254" spans="1:19">
      <c r="A254" s="104"/>
      <c r="B254" s="83"/>
      <c r="C254" s="83"/>
      <c r="D254" s="83"/>
      <c r="E254" s="83"/>
      <c r="F254" s="83"/>
      <c r="G254" s="83"/>
      <c r="H254" s="83"/>
      <c r="I254" s="83"/>
      <c r="J254" s="83"/>
      <c r="K254" s="83"/>
      <c r="L254" s="83"/>
      <c r="M254" s="83"/>
      <c r="N254" s="83"/>
      <c r="O254" s="83"/>
      <c r="P254" s="83"/>
      <c r="Q254" s="83"/>
      <c r="R254" s="115"/>
      <c r="S254" s="115"/>
    </row>
    <row r="255" spans="1:19">
      <c r="A255" s="104"/>
      <c r="B255" s="83"/>
      <c r="C255" s="83"/>
      <c r="D255" s="83"/>
      <c r="E255" s="83"/>
      <c r="F255" s="83"/>
      <c r="G255" s="83"/>
      <c r="H255" s="83"/>
      <c r="I255" s="83"/>
      <c r="J255" s="83"/>
      <c r="K255" s="83"/>
      <c r="L255" s="83"/>
      <c r="M255" s="83"/>
      <c r="N255" s="83"/>
      <c r="O255" s="83"/>
      <c r="P255" s="83"/>
      <c r="Q255" s="83"/>
      <c r="R255" s="115"/>
      <c r="S255" s="115"/>
    </row>
    <row r="256" spans="1:19">
      <c r="A256" s="104"/>
      <c r="B256" s="83"/>
      <c r="C256" s="83"/>
      <c r="D256" s="83"/>
      <c r="E256" s="83"/>
      <c r="F256" s="83"/>
      <c r="G256" s="83"/>
      <c r="H256" s="83"/>
      <c r="I256" s="83"/>
      <c r="J256" s="83"/>
      <c r="K256" s="83"/>
      <c r="L256" s="83"/>
      <c r="M256" s="83"/>
      <c r="N256" s="83"/>
      <c r="O256" s="83"/>
      <c r="P256" s="83"/>
      <c r="Q256" s="83"/>
      <c r="R256" s="115"/>
      <c r="S256" s="115"/>
    </row>
    <row r="257" spans="1:19">
      <c r="A257" s="104"/>
      <c r="B257" s="83"/>
      <c r="C257" s="83"/>
      <c r="D257" s="83"/>
      <c r="E257" s="83"/>
      <c r="F257" s="83"/>
      <c r="G257" s="83"/>
      <c r="H257" s="83"/>
      <c r="I257" s="83"/>
      <c r="J257" s="83"/>
      <c r="K257" s="83"/>
      <c r="L257" s="83"/>
      <c r="M257" s="83"/>
      <c r="N257" s="83"/>
      <c r="O257" s="83"/>
      <c r="P257" s="83"/>
      <c r="Q257" s="83"/>
      <c r="R257" s="115"/>
      <c r="S257" s="115"/>
    </row>
    <row r="258" spans="1:19">
      <c r="A258" s="104"/>
      <c r="B258" s="83"/>
      <c r="C258" s="83"/>
      <c r="D258" s="83"/>
      <c r="E258" s="83"/>
      <c r="F258" s="83"/>
      <c r="G258" s="83"/>
      <c r="H258" s="83"/>
      <c r="I258" s="83"/>
      <c r="J258" s="83"/>
      <c r="K258" s="83"/>
      <c r="L258" s="83"/>
      <c r="M258" s="83"/>
      <c r="N258" s="83"/>
      <c r="O258" s="83"/>
      <c r="P258" s="83"/>
      <c r="Q258" s="83"/>
      <c r="R258" s="115"/>
      <c r="S258" s="115"/>
    </row>
    <row r="259" spans="1:19">
      <c r="A259" s="99"/>
      <c r="B259" s="119"/>
      <c r="C259" s="119"/>
      <c r="D259" s="119"/>
      <c r="E259" s="119"/>
      <c r="F259" s="119"/>
      <c r="G259" s="119"/>
      <c r="H259" s="119"/>
      <c r="I259" s="119"/>
      <c r="J259" s="119"/>
      <c r="K259" s="119"/>
      <c r="L259" s="119"/>
      <c r="M259" s="119"/>
      <c r="N259" s="119"/>
      <c r="O259" s="119"/>
      <c r="P259" s="119"/>
      <c r="Q259" s="119"/>
      <c r="R259" s="120"/>
      <c r="S259" s="120"/>
    </row>
    <row r="260" spans="1:19">
      <c r="A260" s="104"/>
      <c r="B260" s="83"/>
      <c r="C260" s="83"/>
      <c r="D260" s="83"/>
      <c r="E260" s="83"/>
      <c r="F260" s="83"/>
      <c r="G260" s="83"/>
      <c r="H260" s="83"/>
      <c r="I260" s="83"/>
      <c r="J260" s="83"/>
      <c r="K260" s="83"/>
      <c r="L260" s="83"/>
      <c r="M260" s="83"/>
      <c r="N260" s="83"/>
      <c r="O260" s="83"/>
      <c r="P260" s="83"/>
      <c r="Q260" s="83"/>
      <c r="R260" s="115"/>
      <c r="S260" s="115"/>
    </row>
    <row r="261" spans="1:19">
      <c r="A261" s="104"/>
      <c r="B261" s="83"/>
      <c r="C261" s="83"/>
      <c r="D261" s="83"/>
      <c r="E261" s="83"/>
      <c r="F261" s="83"/>
      <c r="G261" s="83"/>
      <c r="H261" s="83"/>
      <c r="I261" s="83"/>
      <c r="J261" s="83"/>
      <c r="K261" s="83"/>
      <c r="L261" s="83"/>
      <c r="M261" s="83"/>
      <c r="N261" s="83"/>
      <c r="O261" s="83"/>
      <c r="P261" s="83"/>
      <c r="Q261" s="83"/>
      <c r="R261" s="115"/>
      <c r="S261" s="115"/>
    </row>
    <row r="262" spans="1:19">
      <c r="A262" s="104"/>
      <c r="B262" s="83"/>
      <c r="C262" s="83"/>
      <c r="D262" s="83"/>
      <c r="E262" s="83"/>
      <c r="F262" s="83"/>
      <c r="G262" s="83"/>
      <c r="H262" s="83"/>
      <c r="I262" s="83"/>
      <c r="J262" s="83"/>
      <c r="K262" s="83"/>
      <c r="L262" s="83"/>
      <c r="M262" s="83"/>
      <c r="N262" s="83"/>
      <c r="O262" s="83"/>
      <c r="P262" s="83"/>
      <c r="Q262" s="83"/>
      <c r="R262" s="115"/>
      <c r="S262" s="115"/>
    </row>
    <row r="263" spans="1:19">
      <c r="A263" s="104"/>
      <c r="B263" s="83"/>
      <c r="C263" s="83"/>
      <c r="D263" s="83"/>
      <c r="E263" s="83"/>
      <c r="F263" s="83"/>
      <c r="G263" s="83"/>
      <c r="H263" s="83"/>
      <c r="I263" s="83"/>
      <c r="J263" s="83"/>
      <c r="K263" s="83"/>
      <c r="L263" s="83"/>
      <c r="M263" s="83"/>
      <c r="N263" s="83"/>
      <c r="O263" s="83"/>
      <c r="P263" s="83"/>
      <c r="Q263" s="83"/>
      <c r="R263" s="115"/>
      <c r="S263" s="115"/>
    </row>
    <row r="264" spans="1:19">
      <c r="A264" s="104"/>
      <c r="B264" s="83"/>
      <c r="C264" s="83"/>
      <c r="D264" s="83"/>
      <c r="E264" s="83"/>
      <c r="F264" s="83"/>
      <c r="G264" s="83"/>
      <c r="H264" s="83"/>
      <c r="I264" s="83"/>
      <c r="J264" s="83"/>
      <c r="K264" s="83"/>
      <c r="L264" s="83"/>
      <c r="M264" s="83"/>
      <c r="N264" s="83"/>
      <c r="O264" s="83"/>
      <c r="P264" s="83"/>
      <c r="Q264" s="83"/>
      <c r="R264" s="115"/>
      <c r="S264" s="115"/>
    </row>
    <row r="265" spans="1:19">
      <c r="A265" s="104"/>
      <c r="B265" s="83"/>
      <c r="C265" s="83"/>
      <c r="D265" s="83"/>
      <c r="E265" s="83"/>
      <c r="F265" s="83"/>
      <c r="G265" s="83"/>
      <c r="H265" s="83"/>
      <c r="I265" s="83"/>
      <c r="J265" s="83"/>
      <c r="K265" s="83"/>
      <c r="L265" s="83"/>
      <c r="M265" s="83"/>
      <c r="N265" s="83"/>
      <c r="O265" s="83"/>
      <c r="P265" s="83"/>
      <c r="Q265" s="83"/>
      <c r="R265" s="115"/>
      <c r="S265" s="115"/>
    </row>
    <row r="266" spans="1:19">
      <c r="A266" s="104"/>
      <c r="B266" s="83"/>
      <c r="C266" s="83"/>
      <c r="D266" s="83"/>
      <c r="E266" s="83"/>
      <c r="F266" s="83"/>
      <c r="G266" s="83"/>
      <c r="H266" s="83"/>
      <c r="I266" s="83"/>
      <c r="J266" s="83"/>
      <c r="K266" s="83"/>
      <c r="L266" s="83"/>
      <c r="M266" s="83"/>
      <c r="N266" s="83"/>
      <c r="O266" s="83"/>
      <c r="P266" s="83"/>
      <c r="Q266" s="83"/>
      <c r="R266" s="115"/>
      <c r="S266" s="115"/>
    </row>
    <row r="267" spans="1:19">
      <c r="A267" s="104"/>
      <c r="B267" s="83"/>
      <c r="C267" s="83"/>
      <c r="D267" s="83"/>
      <c r="E267" s="83"/>
      <c r="F267" s="83"/>
      <c r="G267" s="83"/>
      <c r="H267" s="83"/>
      <c r="I267" s="83"/>
      <c r="J267" s="83"/>
      <c r="K267" s="83"/>
      <c r="L267" s="83"/>
      <c r="M267" s="83"/>
      <c r="N267" s="83"/>
      <c r="O267" s="83"/>
      <c r="P267" s="83"/>
      <c r="Q267" s="83"/>
      <c r="R267" s="115"/>
      <c r="S267" s="115"/>
    </row>
    <row r="268" spans="1:19">
      <c r="A268" s="104"/>
      <c r="B268" s="83"/>
      <c r="C268" s="83"/>
      <c r="D268" s="83"/>
      <c r="E268" s="83"/>
      <c r="F268" s="83"/>
      <c r="G268" s="83"/>
      <c r="H268" s="83"/>
      <c r="I268" s="83"/>
      <c r="J268" s="83"/>
      <c r="K268" s="83"/>
      <c r="L268" s="83"/>
      <c r="M268" s="83"/>
      <c r="N268" s="83"/>
      <c r="O268" s="83"/>
      <c r="P268" s="83"/>
      <c r="Q268" s="83"/>
      <c r="R268" s="115"/>
      <c r="S268" s="115"/>
    </row>
    <row r="269" spans="1:19">
      <c r="A269" s="104"/>
      <c r="B269" s="83"/>
      <c r="C269" s="83"/>
      <c r="D269" s="83"/>
      <c r="E269" s="83"/>
      <c r="F269" s="83"/>
      <c r="G269" s="83"/>
      <c r="H269" s="83"/>
      <c r="I269" s="83"/>
      <c r="J269" s="83"/>
      <c r="K269" s="83"/>
      <c r="L269" s="83"/>
      <c r="M269" s="83"/>
      <c r="N269" s="83"/>
      <c r="O269" s="83"/>
      <c r="P269" s="83"/>
      <c r="Q269" s="83"/>
      <c r="R269" s="115"/>
      <c r="S269" s="115"/>
    </row>
    <row r="270" spans="1:19">
      <c r="A270" s="104"/>
      <c r="B270" s="83"/>
      <c r="C270" s="83"/>
      <c r="D270" s="83"/>
      <c r="E270" s="83"/>
      <c r="F270" s="83"/>
      <c r="G270" s="83"/>
      <c r="H270" s="83"/>
      <c r="I270" s="83"/>
      <c r="J270" s="83"/>
      <c r="K270" s="83"/>
      <c r="L270" s="83"/>
      <c r="M270" s="83"/>
      <c r="N270" s="83"/>
      <c r="O270" s="83"/>
      <c r="P270" s="83"/>
      <c r="Q270" s="83"/>
      <c r="R270" s="115"/>
      <c r="S270" s="115"/>
    </row>
    <row r="271" spans="1:19">
      <c r="A271" s="99"/>
      <c r="B271" s="119"/>
      <c r="C271" s="119"/>
      <c r="D271" s="119"/>
      <c r="E271" s="119"/>
      <c r="F271" s="119"/>
      <c r="G271" s="119"/>
      <c r="H271" s="119"/>
      <c r="I271" s="119"/>
      <c r="J271" s="119"/>
      <c r="K271" s="119"/>
      <c r="L271" s="119"/>
      <c r="M271" s="119"/>
      <c r="N271" s="119"/>
      <c r="O271" s="119"/>
      <c r="P271" s="119"/>
      <c r="Q271" s="119"/>
      <c r="R271" s="120"/>
      <c r="S271" s="120"/>
    </row>
    <row r="272" spans="1:19">
      <c r="A272" s="104"/>
      <c r="B272" s="83"/>
      <c r="C272" s="83"/>
      <c r="D272" s="83"/>
      <c r="E272" s="83"/>
      <c r="F272" s="83"/>
      <c r="G272" s="83"/>
      <c r="H272" s="83"/>
      <c r="I272" s="83"/>
      <c r="J272" s="83"/>
      <c r="K272" s="83"/>
      <c r="L272" s="83"/>
      <c r="M272" s="83"/>
      <c r="N272" s="83"/>
      <c r="O272" s="83"/>
      <c r="P272" s="83"/>
      <c r="Q272" s="83"/>
      <c r="R272" s="115"/>
      <c r="S272" s="115"/>
    </row>
    <row r="273" spans="1:19">
      <c r="A273" s="99"/>
      <c r="B273" s="83"/>
      <c r="C273" s="83"/>
      <c r="D273" s="83"/>
      <c r="E273" s="83"/>
      <c r="F273" s="83"/>
      <c r="G273" s="83"/>
      <c r="H273" s="83"/>
      <c r="I273" s="83"/>
      <c r="J273" s="83"/>
      <c r="K273" s="83"/>
      <c r="L273" s="83"/>
      <c r="M273" s="83"/>
      <c r="N273" s="83"/>
      <c r="O273" s="83"/>
      <c r="P273" s="83"/>
      <c r="Q273" s="83"/>
      <c r="R273" s="115"/>
      <c r="S273" s="115"/>
    </row>
    <row r="274" spans="1:19">
      <c r="A274" s="32"/>
      <c r="B274" s="83"/>
      <c r="C274" s="121"/>
      <c r="D274" s="121"/>
      <c r="E274" s="121"/>
      <c r="F274" s="121"/>
      <c r="G274" s="121"/>
      <c r="H274" s="121"/>
      <c r="I274" s="121"/>
      <c r="J274" s="121"/>
      <c r="K274" s="121"/>
      <c r="L274" s="121"/>
      <c r="M274" s="121"/>
      <c r="N274" s="121"/>
      <c r="O274" s="121"/>
      <c r="P274" s="121"/>
      <c r="Q274" s="121"/>
      <c r="R274" s="121"/>
      <c r="S274" s="122"/>
    </row>
    <row r="275" spans="1:19">
      <c r="A275" s="32"/>
      <c r="B275" s="83"/>
      <c r="C275" s="121"/>
      <c r="D275" s="121"/>
      <c r="E275" s="121"/>
      <c r="F275" s="121"/>
      <c r="G275" s="121"/>
      <c r="H275" s="121"/>
      <c r="I275" s="121"/>
      <c r="J275" s="121"/>
      <c r="K275" s="121"/>
      <c r="L275" s="121"/>
      <c r="M275" s="121"/>
      <c r="N275" s="121"/>
      <c r="O275" s="121"/>
      <c r="P275" s="121"/>
      <c r="Q275" s="121"/>
      <c r="R275" s="121"/>
      <c r="S275" s="122"/>
    </row>
    <row r="276" spans="1:19">
      <c r="A276" s="32"/>
      <c r="B276" s="83"/>
      <c r="C276" s="121"/>
      <c r="D276" s="121"/>
      <c r="E276" s="121"/>
      <c r="F276" s="121"/>
      <c r="G276" s="121"/>
      <c r="H276" s="121"/>
      <c r="I276" s="121"/>
      <c r="J276" s="121"/>
      <c r="K276" s="121"/>
      <c r="L276" s="121"/>
      <c r="M276" s="121"/>
      <c r="N276" s="121"/>
      <c r="O276" s="121"/>
      <c r="P276" s="121"/>
      <c r="Q276" s="121"/>
      <c r="R276" s="121"/>
      <c r="S276" s="122"/>
    </row>
    <row r="277" spans="1:19">
      <c r="A277" s="32"/>
      <c r="B277" s="83"/>
      <c r="C277" s="121"/>
      <c r="D277" s="121"/>
      <c r="E277" s="121"/>
      <c r="F277" s="121"/>
      <c r="G277" s="121"/>
      <c r="H277" s="121"/>
      <c r="I277" s="121"/>
      <c r="J277" s="121"/>
      <c r="K277" s="121"/>
      <c r="L277" s="121"/>
      <c r="M277" s="121"/>
      <c r="N277" s="121"/>
      <c r="O277" s="121"/>
      <c r="P277" s="121"/>
      <c r="Q277" s="121"/>
      <c r="R277" s="121"/>
      <c r="S277" s="122"/>
    </row>
    <row r="278" spans="1:19">
      <c r="A278" s="32"/>
      <c r="B278" s="83"/>
      <c r="C278" s="121"/>
      <c r="D278" s="121"/>
      <c r="E278" s="121"/>
      <c r="F278" s="121"/>
      <c r="G278" s="121"/>
      <c r="H278" s="121"/>
      <c r="I278" s="121"/>
      <c r="J278" s="121"/>
      <c r="K278" s="121"/>
      <c r="L278" s="121"/>
      <c r="M278" s="121"/>
      <c r="N278" s="121"/>
      <c r="O278" s="121"/>
      <c r="P278" s="121"/>
      <c r="Q278" s="121"/>
      <c r="R278" s="121"/>
      <c r="S278" s="122"/>
    </row>
    <row r="279" spans="1:19">
      <c r="A279" s="32"/>
      <c r="B279" s="83"/>
      <c r="C279" s="121"/>
      <c r="D279" s="121"/>
      <c r="E279" s="121"/>
      <c r="F279" s="121"/>
      <c r="G279" s="121"/>
      <c r="H279" s="121"/>
      <c r="I279" s="121"/>
      <c r="J279" s="121"/>
      <c r="K279" s="121"/>
      <c r="L279" s="121"/>
      <c r="M279" s="121"/>
      <c r="N279" s="121"/>
      <c r="O279" s="121"/>
      <c r="P279" s="121"/>
      <c r="Q279" s="121"/>
      <c r="R279" s="121"/>
      <c r="S279" s="122"/>
    </row>
    <row r="280" spans="1:19">
      <c r="A280" s="32"/>
      <c r="B280" s="83"/>
      <c r="C280" s="121"/>
      <c r="D280" s="121"/>
      <c r="E280" s="121"/>
      <c r="F280" s="121"/>
      <c r="G280" s="121"/>
      <c r="H280" s="121"/>
      <c r="I280" s="121"/>
      <c r="J280" s="121"/>
      <c r="K280" s="121"/>
      <c r="L280" s="121"/>
      <c r="M280" s="121"/>
      <c r="N280" s="121"/>
      <c r="O280" s="121"/>
      <c r="P280" s="121"/>
      <c r="Q280" s="121"/>
      <c r="R280" s="121"/>
      <c r="S280" s="122"/>
    </row>
    <row r="281" spans="1:19">
      <c r="A281" s="32"/>
      <c r="B281" s="83"/>
      <c r="C281" s="121"/>
      <c r="D281" s="121"/>
      <c r="E281" s="121"/>
      <c r="F281" s="121"/>
      <c r="G281" s="121"/>
      <c r="H281" s="121"/>
      <c r="I281" s="121"/>
      <c r="J281" s="121"/>
      <c r="K281" s="121"/>
      <c r="L281" s="121"/>
      <c r="M281" s="121"/>
      <c r="N281" s="121"/>
      <c r="O281" s="121"/>
      <c r="P281" s="121"/>
      <c r="Q281" s="121"/>
      <c r="R281" s="121"/>
      <c r="S281" s="122"/>
    </row>
    <row r="282" spans="1:19">
      <c r="A282" s="32"/>
      <c r="B282" s="83"/>
      <c r="C282" s="121"/>
      <c r="D282" s="121"/>
      <c r="E282" s="121"/>
      <c r="F282" s="121"/>
      <c r="G282" s="121"/>
      <c r="H282" s="121"/>
      <c r="I282" s="121"/>
      <c r="J282" s="121"/>
      <c r="K282" s="121"/>
      <c r="L282" s="121"/>
      <c r="M282" s="121"/>
      <c r="N282" s="121"/>
      <c r="O282" s="121"/>
      <c r="P282" s="121"/>
      <c r="Q282" s="121"/>
      <c r="R282" s="121"/>
      <c r="S282" s="122"/>
    </row>
    <row r="283" spans="1:19">
      <c r="A283" s="32"/>
      <c r="B283" s="83"/>
      <c r="C283" s="121"/>
      <c r="D283" s="121"/>
      <c r="E283" s="121"/>
      <c r="F283" s="121"/>
      <c r="G283" s="121"/>
      <c r="H283" s="121"/>
      <c r="I283" s="121"/>
      <c r="J283" s="121"/>
      <c r="K283" s="121"/>
      <c r="L283" s="121"/>
      <c r="M283" s="121"/>
      <c r="N283" s="121"/>
      <c r="O283" s="121"/>
      <c r="P283" s="121"/>
      <c r="Q283" s="121"/>
      <c r="R283" s="121"/>
      <c r="S283" s="122"/>
    </row>
    <row r="284" spans="1:19">
      <c r="A284" s="32"/>
      <c r="B284" s="83"/>
      <c r="C284" s="121"/>
      <c r="D284" s="121"/>
      <c r="E284" s="121"/>
      <c r="F284" s="121"/>
      <c r="G284" s="121"/>
      <c r="H284" s="121"/>
      <c r="I284" s="121"/>
      <c r="J284" s="121"/>
      <c r="K284" s="121"/>
      <c r="L284" s="121"/>
      <c r="M284" s="121"/>
      <c r="N284" s="121"/>
      <c r="O284" s="121"/>
      <c r="P284" s="121"/>
      <c r="Q284" s="121"/>
      <c r="R284" s="121"/>
      <c r="S284" s="122"/>
    </row>
    <row r="285" spans="1:19">
      <c r="A285" s="32"/>
      <c r="B285" s="83"/>
      <c r="C285" s="121"/>
      <c r="D285" s="121"/>
      <c r="E285" s="121"/>
      <c r="F285" s="121"/>
      <c r="G285" s="121"/>
      <c r="H285" s="121"/>
      <c r="I285" s="121"/>
      <c r="J285" s="121"/>
      <c r="K285" s="121"/>
      <c r="L285" s="121"/>
      <c r="M285" s="121"/>
      <c r="N285" s="121"/>
      <c r="O285" s="121"/>
      <c r="P285" s="121"/>
      <c r="Q285" s="121"/>
      <c r="R285" s="121"/>
      <c r="S285" s="122"/>
    </row>
    <row r="286" spans="1:19">
      <c r="A286" s="32"/>
      <c r="B286" s="83"/>
      <c r="C286" s="121"/>
      <c r="D286" s="121"/>
      <c r="E286" s="121"/>
      <c r="F286" s="121"/>
      <c r="G286" s="121"/>
      <c r="H286" s="121"/>
      <c r="I286" s="121"/>
      <c r="J286" s="121"/>
      <c r="K286" s="121"/>
      <c r="L286" s="121"/>
      <c r="M286" s="121"/>
      <c r="N286" s="121"/>
      <c r="O286" s="121"/>
      <c r="P286" s="121"/>
      <c r="Q286" s="121"/>
      <c r="R286" s="121"/>
      <c r="S286" s="122"/>
    </row>
    <row r="287" spans="1:19">
      <c r="A287" s="32"/>
      <c r="B287" s="83"/>
      <c r="C287" s="121"/>
      <c r="D287" s="121"/>
      <c r="E287" s="121"/>
      <c r="F287" s="121"/>
      <c r="G287" s="121"/>
      <c r="H287" s="121"/>
      <c r="I287" s="121"/>
      <c r="J287" s="121"/>
      <c r="K287" s="121"/>
      <c r="L287" s="121"/>
      <c r="M287" s="121"/>
      <c r="N287" s="121"/>
      <c r="O287" s="121"/>
      <c r="P287" s="121"/>
      <c r="Q287" s="121"/>
      <c r="R287" s="121"/>
      <c r="S287" s="122"/>
    </row>
    <row r="288" spans="1:19">
      <c r="A288" s="32"/>
      <c r="B288" s="83"/>
      <c r="C288" s="121"/>
      <c r="D288" s="121"/>
      <c r="E288" s="121"/>
      <c r="F288" s="121"/>
      <c r="G288" s="121"/>
      <c r="H288" s="121"/>
      <c r="I288" s="121"/>
      <c r="J288" s="121"/>
      <c r="K288" s="121"/>
      <c r="L288" s="121"/>
      <c r="M288" s="121"/>
      <c r="N288" s="121"/>
      <c r="O288" s="121"/>
      <c r="P288" s="121"/>
      <c r="Q288" s="121"/>
      <c r="R288" s="121"/>
      <c r="S288" s="122"/>
    </row>
    <row r="289" spans="1:19">
      <c r="A289" s="32"/>
      <c r="B289" s="83"/>
      <c r="C289" s="121"/>
      <c r="D289" s="121"/>
      <c r="E289" s="121"/>
      <c r="F289" s="121"/>
      <c r="G289" s="121"/>
      <c r="H289" s="121"/>
      <c r="I289" s="121"/>
      <c r="J289" s="121"/>
      <c r="K289" s="121"/>
      <c r="L289" s="121"/>
      <c r="M289" s="121"/>
      <c r="N289" s="121"/>
      <c r="O289" s="121"/>
      <c r="P289" s="121"/>
      <c r="Q289" s="121"/>
      <c r="R289" s="121"/>
      <c r="S289" s="122"/>
    </row>
    <row r="290" spans="1:19">
      <c r="A290" s="32"/>
      <c r="B290" s="83"/>
      <c r="C290" s="121"/>
      <c r="D290" s="121"/>
      <c r="E290" s="121"/>
      <c r="F290" s="121"/>
      <c r="G290" s="121"/>
      <c r="H290" s="121"/>
      <c r="I290" s="121"/>
      <c r="J290" s="121"/>
      <c r="K290" s="121"/>
      <c r="L290" s="121"/>
      <c r="M290" s="121"/>
      <c r="N290" s="121"/>
      <c r="O290" s="121"/>
      <c r="P290" s="121"/>
      <c r="Q290" s="121"/>
      <c r="R290" s="121"/>
      <c r="S290" s="122"/>
    </row>
    <row r="291" spans="1:19">
      <c r="A291" s="32"/>
      <c r="B291" s="83"/>
      <c r="C291" s="121"/>
      <c r="D291" s="121"/>
      <c r="E291" s="121"/>
      <c r="F291" s="121"/>
      <c r="G291" s="121"/>
      <c r="H291" s="121"/>
      <c r="I291" s="121"/>
      <c r="J291" s="121"/>
      <c r="K291" s="121"/>
      <c r="L291" s="121"/>
      <c r="M291" s="121"/>
      <c r="N291" s="121"/>
      <c r="O291" s="121"/>
      <c r="P291" s="121"/>
      <c r="Q291" s="121"/>
      <c r="R291" s="121"/>
      <c r="S291" s="122"/>
    </row>
    <row r="292" spans="1:19">
      <c r="A292" s="32"/>
      <c r="B292" s="83"/>
      <c r="C292" s="121"/>
      <c r="D292" s="121"/>
      <c r="E292" s="121"/>
      <c r="F292" s="121"/>
      <c r="G292" s="121"/>
      <c r="H292" s="121"/>
      <c r="I292" s="121"/>
      <c r="J292" s="121"/>
      <c r="K292" s="121"/>
      <c r="L292" s="121"/>
      <c r="M292" s="121"/>
      <c r="N292" s="121"/>
      <c r="O292" s="121"/>
      <c r="P292" s="121"/>
      <c r="Q292" s="121"/>
      <c r="R292" s="121"/>
      <c r="S292" s="122"/>
    </row>
    <row r="293" spans="1:19">
      <c r="A293" s="32"/>
      <c r="B293" s="83"/>
      <c r="C293" s="121"/>
      <c r="D293" s="121"/>
      <c r="E293" s="121"/>
      <c r="F293" s="121"/>
      <c r="G293" s="121"/>
      <c r="H293" s="121"/>
      <c r="I293" s="121"/>
      <c r="J293" s="121"/>
      <c r="K293" s="121"/>
      <c r="L293" s="121"/>
      <c r="M293" s="121"/>
      <c r="N293" s="121"/>
      <c r="O293" s="121"/>
      <c r="P293" s="121"/>
      <c r="Q293" s="121"/>
      <c r="R293" s="121"/>
      <c r="S293" s="122"/>
    </row>
    <row r="294" spans="1:19">
      <c r="A294" s="32"/>
      <c r="B294" s="83"/>
      <c r="C294" s="121"/>
      <c r="D294" s="121"/>
      <c r="E294" s="121"/>
      <c r="F294" s="121"/>
      <c r="G294" s="121"/>
      <c r="H294" s="121"/>
      <c r="I294" s="121"/>
      <c r="J294" s="121"/>
      <c r="K294" s="121"/>
      <c r="L294" s="121"/>
      <c r="M294" s="121"/>
      <c r="N294" s="121"/>
      <c r="O294" s="121"/>
      <c r="P294" s="121"/>
      <c r="Q294" s="121"/>
      <c r="R294" s="121"/>
      <c r="S294" s="122"/>
    </row>
    <row r="295" spans="1:19">
      <c r="A295" s="32"/>
      <c r="B295" s="83"/>
      <c r="C295" s="121"/>
      <c r="D295" s="121"/>
      <c r="E295" s="121"/>
      <c r="F295" s="121"/>
      <c r="G295" s="121"/>
      <c r="H295" s="121"/>
      <c r="I295" s="121"/>
      <c r="J295" s="121"/>
      <c r="K295" s="121"/>
      <c r="L295" s="121"/>
      <c r="M295" s="121"/>
      <c r="N295" s="121"/>
      <c r="O295" s="121"/>
      <c r="P295" s="121"/>
      <c r="Q295" s="121"/>
      <c r="R295" s="121"/>
      <c r="S295" s="122"/>
    </row>
    <row r="296" spans="1:19">
      <c r="A296" s="32"/>
      <c r="B296" s="83"/>
      <c r="C296" s="121"/>
      <c r="D296" s="121"/>
      <c r="E296" s="121"/>
      <c r="F296" s="121"/>
      <c r="G296" s="121"/>
      <c r="H296" s="121"/>
      <c r="I296" s="121"/>
      <c r="J296" s="121"/>
      <c r="K296" s="121"/>
      <c r="L296" s="121"/>
      <c r="M296" s="121"/>
      <c r="N296" s="121"/>
      <c r="O296" s="121"/>
      <c r="P296" s="121"/>
      <c r="Q296" s="121"/>
      <c r="R296" s="121"/>
      <c r="S296" s="122"/>
    </row>
    <row r="297" spans="1:19">
      <c r="A297" s="32"/>
      <c r="B297" s="83"/>
      <c r="C297" s="121"/>
      <c r="D297" s="121"/>
      <c r="E297" s="121"/>
      <c r="F297" s="121"/>
      <c r="G297" s="121"/>
      <c r="H297" s="121"/>
      <c r="I297" s="121"/>
      <c r="J297" s="121"/>
      <c r="K297" s="121"/>
      <c r="L297" s="121"/>
      <c r="M297" s="121"/>
      <c r="N297" s="121"/>
      <c r="O297" s="121"/>
      <c r="P297" s="121"/>
      <c r="Q297" s="121"/>
      <c r="R297" s="121"/>
      <c r="S297" s="122"/>
    </row>
    <row r="298" spans="1:19">
      <c r="A298" s="32"/>
      <c r="B298" s="83"/>
      <c r="C298" s="121"/>
      <c r="D298" s="121"/>
      <c r="E298" s="121"/>
      <c r="F298" s="121"/>
      <c r="G298" s="121"/>
      <c r="H298" s="121"/>
      <c r="I298" s="121"/>
      <c r="J298" s="121"/>
      <c r="K298" s="121"/>
      <c r="L298" s="121"/>
      <c r="M298" s="121"/>
      <c r="N298" s="121"/>
      <c r="O298" s="121"/>
      <c r="P298" s="121"/>
      <c r="Q298" s="121"/>
      <c r="R298" s="121"/>
      <c r="S298" s="122"/>
    </row>
    <row r="299" spans="1:19">
      <c r="A299" s="32"/>
      <c r="B299" s="83"/>
      <c r="C299" s="121"/>
      <c r="D299" s="121"/>
      <c r="E299" s="121"/>
      <c r="F299" s="121"/>
      <c r="G299" s="121"/>
      <c r="H299" s="121"/>
      <c r="I299" s="121"/>
      <c r="J299" s="121"/>
      <c r="K299" s="121"/>
      <c r="L299" s="121"/>
      <c r="M299" s="121"/>
      <c r="N299" s="121"/>
      <c r="O299" s="121"/>
      <c r="P299" s="121"/>
      <c r="Q299" s="121"/>
      <c r="R299" s="121"/>
      <c r="S299" s="122"/>
    </row>
    <row r="300" spans="1:19">
      <c r="A300" s="32"/>
      <c r="B300" s="83"/>
      <c r="C300" s="121"/>
      <c r="D300" s="121"/>
      <c r="E300" s="121"/>
      <c r="F300" s="121"/>
      <c r="G300" s="121"/>
      <c r="H300" s="121"/>
      <c r="I300" s="121"/>
      <c r="J300" s="121"/>
      <c r="K300" s="121"/>
      <c r="L300" s="121"/>
      <c r="M300" s="121"/>
      <c r="N300" s="121"/>
      <c r="O300" s="121"/>
      <c r="P300" s="121"/>
      <c r="Q300" s="121"/>
      <c r="R300" s="121"/>
      <c r="S300" s="122"/>
    </row>
    <row r="301" spans="1:19">
      <c r="A301" s="32"/>
      <c r="B301" s="83"/>
      <c r="C301" s="121"/>
      <c r="D301" s="121"/>
      <c r="E301" s="121"/>
      <c r="F301" s="121"/>
      <c r="G301" s="121"/>
      <c r="H301" s="121"/>
      <c r="I301" s="121"/>
      <c r="J301" s="121"/>
      <c r="K301" s="121"/>
      <c r="L301" s="121"/>
      <c r="M301" s="121"/>
      <c r="N301" s="121"/>
      <c r="O301" s="121"/>
      <c r="P301" s="121"/>
      <c r="Q301" s="121"/>
      <c r="R301" s="121"/>
      <c r="S301" s="122"/>
    </row>
    <row r="302" spans="1:19">
      <c r="A302" s="32"/>
      <c r="B302" s="83"/>
      <c r="C302" s="121"/>
      <c r="D302" s="121"/>
      <c r="E302" s="121"/>
      <c r="F302" s="121"/>
      <c r="G302" s="121"/>
      <c r="H302" s="121"/>
      <c r="I302" s="121"/>
      <c r="J302" s="121"/>
      <c r="K302" s="121"/>
      <c r="L302" s="121"/>
      <c r="M302" s="121"/>
      <c r="N302" s="121"/>
      <c r="O302" s="121"/>
      <c r="P302" s="121"/>
      <c r="Q302" s="121"/>
      <c r="R302" s="121"/>
      <c r="S302" s="122"/>
    </row>
    <row r="303" spans="1:19">
      <c r="A303" s="32"/>
      <c r="B303" s="83"/>
      <c r="C303" s="121"/>
      <c r="D303" s="121"/>
      <c r="E303" s="121"/>
      <c r="F303" s="121"/>
      <c r="G303" s="121"/>
      <c r="H303" s="121"/>
      <c r="I303" s="121"/>
      <c r="J303" s="121"/>
      <c r="K303" s="121"/>
      <c r="L303" s="121"/>
      <c r="M303" s="121"/>
      <c r="N303" s="121"/>
      <c r="O303" s="121"/>
      <c r="P303" s="121"/>
      <c r="Q303" s="121"/>
      <c r="R303" s="121"/>
      <c r="S303" s="122"/>
    </row>
    <row r="304" spans="1:19">
      <c r="A304" s="32"/>
      <c r="B304" s="83"/>
      <c r="C304" s="121"/>
      <c r="D304" s="121"/>
      <c r="E304" s="121"/>
      <c r="F304" s="121"/>
      <c r="G304" s="121"/>
      <c r="H304" s="121"/>
      <c r="I304" s="121"/>
      <c r="J304" s="121"/>
      <c r="K304" s="121"/>
      <c r="L304" s="121"/>
      <c r="M304" s="121"/>
      <c r="N304" s="121"/>
      <c r="O304" s="121"/>
      <c r="P304" s="121"/>
      <c r="Q304" s="121"/>
      <c r="R304" s="121"/>
      <c r="S304" s="122"/>
    </row>
    <row r="305" spans="1:19">
      <c r="A305" s="32"/>
      <c r="B305" s="83"/>
      <c r="C305" s="121"/>
      <c r="D305" s="121"/>
      <c r="E305" s="121"/>
      <c r="F305" s="121"/>
      <c r="G305" s="121"/>
      <c r="H305" s="121"/>
      <c r="I305" s="121"/>
      <c r="J305" s="121"/>
      <c r="K305" s="121"/>
      <c r="L305" s="121"/>
      <c r="M305" s="121"/>
      <c r="N305" s="121"/>
      <c r="O305" s="121"/>
      <c r="P305" s="121"/>
      <c r="Q305" s="121"/>
      <c r="R305" s="121"/>
      <c r="S305" s="122"/>
    </row>
    <row r="306" spans="1:19">
      <c r="A306" s="32"/>
      <c r="B306" s="83"/>
      <c r="C306" s="121"/>
      <c r="D306" s="121"/>
      <c r="E306" s="121"/>
      <c r="F306" s="121"/>
      <c r="G306" s="121"/>
      <c r="H306" s="121"/>
      <c r="I306" s="121"/>
      <c r="J306" s="121"/>
      <c r="K306" s="121"/>
      <c r="L306" s="121"/>
      <c r="M306" s="121"/>
      <c r="N306" s="121"/>
      <c r="O306" s="121"/>
      <c r="P306" s="121"/>
      <c r="Q306" s="121"/>
      <c r="R306" s="121"/>
      <c r="S306" s="122"/>
    </row>
    <row r="307" spans="1:19">
      <c r="A307" s="32"/>
      <c r="B307" s="83"/>
      <c r="C307" s="121"/>
      <c r="D307" s="121"/>
      <c r="E307" s="121"/>
      <c r="F307" s="121"/>
      <c r="G307" s="121"/>
      <c r="H307" s="121"/>
      <c r="I307" s="121"/>
      <c r="J307" s="121"/>
      <c r="K307" s="121"/>
      <c r="L307" s="121"/>
      <c r="M307" s="121"/>
      <c r="N307" s="121"/>
      <c r="O307" s="121"/>
      <c r="P307" s="121"/>
      <c r="Q307" s="121"/>
      <c r="R307" s="121"/>
      <c r="S307" s="122"/>
    </row>
    <row r="308" spans="1:19">
      <c r="A308" s="32"/>
      <c r="B308" s="83"/>
      <c r="C308" s="121"/>
      <c r="D308" s="121"/>
      <c r="E308" s="121"/>
      <c r="F308" s="121"/>
      <c r="G308" s="121"/>
      <c r="H308" s="121"/>
      <c r="I308" s="121"/>
      <c r="J308" s="121"/>
      <c r="K308" s="121"/>
      <c r="L308" s="121"/>
      <c r="M308" s="121"/>
      <c r="N308" s="121"/>
      <c r="O308" s="121"/>
      <c r="P308" s="121"/>
      <c r="Q308" s="121"/>
      <c r="R308" s="121"/>
      <c r="S308" s="122"/>
    </row>
    <row r="309" spans="1:19">
      <c r="A309" s="32"/>
      <c r="B309" s="83"/>
      <c r="C309" s="121"/>
      <c r="D309" s="121"/>
      <c r="E309" s="121"/>
      <c r="F309" s="121"/>
      <c r="G309" s="121"/>
      <c r="H309" s="121"/>
      <c r="I309" s="121"/>
      <c r="J309" s="121"/>
      <c r="K309" s="121"/>
      <c r="L309" s="121"/>
      <c r="M309" s="121"/>
      <c r="N309" s="121"/>
      <c r="O309" s="121"/>
      <c r="P309" s="121"/>
      <c r="Q309" s="121"/>
      <c r="R309" s="121"/>
      <c r="S309" s="122"/>
    </row>
    <row r="310" spans="1:19">
      <c r="A310" s="32"/>
      <c r="B310" s="83"/>
      <c r="C310" s="121"/>
      <c r="D310" s="121"/>
      <c r="E310" s="121"/>
      <c r="F310" s="121"/>
      <c r="G310" s="121"/>
      <c r="H310" s="121"/>
      <c r="I310" s="121"/>
      <c r="J310" s="121"/>
      <c r="K310" s="121"/>
      <c r="L310" s="121"/>
      <c r="M310" s="121"/>
      <c r="N310" s="121"/>
      <c r="O310" s="121"/>
      <c r="P310" s="121"/>
      <c r="Q310" s="121"/>
      <c r="R310" s="121"/>
      <c r="S310" s="122"/>
    </row>
    <row r="311" spans="1:19">
      <c r="A311" s="32"/>
      <c r="B311" s="83"/>
      <c r="C311" s="121"/>
      <c r="D311" s="121"/>
      <c r="E311" s="121"/>
      <c r="F311" s="121"/>
      <c r="G311" s="121"/>
      <c r="H311" s="121"/>
      <c r="I311" s="121"/>
      <c r="J311" s="121"/>
      <c r="K311" s="121"/>
      <c r="L311" s="121"/>
      <c r="M311" s="121"/>
      <c r="N311" s="121"/>
      <c r="O311" s="121"/>
      <c r="P311" s="121"/>
      <c r="Q311" s="121"/>
      <c r="R311" s="121"/>
      <c r="S311" s="122"/>
    </row>
    <row r="312" spans="1:19">
      <c r="A312" s="32"/>
      <c r="B312" s="83"/>
      <c r="C312" s="121"/>
      <c r="D312" s="121"/>
      <c r="E312" s="121"/>
      <c r="F312" s="121"/>
      <c r="G312" s="121"/>
      <c r="H312" s="121"/>
      <c r="I312" s="121"/>
      <c r="J312" s="121"/>
      <c r="K312" s="121"/>
      <c r="L312" s="121"/>
      <c r="M312" s="121"/>
      <c r="N312" s="121"/>
      <c r="O312" s="121"/>
      <c r="P312" s="121"/>
      <c r="Q312" s="121"/>
      <c r="R312" s="121"/>
      <c r="S312" s="122"/>
    </row>
    <row r="313" spans="1:19">
      <c r="A313" s="32"/>
      <c r="B313" s="83"/>
      <c r="C313" s="121"/>
      <c r="D313" s="121"/>
      <c r="E313" s="121"/>
      <c r="F313" s="121"/>
      <c r="G313" s="121"/>
      <c r="H313" s="121"/>
      <c r="I313" s="121"/>
      <c r="J313" s="121"/>
      <c r="K313" s="121"/>
      <c r="L313" s="121"/>
      <c r="M313" s="121"/>
      <c r="N313" s="121"/>
      <c r="O313" s="121"/>
      <c r="P313" s="121"/>
      <c r="Q313" s="121"/>
      <c r="R313" s="121"/>
      <c r="S313" s="122"/>
    </row>
    <row r="314" spans="1:19">
      <c r="A314" s="32"/>
      <c r="B314" s="83"/>
      <c r="C314" s="121"/>
      <c r="D314" s="121"/>
      <c r="E314" s="121"/>
      <c r="F314" s="121"/>
      <c r="G314" s="121"/>
      <c r="H314" s="121"/>
      <c r="I314" s="121"/>
      <c r="J314" s="121"/>
      <c r="K314" s="121"/>
      <c r="L314" s="121"/>
      <c r="M314" s="121"/>
      <c r="N314" s="121"/>
      <c r="O314" s="121"/>
      <c r="P314" s="121"/>
      <c r="Q314" s="121"/>
      <c r="R314" s="121"/>
      <c r="S314" s="122"/>
    </row>
    <row r="315" spans="1:19">
      <c r="A315" s="32"/>
      <c r="B315" s="83"/>
      <c r="C315" s="121"/>
      <c r="D315" s="121"/>
      <c r="E315" s="121"/>
      <c r="F315" s="121"/>
      <c r="G315" s="121"/>
      <c r="H315" s="121"/>
      <c r="I315" s="121"/>
      <c r="J315" s="121"/>
      <c r="K315" s="121"/>
      <c r="L315" s="121"/>
      <c r="M315" s="121"/>
      <c r="N315" s="121"/>
      <c r="O315" s="121"/>
      <c r="P315" s="121"/>
      <c r="Q315" s="121"/>
      <c r="R315" s="121"/>
      <c r="S315" s="122"/>
    </row>
    <row r="316" spans="1:19">
      <c r="A316" s="32"/>
      <c r="B316" s="83"/>
      <c r="C316" s="121"/>
      <c r="D316" s="121"/>
      <c r="E316" s="121"/>
      <c r="F316" s="121"/>
      <c r="G316" s="121"/>
      <c r="H316" s="121"/>
      <c r="I316" s="121"/>
      <c r="J316" s="121"/>
      <c r="K316" s="121"/>
      <c r="L316" s="121"/>
      <c r="M316" s="121"/>
      <c r="N316" s="121"/>
      <c r="O316" s="121"/>
      <c r="P316" s="121"/>
      <c r="Q316" s="121"/>
      <c r="R316" s="121"/>
      <c r="S316" s="122"/>
    </row>
    <row r="317" spans="1:19">
      <c r="A317" s="32"/>
      <c r="B317" s="83"/>
      <c r="C317" s="121"/>
      <c r="D317" s="121"/>
      <c r="E317" s="121"/>
      <c r="F317" s="121"/>
      <c r="G317" s="121"/>
      <c r="H317" s="121"/>
      <c r="I317" s="121"/>
      <c r="J317" s="121"/>
      <c r="K317" s="121"/>
      <c r="L317" s="121"/>
      <c r="M317" s="121"/>
      <c r="N317" s="121"/>
      <c r="O317" s="121"/>
      <c r="P317" s="121"/>
      <c r="Q317" s="121"/>
      <c r="R317" s="121"/>
      <c r="S317" s="122"/>
    </row>
    <row r="318" spans="1:19">
      <c r="A318" s="32"/>
      <c r="B318" s="83"/>
      <c r="C318" s="121"/>
      <c r="D318" s="121"/>
      <c r="E318" s="121"/>
      <c r="F318" s="121"/>
      <c r="G318" s="121"/>
      <c r="H318" s="121"/>
      <c r="I318" s="121"/>
      <c r="J318" s="121"/>
      <c r="K318" s="121"/>
      <c r="L318" s="121"/>
      <c r="M318" s="121"/>
      <c r="N318" s="121"/>
      <c r="O318" s="121"/>
      <c r="P318" s="121"/>
      <c r="Q318" s="121"/>
      <c r="R318" s="121"/>
      <c r="S318" s="122"/>
    </row>
    <row r="319" spans="1:19">
      <c r="A319" s="32"/>
      <c r="B319" s="83"/>
      <c r="C319" s="121"/>
      <c r="D319" s="121"/>
      <c r="E319" s="121"/>
      <c r="F319" s="121"/>
      <c r="G319" s="121"/>
      <c r="H319" s="121"/>
      <c r="I319" s="121"/>
      <c r="J319" s="121"/>
      <c r="K319" s="121"/>
      <c r="L319" s="121"/>
      <c r="M319" s="121"/>
      <c r="N319" s="121"/>
      <c r="O319" s="121"/>
      <c r="P319" s="121"/>
      <c r="Q319" s="121"/>
      <c r="R319" s="121"/>
      <c r="S319" s="122"/>
    </row>
    <row r="320" spans="1:19">
      <c r="A320" s="32"/>
      <c r="B320" s="83"/>
      <c r="C320" s="121"/>
      <c r="D320" s="121"/>
      <c r="E320" s="121"/>
      <c r="F320" s="121"/>
      <c r="G320" s="121"/>
      <c r="H320" s="121"/>
      <c r="I320" s="121"/>
      <c r="J320" s="121"/>
      <c r="K320" s="121"/>
      <c r="L320" s="121"/>
      <c r="M320" s="121"/>
      <c r="N320" s="121"/>
      <c r="O320" s="121"/>
      <c r="P320" s="121"/>
      <c r="Q320" s="121"/>
      <c r="R320" s="121"/>
      <c r="S320" s="122"/>
    </row>
    <row r="321" spans="1:19">
      <c r="A321" s="32"/>
      <c r="B321" s="83"/>
      <c r="C321" s="121"/>
      <c r="D321" s="121"/>
      <c r="E321" s="121"/>
      <c r="F321" s="121"/>
      <c r="G321" s="121"/>
      <c r="H321" s="121"/>
      <c r="I321" s="121"/>
      <c r="J321" s="121"/>
      <c r="K321" s="121"/>
      <c r="L321" s="121"/>
      <c r="M321" s="121"/>
      <c r="N321" s="121"/>
      <c r="O321" s="121"/>
      <c r="P321" s="121"/>
      <c r="Q321" s="121"/>
      <c r="R321" s="121"/>
      <c r="S321" s="122"/>
    </row>
    <row r="322" spans="1:19">
      <c r="A322" s="32"/>
      <c r="B322" s="83"/>
      <c r="C322" s="121"/>
      <c r="D322" s="121"/>
      <c r="E322" s="121"/>
      <c r="F322" s="121"/>
      <c r="G322" s="121"/>
      <c r="H322" s="121"/>
      <c r="I322" s="121"/>
      <c r="J322" s="121"/>
      <c r="K322" s="121"/>
      <c r="L322" s="121"/>
      <c r="M322" s="121"/>
      <c r="N322" s="121"/>
      <c r="O322" s="121"/>
      <c r="P322" s="121"/>
      <c r="Q322" s="121"/>
      <c r="R322" s="121"/>
      <c r="S322" s="122"/>
    </row>
    <row r="323" spans="1:19">
      <c r="A323" s="32"/>
      <c r="B323" s="83"/>
      <c r="C323" s="121"/>
      <c r="D323" s="121"/>
      <c r="E323" s="121"/>
      <c r="F323" s="121"/>
      <c r="G323" s="121"/>
      <c r="H323" s="121"/>
      <c r="I323" s="121"/>
      <c r="J323" s="121"/>
      <c r="K323" s="121"/>
      <c r="L323" s="121"/>
      <c r="M323" s="121"/>
      <c r="N323" s="121"/>
      <c r="O323" s="121"/>
      <c r="P323" s="121"/>
      <c r="Q323" s="121"/>
      <c r="R323" s="121"/>
      <c r="S323" s="122"/>
    </row>
    <row r="324" spans="1:19">
      <c r="A324" s="32"/>
      <c r="B324" s="83"/>
      <c r="C324" s="121"/>
      <c r="D324" s="121"/>
      <c r="E324" s="121"/>
      <c r="F324" s="121"/>
      <c r="G324" s="121"/>
      <c r="H324" s="121"/>
      <c r="I324" s="121"/>
      <c r="J324" s="121"/>
      <c r="K324" s="121"/>
      <c r="L324" s="121"/>
      <c r="M324" s="121"/>
      <c r="N324" s="121"/>
      <c r="O324" s="121"/>
      <c r="P324" s="121"/>
      <c r="Q324" s="121"/>
      <c r="R324" s="121"/>
      <c r="S324" s="122"/>
    </row>
    <row r="325" spans="1:19">
      <c r="A325" s="32"/>
      <c r="B325" s="83"/>
      <c r="C325" s="121"/>
      <c r="D325" s="121"/>
      <c r="E325" s="121"/>
      <c r="F325" s="121"/>
      <c r="G325" s="121"/>
      <c r="H325" s="121"/>
      <c r="I325" s="121"/>
      <c r="J325" s="121"/>
      <c r="K325" s="121"/>
      <c r="L325" s="121"/>
      <c r="M325" s="121"/>
      <c r="N325" s="121"/>
      <c r="O325" s="121"/>
      <c r="P325" s="121"/>
      <c r="Q325" s="121"/>
      <c r="R325" s="121"/>
      <c r="S325" s="122"/>
    </row>
    <row r="326" spans="1:19">
      <c r="A326" s="32"/>
      <c r="B326" s="83"/>
      <c r="C326" s="121"/>
      <c r="D326" s="121"/>
      <c r="E326" s="121"/>
      <c r="F326" s="121"/>
      <c r="G326" s="121"/>
      <c r="H326" s="121"/>
      <c r="I326" s="121"/>
      <c r="J326" s="121"/>
      <c r="K326" s="121"/>
      <c r="L326" s="121"/>
      <c r="M326" s="121"/>
      <c r="N326" s="121"/>
      <c r="O326" s="121"/>
      <c r="P326" s="121"/>
      <c r="Q326" s="121"/>
      <c r="R326" s="121"/>
      <c r="S326" s="122"/>
    </row>
    <row r="327" spans="1:19">
      <c r="A327" s="32"/>
      <c r="B327" s="83"/>
      <c r="C327" s="121"/>
      <c r="D327" s="121"/>
      <c r="E327" s="121"/>
      <c r="F327" s="121"/>
      <c r="G327" s="121"/>
      <c r="H327" s="121"/>
      <c r="I327" s="121"/>
      <c r="J327" s="121"/>
      <c r="K327" s="121"/>
      <c r="L327" s="121"/>
      <c r="M327" s="121"/>
      <c r="N327" s="121"/>
      <c r="O327" s="121"/>
      <c r="P327" s="121"/>
      <c r="Q327" s="121"/>
      <c r="R327" s="121"/>
      <c r="S327" s="122"/>
    </row>
    <row r="328" spans="1:19">
      <c r="A328" s="32"/>
      <c r="B328" s="83"/>
      <c r="C328" s="121"/>
      <c r="D328" s="121"/>
      <c r="E328" s="121"/>
      <c r="F328" s="121"/>
      <c r="G328" s="121"/>
      <c r="H328" s="121"/>
      <c r="I328" s="121"/>
      <c r="J328" s="121"/>
      <c r="K328" s="121"/>
      <c r="L328" s="121"/>
      <c r="M328" s="121"/>
      <c r="N328" s="121"/>
      <c r="O328" s="121"/>
      <c r="P328" s="121"/>
      <c r="Q328" s="121"/>
      <c r="R328" s="121"/>
      <c r="S328" s="122"/>
    </row>
    <row r="329" spans="1:19">
      <c r="A329" s="32"/>
      <c r="B329" s="83"/>
      <c r="C329" s="121"/>
      <c r="D329" s="121"/>
      <c r="E329" s="121"/>
      <c r="F329" s="121"/>
      <c r="G329" s="121"/>
      <c r="H329" s="121"/>
      <c r="I329" s="121"/>
      <c r="J329" s="121"/>
      <c r="K329" s="121"/>
      <c r="L329" s="121"/>
      <c r="M329" s="121"/>
      <c r="N329" s="121"/>
      <c r="O329" s="121"/>
      <c r="P329" s="121"/>
      <c r="Q329" s="121"/>
      <c r="R329" s="121"/>
      <c r="S329" s="122"/>
    </row>
    <row r="330" spans="1:19">
      <c r="A330" s="32"/>
      <c r="B330" s="83"/>
      <c r="C330" s="121"/>
      <c r="D330" s="121"/>
      <c r="E330" s="121"/>
      <c r="F330" s="121"/>
      <c r="G330" s="121"/>
      <c r="H330" s="121"/>
      <c r="I330" s="121"/>
      <c r="J330" s="121"/>
      <c r="K330" s="121"/>
      <c r="L330" s="121"/>
      <c r="M330" s="121"/>
      <c r="N330" s="121"/>
      <c r="O330" s="121"/>
      <c r="P330" s="121"/>
      <c r="Q330" s="121"/>
      <c r="R330" s="121"/>
      <c r="S330" s="122"/>
    </row>
    <row r="331" spans="1:19">
      <c r="A331" s="32"/>
      <c r="B331" s="83"/>
      <c r="C331" s="121"/>
      <c r="D331" s="121"/>
      <c r="E331" s="121"/>
      <c r="F331" s="121"/>
      <c r="G331" s="121"/>
      <c r="H331" s="121"/>
      <c r="I331" s="121"/>
      <c r="J331" s="121"/>
      <c r="K331" s="121"/>
      <c r="L331" s="121"/>
      <c r="M331" s="121"/>
      <c r="N331" s="121"/>
      <c r="O331" s="121"/>
      <c r="P331" s="121"/>
      <c r="Q331" s="121"/>
      <c r="R331" s="121"/>
      <c r="S331" s="122"/>
    </row>
    <row r="332" spans="1:19">
      <c r="A332" s="32"/>
      <c r="B332" s="83"/>
      <c r="C332" s="121"/>
      <c r="D332" s="121"/>
      <c r="E332" s="121"/>
      <c r="F332" s="121"/>
      <c r="G332" s="121"/>
      <c r="H332" s="121"/>
      <c r="I332" s="121"/>
      <c r="J332" s="121"/>
      <c r="K332" s="121"/>
      <c r="L332" s="121"/>
      <c r="M332" s="121"/>
      <c r="N332" s="121"/>
      <c r="O332" s="121"/>
      <c r="P332" s="121"/>
      <c r="Q332" s="121"/>
      <c r="R332" s="121"/>
      <c r="S332" s="122"/>
    </row>
    <row r="333" spans="1:19">
      <c r="A333" s="32"/>
      <c r="B333" s="83"/>
      <c r="C333" s="121"/>
      <c r="D333" s="121"/>
      <c r="E333" s="121"/>
      <c r="F333" s="121"/>
      <c r="G333" s="121"/>
      <c r="H333" s="121"/>
      <c r="I333" s="121"/>
      <c r="J333" s="121"/>
      <c r="K333" s="121"/>
      <c r="L333" s="121"/>
      <c r="M333" s="121"/>
      <c r="N333" s="121"/>
      <c r="O333" s="121"/>
      <c r="P333" s="121"/>
      <c r="Q333" s="121"/>
      <c r="R333" s="121"/>
      <c r="S333" s="122"/>
    </row>
    <row r="334" spans="1:19">
      <c r="A334" s="32"/>
      <c r="B334" s="83"/>
      <c r="C334" s="121"/>
      <c r="D334" s="121"/>
      <c r="E334" s="121"/>
      <c r="F334" s="121"/>
      <c r="G334" s="121"/>
      <c r="H334" s="121"/>
      <c r="I334" s="121"/>
      <c r="J334" s="121"/>
      <c r="K334" s="121"/>
      <c r="L334" s="121"/>
      <c r="M334" s="121"/>
      <c r="N334" s="121"/>
      <c r="O334" s="121"/>
      <c r="P334" s="121"/>
      <c r="Q334" s="121"/>
      <c r="R334" s="121"/>
      <c r="S334" s="122"/>
    </row>
    <row r="335" spans="1:19">
      <c r="A335" s="32"/>
      <c r="B335" s="83"/>
      <c r="C335" s="121"/>
      <c r="D335" s="121"/>
      <c r="E335" s="121"/>
      <c r="F335" s="121"/>
      <c r="G335" s="121"/>
      <c r="H335" s="121"/>
      <c r="I335" s="121"/>
      <c r="J335" s="121"/>
      <c r="K335" s="121"/>
      <c r="L335" s="121"/>
      <c r="M335" s="121"/>
      <c r="N335" s="121"/>
      <c r="O335" s="121"/>
      <c r="P335" s="121"/>
      <c r="Q335" s="121"/>
      <c r="R335" s="121"/>
      <c r="S335" s="122"/>
    </row>
    <row r="336" spans="1:19">
      <c r="A336" s="32"/>
      <c r="B336" s="83"/>
      <c r="C336" s="121"/>
      <c r="D336" s="121"/>
      <c r="E336" s="121"/>
      <c r="F336" s="121"/>
      <c r="G336" s="121"/>
      <c r="H336" s="121"/>
      <c r="I336" s="121"/>
      <c r="J336" s="121"/>
      <c r="K336" s="121"/>
      <c r="L336" s="121"/>
      <c r="M336" s="121"/>
      <c r="N336" s="121"/>
      <c r="O336" s="121"/>
      <c r="P336" s="121"/>
      <c r="Q336" s="121"/>
      <c r="R336" s="121"/>
      <c r="S336" s="122"/>
    </row>
    <row r="337" spans="1:19">
      <c r="A337" s="32"/>
      <c r="B337" s="83"/>
      <c r="C337" s="121"/>
      <c r="D337" s="121"/>
      <c r="E337" s="121"/>
      <c r="F337" s="121"/>
      <c r="G337" s="121"/>
      <c r="H337" s="121"/>
      <c r="I337" s="121"/>
      <c r="J337" s="121"/>
      <c r="K337" s="121"/>
      <c r="L337" s="121"/>
      <c r="M337" s="121"/>
      <c r="N337" s="121"/>
      <c r="O337" s="121"/>
      <c r="P337" s="121"/>
      <c r="Q337" s="121"/>
      <c r="R337" s="121"/>
      <c r="S337" s="122"/>
    </row>
    <row r="338" spans="1:19">
      <c r="A338" s="32"/>
      <c r="B338" s="83"/>
      <c r="C338" s="121"/>
      <c r="D338" s="121"/>
      <c r="E338" s="121"/>
      <c r="F338" s="121"/>
      <c r="G338" s="121"/>
      <c r="H338" s="121"/>
      <c r="I338" s="121"/>
      <c r="J338" s="121"/>
      <c r="K338" s="121"/>
      <c r="L338" s="121"/>
      <c r="M338" s="121"/>
      <c r="N338" s="121"/>
      <c r="O338" s="121"/>
      <c r="P338" s="121"/>
      <c r="Q338" s="121"/>
      <c r="R338" s="121"/>
      <c r="S338" s="122"/>
    </row>
    <row r="339" spans="1:19">
      <c r="A339" s="32"/>
      <c r="B339" s="83"/>
      <c r="C339" s="121"/>
      <c r="D339" s="121"/>
      <c r="E339" s="121"/>
      <c r="F339" s="121"/>
      <c r="G339" s="121"/>
      <c r="H339" s="121"/>
      <c r="I339" s="121"/>
      <c r="J339" s="121"/>
      <c r="K339" s="121"/>
      <c r="L339" s="121"/>
      <c r="M339" s="121"/>
      <c r="N339" s="121"/>
      <c r="O339" s="121"/>
      <c r="P339" s="121"/>
      <c r="Q339" s="121"/>
      <c r="R339" s="121"/>
      <c r="S339" s="122"/>
    </row>
    <row r="340" spans="1:19">
      <c r="A340" s="32"/>
      <c r="B340" s="83"/>
      <c r="C340" s="121"/>
      <c r="D340" s="121"/>
      <c r="E340" s="121"/>
      <c r="F340" s="121"/>
      <c r="G340" s="121"/>
      <c r="H340" s="121"/>
      <c r="I340" s="121"/>
      <c r="J340" s="121"/>
      <c r="K340" s="121"/>
      <c r="L340" s="121"/>
      <c r="M340" s="121"/>
      <c r="N340" s="121"/>
      <c r="O340" s="121"/>
      <c r="P340" s="121"/>
      <c r="Q340" s="121"/>
      <c r="R340" s="121"/>
      <c r="S340" s="122"/>
    </row>
    <row r="341" spans="1:19">
      <c r="A341" s="32"/>
      <c r="B341" s="83"/>
      <c r="C341" s="121"/>
      <c r="D341" s="121"/>
      <c r="E341" s="121"/>
      <c r="F341" s="121"/>
      <c r="G341" s="121"/>
      <c r="H341" s="121"/>
      <c r="I341" s="121"/>
      <c r="J341" s="121"/>
      <c r="K341" s="121"/>
      <c r="L341" s="121"/>
      <c r="M341" s="121"/>
      <c r="N341" s="121"/>
      <c r="O341" s="121"/>
      <c r="P341" s="121"/>
      <c r="Q341" s="121"/>
      <c r="R341" s="121"/>
      <c r="S341" s="122"/>
    </row>
    <row r="342" spans="1:19">
      <c r="A342" s="32"/>
      <c r="B342" s="83"/>
      <c r="C342" s="121"/>
      <c r="D342" s="121"/>
      <c r="E342" s="121"/>
      <c r="F342" s="121"/>
      <c r="G342" s="121"/>
      <c r="H342" s="121"/>
      <c r="I342" s="121"/>
      <c r="J342" s="121"/>
      <c r="K342" s="121"/>
      <c r="L342" s="121"/>
      <c r="M342" s="121"/>
      <c r="N342" s="121"/>
      <c r="O342" s="121"/>
      <c r="P342" s="121"/>
      <c r="Q342" s="121"/>
      <c r="R342" s="121"/>
      <c r="S342" s="122"/>
    </row>
    <row r="343" spans="1:19">
      <c r="A343" s="32"/>
      <c r="B343" s="83"/>
      <c r="C343" s="121"/>
      <c r="D343" s="121"/>
      <c r="E343" s="121"/>
      <c r="F343" s="121"/>
      <c r="G343" s="121"/>
      <c r="H343" s="121"/>
      <c r="I343" s="121"/>
      <c r="J343" s="121"/>
      <c r="K343" s="121"/>
      <c r="L343" s="121"/>
      <c r="M343" s="121"/>
      <c r="N343" s="121"/>
      <c r="O343" s="121"/>
      <c r="P343" s="121"/>
      <c r="Q343" s="121"/>
      <c r="R343" s="121"/>
      <c r="S343" s="122"/>
    </row>
    <row r="344" spans="1:19">
      <c r="A344" s="32"/>
      <c r="B344" s="83"/>
      <c r="C344" s="121"/>
      <c r="D344" s="121"/>
      <c r="E344" s="121"/>
      <c r="F344" s="121"/>
      <c r="G344" s="121"/>
      <c r="H344" s="121"/>
      <c r="I344" s="121"/>
      <c r="J344" s="121"/>
      <c r="K344" s="121"/>
      <c r="L344" s="121"/>
      <c r="M344" s="121"/>
      <c r="N344" s="121"/>
      <c r="O344" s="121"/>
      <c r="P344" s="121"/>
      <c r="Q344" s="121"/>
      <c r="R344" s="121"/>
      <c r="S344" s="122"/>
    </row>
    <row r="345" spans="1:19">
      <c r="A345" s="32"/>
      <c r="B345" s="83"/>
      <c r="C345" s="121"/>
      <c r="D345" s="121"/>
      <c r="E345" s="121"/>
      <c r="F345" s="121"/>
      <c r="G345" s="121"/>
      <c r="H345" s="121"/>
      <c r="I345" s="121"/>
      <c r="J345" s="121"/>
      <c r="K345" s="121"/>
      <c r="L345" s="121"/>
      <c r="M345" s="121"/>
      <c r="N345" s="121"/>
      <c r="O345" s="121"/>
      <c r="P345" s="121"/>
      <c r="Q345" s="121"/>
      <c r="R345" s="121"/>
      <c r="S345" s="122"/>
    </row>
    <row r="346" spans="1:19">
      <c r="A346" s="32"/>
      <c r="B346" s="83"/>
      <c r="C346" s="121"/>
      <c r="D346" s="121"/>
      <c r="E346" s="121"/>
      <c r="F346" s="121"/>
      <c r="G346" s="121"/>
      <c r="H346" s="121"/>
      <c r="I346" s="121"/>
      <c r="J346" s="121"/>
      <c r="K346" s="121"/>
      <c r="L346" s="121"/>
      <c r="M346" s="121"/>
      <c r="N346" s="121"/>
      <c r="O346" s="121"/>
      <c r="P346" s="121"/>
      <c r="Q346" s="121"/>
      <c r="R346" s="121"/>
      <c r="S346" s="122"/>
    </row>
    <row r="347" spans="1:19">
      <c r="A347" s="32"/>
      <c r="B347" s="83"/>
      <c r="C347" s="121"/>
      <c r="D347" s="121"/>
      <c r="E347" s="121"/>
      <c r="F347" s="121"/>
      <c r="G347" s="121"/>
      <c r="H347" s="121"/>
      <c r="I347" s="121"/>
      <c r="J347" s="121"/>
      <c r="K347" s="121"/>
      <c r="L347" s="121"/>
      <c r="M347" s="121"/>
      <c r="N347" s="121"/>
      <c r="O347" s="121"/>
      <c r="P347" s="121"/>
      <c r="Q347" s="121"/>
      <c r="R347" s="121"/>
      <c r="S347" s="122"/>
    </row>
    <row r="348" spans="1:19">
      <c r="A348" s="32"/>
      <c r="B348" s="83"/>
      <c r="C348" s="121"/>
      <c r="D348" s="121"/>
      <c r="E348" s="121"/>
      <c r="F348" s="121"/>
      <c r="G348" s="121"/>
      <c r="H348" s="121"/>
      <c r="I348" s="121"/>
      <c r="J348" s="121"/>
      <c r="K348" s="121"/>
      <c r="L348" s="121"/>
      <c r="M348" s="121"/>
      <c r="N348" s="121"/>
      <c r="O348" s="121"/>
      <c r="P348" s="121"/>
      <c r="Q348" s="121"/>
      <c r="R348" s="121"/>
      <c r="S348" s="122"/>
    </row>
    <row r="349" spans="1:19">
      <c r="A349" s="32"/>
      <c r="B349" s="83"/>
      <c r="C349" s="121"/>
      <c r="D349" s="121"/>
      <c r="E349" s="121"/>
      <c r="F349" s="121"/>
      <c r="G349" s="121"/>
      <c r="H349" s="121"/>
      <c r="I349" s="121"/>
      <c r="J349" s="121"/>
      <c r="K349" s="121"/>
      <c r="L349" s="121"/>
      <c r="M349" s="121"/>
      <c r="N349" s="121"/>
      <c r="O349" s="121"/>
      <c r="P349" s="121"/>
      <c r="Q349" s="121"/>
      <c r="R349" s="121"/>
      <c r="S349" s="122"/>
    </row>
    <row r="350" spans="1:19">
      <c r="A350" s="32"/>
      <c r="B350" s="83"/>
      <c r="C350" s="121"/>
      <c r="D350" s="121"/>
      <c r="E350" s="121"/>
      <c r="F350" s="121"/>
      <c r="G350" s="121"/>
      <c r="H350" s="121"/>
      <c r="I350" s="121"/>
      <c r="J350" s="121"/>
      <c r="K350" s="121"/>
      <c r="L350" s="121"/>
      <c r="M350" s="121"/>
      <c r="N350" s="121"/>
      <c r="O350" s="121"/>
      <c r="P350" s="121"/>
      <c r="Q350" s="121"/>
      <c r="R350" s="121"/>
      <c r="S350" s="122"/>
    </row>
    <row r="351" spans="1:19">
      <c r="A351" s="32"/>
      <c r="B351" s="83"/>
      <c r="C351" s="121"/>
      <c r="D351" s="121"/>
      <c r="E351" s="121"/>
      <c r="F351" s="121"/>
      <c r="G351" s="121"/>
      <c r="H351" s="121"/>
      <c r="I351" s="121"/>
      <c r="J351" s="121"/>
      <c r="K351" s="121"/>
      <c r="L351" s="121"/>
      <c r="M351" s="121"/>
      <c r="N351" s="121"/>
      <c r="O351" s="121"/>
      <c r="P351" s="121"/>
      <c r="Q351" s="121"/>
      <c r="R351" s="121"/>
      <c r="S351" s="122"/>
    </row>
    <row r="352" spans="1:19">
      <c r="A352" s="32"/>
      <c r="B352" s="83"/>
      <c r="C352" s="121"/>
      <c r="D352" s="121"/>
      <c r="E352" s="121"/>
      <c r="F352" s="121"/>
      <c r="G352" s="121"/>
      <c r="H352" s="121"/>
      <c r="I352" s="121"/>
      <c r="J352" s="121"/>
      <c r="K352" s="121"/>
      <c r="L352" s="121"/>
      <c r="M352" s="121"/>
      <c r="N352" s="121"/>
      <c r="O352" s="121"/>
      <c r="P352" s="121"/>
      <c r="Q352" s="121"/>
      <c r="R352" s="121"/>
      <c r="S352" s="122"/>
    </row>
    <row r="353" spans="1:19">
      <c r="A353" s="32"/>
      <c r="B353" s="83"/>
      <c r="C353" s="121"/>
      <c r="D353" s="121"/>
      <c r="E353" s="121"/>
      <c r="F353" s="121"/>
      <c r="G353" s="121"/>
      <c r="H353" s="121"/>
      <c r="I353" s="121"/>
      <c r="J353" s="121"/>
      <c r="K353" s="121"/>
      <c r="L353" s="121"/>
      <c r="M353" s="121"/>
      <c r="N353" s="121"/>
      <c r="O353" s="121"/>
      <c r="P353" s="121"/>
      <c r="Q353" s="121"/>
      <c r="R353" s="121"/>
      <c r="S353" s="122"/>
    </row>
    <row r="354" spans="1:19">
      <c r="A354" s="32"/>
      <c r="B354" s="83"/>
      <c r="C354" s="121"/>
      <c r="D354" s="121"/>
      <c r="E354" s="121"/>
      <c r="F354" s="121"/>
      <c r="G354" s="121"/>
      <c r="H354" s="121"/>
      <c r="I354" s="121"/>
      <c r="J354" s="121"/>
      <c r="K354" s="121"/>
      <c r="L354" s="121"/>
      <c r="M354" s="121"/>
      <c r="N354" s="121"/>
      <c r="O354" s="121"/>
      <c r="P354" s="121"/>
      <c r="Q354" s="121"/>
      <c r="R354" s="121"/>
      <c r="S354" s="122"/>
    </row>
    <row r="355" spans="1:19">
      <c r="A355" s="32"/>
      <c r="B355" s="83"/>
      <c r="C355" s="121"/>
      <c r="D355" s="121"/>
      <c r="E355" s="121"/>
      <c r="F355" s="121"/>
      <c r="G355" s="121"/>
      <c r="H355" s="121"/>
      <c r="I355" s="121"/>
      <c r="J355" s="121"/>
      <c r="K355" s="121"/>
      <c r="L355" s="121"/>
      <c r="M355" s="121"/>
      <c r="N355" s="121"/>
      <c r="O355" s="121"/>
      <c r="P355" s="121"/>
      <c r="Q355" s="121"/>
      <c r="R355" s="121"/>
      <c r="S355" s="122"/>
    </row>
    <row r="356" spans="1:19">
      <c r="A356" s="55"/>
      <c r="B356" s="123"/>
      <c r="C356" s="123"/>
      <c r="D356" s="123"/>
      <c r="E356" s="123"/>
      <c r="F356" s="123"/>
      <c r="G356" s="123"/>
      <c r="H356" s="123"/>
      <c r="I356" s="123"/>
      <c r="J356" s="123"/>
      <c r="K356" s="123"/>
      <c r="L356" s="123"/>
      <c r="M356" s="123"/>
      <c r="N356" s="123"/>
      <c r="O356" s="123"/>
      <c r="P356" s="123"/>
      <c r="Q356" s="123"/>
      <c r="R356" s="123"/>
      <c r="S356" s="124"/>
    </row>
    <row r="357" spans="1:19">
      <c r="A357" s="55"/>
      <c r="B357" s="123"/>
      <c r="C357" s="123"/>
      <c r="D357" s="123"/>
      <c r="E357" s="123"/>
      <c r="F357" s="123"/>
      <c r="G357" s="123"/>
      <c r="H357" s="123"/>
      <c r="I357" s="123"/>
      <c r="J357" s="123"/>
      <c r="K357" s="123"/>
      <c r="L357" s="123"/>
      <c r="M357" s="123"/>
      <c r="N357" s="123"/>
      <c r="O357" s="123"/>
      <c r="P357" s="123"/>
      <c r="Q357" s="123"/>
      <c r="R357" s="123"/>
      <c r="S357" s="123"/>
    </row>
    <row r="358" spans="1:19">
      <c r="A358" s="55"/>
      <c r="B358" s="123"/>
      <c r="C358" s="123"/>
      <c r="D358" s="123"/>
      <c r="E358" s="123"/>
      <c r="F358" s="123"/>
      <c r="G358" s="123"/>
      <c r="H358" s="123"/>
      <c r="I358" s="123"/>
      <c r="J358" s="123"/>
      <c r="K358" s="123"/>
      <c r="L358" s="123"/>
      <c r="M358" s="123"/>
      <c r="N358" s="123"/>
      <c r="O358" s="123"/>
      <c r="P358" s="123"/>
      <c r="Q358" s="123"/>
      <c r="R358" s="123"/>
      <c r="S358" s="123"/>
    </row>
    <row r="359" spans="1:19">
      <c r="A359" s="55"/>
      <c r="B359" s="123"/>
      <c r="C359" s="123"/>
      <c r="D359" s="123"/>
      <c r="E359" s="123"/>
      <c r="F359" s="123"/>
      <c r="G359" s="123"/>
      <c r="H359" s="123"/>
      <c r="I359" s="123"/>
      <c r="J359" s="123"/>
      <c r="K359" s="123"/>
      <c r="L359" s="123"/>
      <c r="M359" s="123"/>
      <c r="N359" s="123"/>
      <c r="O359" s="123"/>
      <c r="P359" s="123"/>
      <c r="Q359" s="123"/>
      <c r="R359" s="123"/>
      <c r="S359" s="123"/>
    </row>
    <row r="360" spans="1:19">
      <c r="A360" s="55"/>
      <c r="B360" s="123"/>
      <c r="C360" s="123"/>
      <c r="D360" s="123"/>
      <c r="E360" s="123"/>
      <c r="F360" s="123"/>
      <c r="G360" s="123"/>
      <c r="H360" s="123"/>
      <c r="I360" s="123"/>
      <c r="J360" s="123"/>
      <c r="K360" s="123"/>
      <c r="L360" s="123"/>
      <c r="M360" s="123"/>
      <c r="N360" s="123"/>
      <c r="O360" s="123"/>
      <c r="P360" s="123"/>
      <c r="Q360" s="123"/>
      <c r="R360" s="123"/>
      <c r="S360" s="123"/>
    </row>
    <row r="361" spans="1:19">
      <c r="A361" s="55"/>
      <c r="B361" s="123"/>
      <c r="C361" s="123"/>
      <c r="D361" s="123"/>
      <c r="E361" s="123"/>
      <c r="F361" s="123"/>
      <c r="G361" s="123"/>
      <c r="H361" s="123"/>
      <c r="I361" s="123"/>
      <c r="J361" s="123"/>
      <c r="K361" s="123"/>
      <c r="L361" s="123"/>
      <c r="M361" s="123"/>
      <c r="N361" s="123"/>
      <c r="O361" s="123"/>
      <c r="P361" s="123"/>
      <c r="Q361" s="123"/>
      <c r="R361" s="123"/>
      <c r="S361" s="123"/>
    </row>
    <row r="362" spans="1:19">
      <c r="A362" s="55"/>
      <c r="B362" s="123"/>
      <c r="C362" s="123"/>
      <c r="D362" s="123"/>
      <c r="E362" s="123"/>
      <c r="F362" s="123"/>
      <c r="G362" s="123"/>
      <c r="H362" s="123"/>
      <c r="I362" s="123"/>
      <c r="J362" s="123"/>
      <c r="K362" s="123"/>
      <c r="L362" s="123"/>
      <c r="M362" s="123"/>
      <c r="N362" s="123"/>
      <c r="O362" s="123"/>
      <c r="P362" s="123"/>
      <c r="Q362" s="123"/>
      <c r="R362" s="123"/>
      <c r="S362" s="123"/>
    </row>
    <row r="363" spans="1:19">
      <c r="A363" s="55"/>
      <c r="B363" s="123"/>
      <c r="C363" s="123"/>
      <c r="D363" s="123"/>
      <c r="E363" s="123"/>
      <c r="F363" s="123"/>
      <c r="G363" s="123"/>
      <c r="H363" s="123"/>
      <c r="I363" s="123"/>
      <c r="J363" s="123"/>
      <c r="K363" s="123"/>
      <c r="L363" s="123"/>
      <c r="M363" s="123"/>
      <c r="N363" s="123"/>
      <c r="O363" s="123"/>
      <c r="P363" s="123"/>
      <c r="Q363" s="123"/>
      <c r="R363" s="123"/>
      <c r="S363" s="123"/>
    </row>
    <row r="364" spans="1:19">
      <c r="A364" s="55"/>
      <c r="B364" s="123"/>
      <c r="C364" s="123"/>
      <c r="D364" s="123"/>
      <c r="E364" s="123"/>
      <c r="F364" s="123"/>
      <c r="G364" s="123"/>
      <c r="H364" s="123"/>
      <c r="I364" s="123"/>
      <c r="J364" s="123"/>
      <c r="K364" s="123"/>
      <c r="L364" s="123"/>
      <c r="M364" s="123"/>
      <c r="N364" s="123"/>
      <c r="O364" s="123"/>
      <c r="P364" s="123"/>
      <c r="Q364" s="123"/>
      <c r="R364" s="123"/>
      <c r="S364" s="123"/>
    </row>
    <row r="365" spans="1:19">
      <c r="A365" s="55"/>
      <c r="B365" s="123"/>
      <c r="C365" s="123"/>
      <c r="D365" s="123"/>
      <c r="E365" s="123"/>
      <c r="F365" s="123"/>
      <c r="G365" s="123"/>
      <c r="H365" s="123"/>
      <c r="I365" s="123"/>
      <c r="J365" s="123"/>
      <c r="K365" s="123"/>
      <c r="L365" s="123"/>
      <c r="M365" s="123"/>
      <c r="N365" s="123"/>
      <c r="O365" s="123"/>
      <c r="P365" s="123"/>
      <c r="Q365" s="123"/>
      <c r="R365" s="123"/>
      <c r="S365" s="123"/>
    </row>
    <row r="366" spans="1:19">
      <c r="A366" s="55"/>
      <c r="B366" s="123"/>
      <c r="C366" s="123"/>
      <c r="D366" s="123"/>
      <c r="E366" s="123"/>
      <c r="F366" s="123"/>
      <c r="G366" s="123"/>
      <c r="H366" s="123"/>
      <c r="I366" s="123"/>
      <c r="J366" s="123"/>
      <c r="K366" s="123"/>
      <c r="L366" s="123"/>
      <c r="M366" s="123"/>
      <c r="N366" s="123"/>
      <c r="O366" s="123"/>
      <c r="P366" s="123"/>
      <c r="Q366" s="123"/>
      <c r="R366" s="123"/>
      <c r="S366" s="123"/>
    </row>
    <row r="367" spans="1:19">
      <c r="A367" s="55"/>
      <c r="B367" s="123"/>
      <c r="C367" s="123"/>
      <c r="D367" s="123"/>
      <c r="E367" s="123"/>
      <c r="F367" s="123"/>
      <c r="G367" s="123"/>
      <c r="H367" s="123"/>
      <c r="I367" s="123"/>
      <c r="J367" s="123"/>
      <c r="K367" s="123"/>
      <c r="L367" s="123"/>
      <c r="M367" s="123"/>
      <c r="N367" s="123"/>
      <c r="O367" s="123"/>
      <c r="P367" s="123"/>
      <c r="Q367" s="123"/>
      <c r="R367" s="123"/>
      <c r="S367" s="123"/>
    </row>
    <row r="368" spans="1:19">
      <c r="A368" s="55"/>
      <c r="B368" s="123"/>
      <c r="C368" s="123"/>
      <c r="D368" s="123"/>
      <c r="E368" s="123"/>
      <c r="F368" s="123"/>
      <c r="G368" s="123"/>
      <c r="H368" s="123"/>
      <c r="I368" s="123"/>
      <c r="J368" s="123"/>
      <c r="K368" s="123"/>
      <c r="L368" s="123"/>
      <c r="M368" s="123"/>
      <c r="N368" s="123"/>
      <c r="O368" s="123"/>
      <c r="P368" s="123"/>
      <c r="Q368" s="123"/>
      <c r="R368" s="123"/>
      <c r="S368" s="123"/>
    </row>
    <row r="369" spans="9:9">
      <c r="I369" s="123"/>
    </row>
    <row r="370" spans="9:9">
      <c r="I370" s="123"/>
    </row>
    <row r="371" spans="9:9">
      <c r="I371" s="123"/>
    </row>
    <row r="372" spans="9:9">
      <c r="I372" s="123"/>
    </row>
    <row r="373" spans="9:9">
      <c r="I373" s="123"/>
    </row>
    <row r="374" spans="9:9">
      <c r="I374" s="123"/>
    </row>
    <row r="375" spans="9:9">
      <c r="I375" s="123"/>
    </row>
    <row r="376" spans="9:9">
      <c r="I376" s="123"/>
    </row>
    <row r="377" spans="9:9">
      <c r="I377" s="123"/>
    </row>
    <row r="378" spans="9:9">
      <c r="I378" s="123"/>
    </row>
    <row r="379" spans="9:9">
      <c r="I379" s="123"/>
    </row>
    <row r="380" spans="9:9">
      <c r="I380" s="123"/>
    </row>
    <row r="381" spans="9:9">
      <c r="I381" s="123"/>
    </row>
    <row r="382" spans="9:9">
      <c r="I382" s="123"/>
    </row>
    <row r="383" spans="9:9">
      <c r="I383" s="123"/>
    </row>
    <row r="384" spans="9:9">
      <c r="I384" s="123"/>
    </row>
    <row r="385" spans="9:9">
      <c r="I385" s="123"/>
    </row>
    <row r="386" spans="9:9">
      <c r="I386" s="123"/>
    </row>
    <row r="387" spans="9:9">
      <c r="I387" s="123"/>
    </row>
    <row r="388" spans="9:9">
      <c r="I388" s="123"/>
    </row>
    <row r="389" spans="9:9">
      <c r="I389" s="123"/>
    </row>
    <row r="390" spans="9:9">
      <c r="I390" s="123"/>
    </row>
    <row r="391" spans="9:9">
      <c r="I391" s="123"/>
    </row>
    <row r="392" spans="9:9">
      <c r="I392" s="123"/>
    </row>
    <row r="393" spans="9:9">
      <c r="I393" s="123"/>
    </row>
    <row r="394" spans="9:9">
      <c r="I394" s="123"/>
    </row>
    <row r="395" spans="9:9">
      <c r="I395" s="123"/>
    </row>
    <row r="396" spans="9:9">
      <c r="I396" s="123"/>
    </row>
    <row r="397" spans="9:9">
      <c r="I397" s="123"/>
    </row>
    <row r="398" spans="9:9">
      <c r="I398" s="123"/>
    </row>
    <row r="399" spans="9:9">
      <c r="I399" s="123"/>
    </row>
    <row r="400" spans="9:9">
      <c r="I400" s="123"/>
    </row>
    <row r="401" spans="9:9">
      <c r="I401" s="123"/>
    </row>
    <row r="402" spans="9:9">
      <c r="I402" s="123"/>
    </row>
    <row r="403" spans="9:9">
      <c r="I403" s="123"/>
    </row>
    <row r="404" spans="9:9">
      <c r="I404" s="123"/>
    </row>
    <row r="405" spans="9:9">
      <c r="I405" s="123"/>
    </row>
    <row r="406" spans="9:9">
      <c r="I406" s="123"/>
    </row>
    <row r="407" spans="9:9">
      <c r="I407" s="123"/>
    </row>
    <row r="408" spans="9:9">
      <c r="I408" s="123"/>
    </row>
    <row r="409" spans="9:9">
      <c r="I409" s="123"/>
    </row>
    <row r="410" spans="9:9">
      <c r="I410" s="123"/>
    </row>
    <row r="411" spans="9:9">
      <c r="I411" s="123"/>
    </row>
    <row r="412" spans="9:9">
      <c r="I412" s="123"/>
    </row>
    <row r="413" spans="9:9">
      <c r="I413" s="123"/>
    </row>
    <row r="414" spans="9:9">
      <c r="I414" s="123"/>
    </row>
    <row r="415" spans="9:9">
      <c r="I415" s="123"/>
    </row>
    <row r="416" spans="9:9">
      <c r="I416" s="123"/>
    </row>
    <row r="417" spans="9:9">
      <c r="I417" s="123"/>
    </row>
    <row r="418" spans="9:9">
      <c r="I418" s="123"/>
    </row>
    <row r="419" spans="9:9">
      <c r="I419" s="123"/>
    </row>
    <row r="420" spans="9:9">
      <c r="I420" s="123"/>
    </row>
    <row r="421" spans="9:9">
      <c r="I421" s="123"/>
    </row>
    <row r="422" spans="9:9">
      <c r="I422" s="123"/>
    </row>
    <row r="423" spans="9:9">
      <c r="I423" s="123"/>
    </row>
    <row r="424" spans="9:9">
      <c r="I424" s="123"/>
    </row>
    <row r="425" spans="9:9">
      <c r="I425" s="123"/>
    </row>
    <row r="426" spans="9:9">
      <c r="I426" s="123"/>
    </row>
    <row r="427" spans="9:9">
      <c r="I427" s="123"/>
    </row>
    <row r="428" spans="9:9">
      <c r="I428" s="123"/>
    </row>
    <row r="429" spans="9:9">
      <c r="I429" s="123"/>
    </row>
    <row r="430" spans="9:9">
      <c r="I430" s="123"/>
    </row>
    <row r="431" spans="9:9">
      <c r="I431" s="123"/>
    </row>
    <row r="432" spans="9:9">
      <c r="I432" s="123"/>
    </row>
    <row r="433" spans="9:9">
      <c r="I433" s="123"/>
    </row>
    <row r="434" spans="9:9">
      <c r="I434" s="123"/>
    </row>
    <row r="435" spans="9:9">
      <c r="I435" s="123"/>
    </row>
    <row r="436" spans="9:9">
      <c r="I436" s="123"/>
    </row>
    <row r="437" spans="9:9">
      <c r="I437" s="123"/>
    </row>
    <row r="438" spans="9:9">
      <c r="I438" s="123"/>
    </row>
    <row r="439" spans="9:9">
      <c r="I439" s="123"/>
    </row>
    <row r="440" spans="9:9">
      <c r="I440" s="123"/>
    </row>
    <row r="441" spans="9:9">
      <c r="I441" s="123"/>
    </row>
    <row r="442" spans="9:9">
      <c r="I442" s="123"/>
    </row>
    <row r="443" spans="9:9">
      <c r="I443" s="123"/>
    </row>
    <row r="444" spans="9:9">
      <c r="I444" s="123"/>
    </row>
    <row r="445" spans="9:9">
      <c r="I445" s="123"/>
    </row>
    <row r="446" spans="9:9">
      <c r="I446" s="123"/>
    </row>
    <row r="447" spans="9:9">
      <c r="I447" s="123"/>
    </row>
    <row r="448" spans="9:9">
      <c r="I448" s="123"/>
    </row>
    <row r="449" spans="9:9">
      <c r="I449" s="123"/>
    </row>
    <row r="450" spans="9:9">
      <c r="I450" s="123"/>
    </row>
    <row r="451" spans="9:9">
      <c r="I451" s="123"/>
    </row>
    <row r="452" spans="9:9">
      <c r="I452" s="123"/>
    </row>
    <row r="453" spans="9:9">
      <c r="I453" s="123"/>
    </row>
    <row r="454" spans="9:9">
      <c r="I454" s="123"/>
    </row>
    <row r="455" spans="9:9">
      <c r="I455" s="123"/>
    </row>
    <row r="456" spans="9:9">
      <c r="I456" s="123"/>
    </row>
    <row r="457" spans="9:9">
      <c r="I457" s="123"/>
    </row>
    <row r="458" spans="9:9">
      <c r="I458" s="123"/>
    </row>
    <row r="459" spans="9:9">
      <c r="I459" s="123"/>
    </row>
    <row r="460" spans="9:9">
      <c r="I460" s="123"/>
    </row>
    <row r="461" spans="9:9">
      <c r="I461" s="123"/>
    </row>
    <row r="462" spans="9:9">
      <c r="I462" s="123"/>
    </row>
    <row r="463" spans="9:9">
      <c r="I463" s="123"/>
    </row>
    <row r="464" spans="9:9">
      <c r="I464" s="123"/>
    </row>
    <row r="465" spans="9:9">
      <c r="I465" s="123"/>
    </row>
    <row r="466" spans="9:9">
      <c r="I466" s="123"/>
    </row>
    <row r="467" spans="9:9">
      <c r="I467" s="123"/>
    </row>
    <row r="468" spans="9:9">
      <c r="I468" s="123"/>
    </row>
    <row r="469" spans="9:9">
      <c r="I469" s="123"/>
    </row>
    <row r="470" spans="9:9">
      <c r="I470" s="123"/>
    </row>
    <row r="471" spans="9:9">
      <c r="I471" s="123"/>
    </row>
    <row r="472" spans="9:9">
      <c r="I472" s="123"/>
    </row>
    <row r="473" spans="9:9">
      <c r="I473" s="123"/>
    </row>
    <row r="474" spans="9:9">
      <c r="I474" s="123"/>
    </row>
    <row r="475" spans="9:9">
      <c r="I475" s="123"/>
    </row>
    <row r="476" spans="9:9">
      <c r="I476" s="123"/>
    </row>
    <row r="477" spans="9:9">
      <c r="I477" s="123"/>
    </row>
    <row r="478" spans="9:9">
      <c r="I478" s="123"/>
    </row>
    <row r="479" spans="9:9">
      <c r="I479" s="123"/>
    </row>
    <row r="480" spans="9:9">
      <c r="I480" s="123"/>
    </row>
    <row r="481" spans="9:9">
      <c r="I481" s="123"/>
    </row>
    <row r="482" spans="9:9">
      <c r="I482" s="123"/>
    </row>
    <row r="483" spans="9:9">
      <c r="I483" s="123"/>
    </row>
    <row r="484" spans="9:9">
      <c r="I484" s="123"/>
    </row>
    <row r="485" spans="9:9">
      <c r="I485" s="123"/>
    </row>
    <row r="486" spans="9:9">
      <c r="I486" s="123"/>
    </row>
    <row r="487" spans="9:9">
      <c r="I487" s="123"/>
    </row>
    <row r="488" spans="9:9">
      <c r="I488" s="123"/>
    </row>
    <row r="489" spans="9:9">
      <c r="I489" s="123"/>
    </row>
    <row r="490" spans="9:9">
      <c r="I490" s="123"/>
    </row>
    <row r="491" spans="9:9">
      <c r="I491" s="123"/>
    </row>
    <row r="492" spans="9:9">
      <c r="I492" s="123"/>
    </row>
    <row r="493" spans="9:9">
      <c r="I493" s="123"/>
    </row>
    <row r="494" spans="9:9">
      <c r="I494" s="123"/>
    </row>
    <row r="495" spans="9:9">
      <c r="I495" s="123"/>
    </row>
    <row r="496" spans="9:9">
      <c r="I496" s="123"/>
    </row>
    <row r="497" spans="9:9">
      <c r="I497" s="123"/>
    </row>
    <row r="498" spans="9:9">
      <c r="I498" s="123"/>
    </row>
  </sheetData>
  <mergeCells count="1">
    <mergeCell ref="B6:S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Y273"/>
  <sheetViews>
    <sheetView workbookViewId="0">
      <pane xSplit="1" ySplit="7" topLeftCell="B8" activePane="bottomRight" state="frozen"/>
      <selection pane="bottomRight" activeCell="A121" sqref="A121"/>
      <selection pane="bottomLeft" activeCell="A259" sqref="A259"/>
      <selection pane="topRight" activeCell="A259" sqref="A259"/>
    </sheetView>
  </sheetViews>
  <sheetFormatPr defaultColWidth="11.42578125" defaultRowHeight="10.15"/>
  <cols>
    <col min="1" max="1" width="15.5703125" style="3" bestFit="1" customWidth="1"/>
    <col min="2" max="2" width="12.7109375" style="20" customWidth="1"/>
    <col min="3" max="4" width="11.28515625" style="21" bestFit="1" customWidth="1"/>
    <col min="5" max="5" width="11.5703125" style="22" customWidth="1"/>
    <col min="6" max="6" width="12.42578125" style="20" bestFit="1" customWidth="1"/>
    <col min="7" max="8" width="11.28515625" style="21" bestFit="1" customWidth="1"/>
    <col min="9" max="9" width="11.5703125" style="22" bestFit="1" customWidth="1"/>
    <col min="10" max="10" width="12.42578125" style="20" bestFit="1" customWidth="1"/>
    <col min="11" max="12" width="11.28515625" style="21" bestFit="1" customWidth="1"/>
    <col min="13" max="13" width="9.5703125" style="22" customWidth="1"/>
    <col min="14" max="14" width="2.7109375" style="25" customWidth="1"/>
    <col min="15" max="15" width="11.5703125" style="20" bestFit="1" customWidth="1"/>
    <col min="16" max="16" width="11.5703125" style="21" bestFit="1" customWidth="1"/>
    <col min="17" max="17" width="11.5703125" style="22" bestFit="1" customWidth="1"/>
    <col min="18" max="18" width="11.5703125" style="51" bestFit="1" customWidth="1"/>
    <col min="19" max="19" width="11.5703125" style="20" bestFit="1" customWidth="1"/>
    <col min="20" max="20" width="11.5703125" style="21" bestFit="1" customWidth="1"/>
    <col min="21" max="21" width="11.5703125" style="22" bestFit="1" customWidth="1"/>
    <col min="22" max="22" width="11.5703125" style="51" bestFit="1" customWidth="1"/>
    <col min="23" max="23" width="11.42578125" style="5"/>
    <col min="24" max="24" width="11.42578125" style="6"/>
    <col min="25" max="25" width="11.42578125" style="7"/>
    <col min="26" max="16384" width="11.42578125" style="34"/>
  </cols>
  <sheetData>
    <row r="1" spans="1:25">
      <c r="A1" s="23" t="s">
        <v>44</v>
      </c>
      <c r="B1" s="23" t="s">
        <v>208</v>
      </c>
      <c r="C1" s="23"/>
      <c r="D1" s="23"/>
      <c r="E1" s="23"/>
      <c r="F1" s="23"/>
      <c r="G1" s="23"/>
      <c r="H1" s="23"/>
      <c r="I1" s="23"/>
      <c r="J1" s="23"/>
      <c r="K1" s="23"/>
      <c r="L1" s="23"/>
      <c r="M1" s="23"/>
      <c r="N1" s="23"/>
      <c r="O1" s="23"/>
      <c r="P1" s="23"/>
      <c r="Q1" s="23"/>
      <c r="R1" s="23"/>
      <c r="S1" s="23"/>
      <c r="T1" s="23"/>
      <c r="U1" s="23"/>
      <c r="V1" s="23"/>
      <c r="W1" s="23"/>
      <c r="X1" s="23"/>
      <c r="Y1" s="23"/>
    </row>
    <row r="2" spans="1:25">
      <c r="A2" s="23" t="s">
        <v>46</v>
      </c>
      <c r="B2" s="23" t="s">
        <v>47</v>
      </c>
      <c r="C2" s="23"/>
      <c r="D2" s="23"/>
      <c r="E2" s="23"/>
      <c r="F2" s="23"/>
      <c r="G2" s="23"/>
      <c r="H2" s="23"/>
      <c r="I2" s="23"/>
      <c r="J2" s="23"/>
      <c r="K2" s="23"/>
      <c r="L2" s="23"/>
      <c r="M2" s="23"/>
      <c r="N2" s="23"/>
      <c r="O2" s="23"/>
      <c r="P2" s="23"/>
      <c r="Q2" s="23"/>
      <c r="R2" s="23"/>
      <c r="S2" s="23"/>
      <c r="T2" s="23"/>
      <c r="U2" s="23"/>
      <c r="V2" s="23"/>
      <c r="W2" s="23"/>
      <c r="X2" s="23"/>
      <c r="Y2" s="23"/>
    </row>
    <row r="3" spans="1:25">
      <c r="A3" s="23" t="s">
        <v>48</v>
      </c>
      <c r="B3" s="23" t="s">
        <v>49</v>
      </c>
      <c r="C3" s="23"/>
      <c r="D3" s="23"/>
      <c r="E3" s="23"/>
      <c r="F3" s="23"/>
      <c r="G3" s="23"/>
      <c r="H3" s="23"/>
      <c r="I3" s="23"/>
      <c r="J3" s="23"/>
      <c r="K3" s="23"/>
      <c r="L3" s="23"/>
      <c r="M3" s="23"/>
      <c r="N3" s="23"/>
      <c r="O3" s="23"/>
      <c r="P3" s="23"/>
      <c r="Q3" s="23"/>
      <c r="R3" s="23"/>
      <c r="S3" s="23"/>
      <c r="T3" s="23"/>
      <c r="U3" s="23"/>
      <c r="V3" s="23"/>
      <c r="W3" s="23"/>
      <c r="X3" s="23"/>
      <c r="Y3" s="23"/>
    </row>
    <row r="4" spans="1:25">
      <c r="A4" s="23" t="s">
        <v>50</v>
      </c>
      <c r="B4" s="23" t="s">
        <v>51</v>
      </c>
      <c r="C4" s="23"/>
      <c r="D4" s="23"/>
      <c r="E4" s="23"/>
      <c r="F4" s="23"/>
      <c r="G4" s="23"/>
      <c r="H4" s="23"/>
      <c r="I4" s="23"/>
      <c r="J4" s="23"/>
      <c r="K4" s="23"/>
      <c r="L4" s="23"/>
      <c r="M4" s="23"/>
      <c r="N4" s="23"/>
      <c r="O4" s="23"/>
      <c r="P4" s="23"/>
      <c r="Q4" s="23"/>
      <c r="R4" s="23"/>
      <c r="S4" s="23"/>
      <c r="T4" s="23"/>
      <c r="U4" s="23"/>
      <c r="V4" s="23"/>
      <c r="W4" s="23"/>
      <c r="X4" s="23"/>
      <c r="Y4" s="23"/>
    </row>
    <row r="5" spans="1:25">
      <c r="A5" s="23" t="s">
        <v>52</v>
      </c>
      <c r="B5" s="23"/>
      <c r="C5" s="23"/>
      <c r="D5" s="23"/>
      <c r="E5" s="23"/>
      <c r="F5" s="23"/>
      <c r="G5" s="23"/>
      <c r="H5" s="23"/>
      <c r="I5" s="23"/>
      <c r="J5" s="23"/>
      <c r="K5" s="23"/>
      <c r="L5" s="23"/>
      <c r="M5" s="23"/>
      <c r="N5" s="23"/>
      <c r="O5" s="23"/>
      <c r="P5" s="23"/>
      <c r="Q5" s="23"/>
      <c r="R5" s="23"/>
      <c r="S5" s="23"/>
      <c r="T5" s="23"/>
      <c r="U5" s="23"/>
      <c r="V5" s="23"/>
      <c r="W5" s="23"/>
      <c r="X5" s="23"/>
      <c r="Y5" s="23"/>
    </row>
    <row r="6" spans="1:25" ht="13.15">
      <c r="A6" s="257" t="s">
        <v>53</v>
      </c>
      <c r="B6" s="254" t="s">
        <v>209</v>
      </c>
      <c r="C6" s="255"/>
      <c r="D6" s="255"/>
      <c r="E6" s="256"/>
      <c r="F6" s="254" t="s">
        <v>210</v>
      </c>
      <c r="G6" s="255"/>
      <c r="H6" s="255"/>
      <c r="I6" s="256"/>
      <c r="J6" s="254" t="s">
        <v>211</v>
      </c>
      <c r="K6" s="255"/>
      <c r="L6" s="255"/>
      <c r="M6" s="256"/>
      <c r="N6" s="23"/>
      <c r="O6" s="260" t="s">
        <v>212</v>
      </c>
      <c r="P6" s="261"/>
      <c r="Q6" s="261"/>
      <c r="R6" s="261"/>
      <c r="S6" s="260" t="s">
        <v>213</v>
      </c>
      <c r="T6" s="261"/>
      <c r="U6" s="261"/>
      <c r="V6" s="261"/>
      <c r="W6" s="262" t="s">
        <v>49</v>
      </c>
      <c r="X6" s="262"/>
      <c r="Y6" s="262"/>
    </row>
    <row r="7" spans="1:25" ht="51">
      <c r="A7" s="258"/>
      <c r="B7" s="125" t="s">
        <v>57</v>
      </c>
      <c r="C7" s="126" t="s">
        <v>58</v>
      </c>
      <c r="D7" s="126" t="s">
        <v>59</v>
      </c>
      <c r="E7" s="127" t="s">
        <v>60</v>
      </c>
      <c r="F7" s="125" t="s">
        <v>57</v>
      </c>
      <c r="G7" s="126" t="s">
        <v>58</v>
      </c>
      <c r="H7" s="126" t="s">
        <v>59</v>
      </c>
      <c r="I7" s="127" t="s">
        <v>60</v>
      </c>
      <c r="J7" s="125" t="s">
        <v>57</v>
      </c>
      <c r="K7" s="126" t="s">
        <v>58</v>
      </c>
      <c r="L7" s="126" t="s">
        <v>59</v>
      </c>
      <c r="M7" s="127" t="s">
        <v>60</v>
      </c>
      <c r="N7" s="128"/>
      <c r="O7" s="28" t="s">
        <v>190</v>
      </c>
      <c r="P7" s="29" t="s">
        <v>214</v>
      </c>
      <c r="Q7" s="57" t="s">
        <v>215</v>
      </c>
      <c r="R7" s="129" t="s">
        <v>216</v>
      </c>
      <c r="S7" s="28" t="s">
        <v>190</v>
      </c>
      <c r="T7" s="29" t="s">
        <v>214</v>
      </c>
      <c r="U7" s="57" t="s">
        <v>215</v>
      </c>
      <c r="V7" s="130" t="s">
        <v>216</v>
      </c>
      <c r="W7" s="28" t="s">
        <v>217</v>
      </c>
      <c r="X7" s="54" t="s">
        <v>218</v>
      </c>
      <c r="Y7" s="54" t="s">
        <v>219</v>
      </c>
    </row>
    <row r="8" spans="1:25">
      <c r="A8" s="27" t="s">
        <v>61</v>
      </c>
      <c r="B8" s="105">
        <v>387200</v>
      </c>
      <c r="C8" s="106">
        <v>1222900</v>
      </c>
      <c r="D8" s="106">
        <v>224600</v>
      </c>
      <c r="E8" s="107">
        <v>1834700</v>
      </c>
      <c r="F8" s="105">
        <v>462200</v>
      </c>
      <c r="G8" s="106">
        <v>1463300</v>
      </c>
      <c r="H8" s="106">
        <v>201000</v>
      </c>
      <c r="I8" s="107">
        <v>2126500</v>
      </c>
      <c r="J8" s="105">
        <v>849400</v>
      </c>
      <c r="K8" s="106">
        <v>2686200</v>
      </c>
      <c r="L8" s="106">
        <v>425600</v>
      </c>
      <c r="M8" s="107">
        <v>3961200</v>
      </c>
      <c r="N8" s="131"/>
      <c r="O8" s="105">
        <v>1563300</v>
      </c>
      <c r="P8" s="106">
        <v>108600</v>
      </c>
      <c r="Q8" s="107">
        <v>162800</v>
      </c>
      <c r="R8" s="132">
        <f t="shared" ref="R8:R39" si="0">O8+P8+Q8</f>
        <v>1834700</v>
      </c>
      <c r="S8" s="105">
        <v>1761600</v>
      </c>
      <c r="T8" s="106">
        <v>180800</v>
      </c>
      <c r="U8" s="107">
        <v>184100</v>
      </c>
      <c r="V8" s="133">
        <f t="shared" ref="V8:V39" si="1">S8+T8+U8</f>
        <v>2126500</v>
      </c>
      <c r="W8" s="134">
        <f t="shared" ref="W8:W39" si="2">(P8+Q8)/R8</f>
        <v>0.14792609145909413</v>
      </c>
      <c r="X8" s="135">
        <f t="shared" ref="X8:X39" si="3">(T8+U8)/V8</f>
        <v>0.17159652010345638</v>
      </c>
      <c r="Y8" s="136">
        <f t="shared" ref="Y8:Y39" si="4">(P8+Q8+T8+U8)/(R8+V8)</f>
        <v>0.16063314147228114</v>
      </c>
    </row>
    <row r="9" spans="1:25">
      <c r="A9" s="27" t="s">
        <v>62</v>
      </c>
      <c r="B9" s="95">
        <v>389700</v>
      </c>
      <c r="C9" s="96">
        <v>1236100</v>
      </c>
      <c r="D9" s="96">
        <v>228900</v>
      </c>
      <c r="E9" s="81">
        <v>1854700</v>
      </c>
      <c r="F9" s="95">
        <v>463100</v>
      </c>
      <c r="G9" s="96">
        <v>1473500</v>
      </c>
      <c r="H9" s="96">
        <v>205800</v>
      </c>
      <c r="I9" s="81">
        <v>2142400</v>
      </c>
      <c r="J9" s="95">
        <v>852800</v>
      </c>
      <c r="K9" s="96">
        <v>2709600</v>
      </c>
      <c r="L9" s="96">
        <v>434700</v>
      </c>
      <c r="M9" s="81">
        <v>3997100</v>
      </c>
      <c r="N9" s="131"/>
      <c r="O9" s="95">
        <v>1568200</v>
      </c>
      <c r="P9" s="96">
        <v>114300</v>
      </c>
      <c r="Q9" s="81">
        <v>172200</v>
      </c>
      <c r="R9" s="132">
        <f t="shared" si="0"/>
        <v>1854700</v>
      </c>
      <c r="S9" s="95">
        <v>1766400</v>
      </c>
      <c r="T9" s="96">
        <v>185600</v>
      </c>
      <c r="U9" s="81">
        <v>190400</v>
      </c>
      <c r="V9" s="133">
        <f t="shared" si="1"/>
        <v>2142400</v>
      </c>
      <c r="W9" s="137">
        <f t="shared" si="2"/>
        <v>0.1544724214158624</v>
      </c>
      <c r="X9" s="138">
        <f t="shared" si="3"/>
        <v>0.17550410754294249</v>
      </c>
      <c r="Y9" s="139">
        <f t="shared" si="4"/>
        <v>0.16574516524480248</v>
      </c>
    </row>
    <row r="10" spans="1:25">
      <c r="A10" s="27" t="s">
        <v>63</v>
      </c>
      <c r="B10" s="95">
        <v>396000</v>
      </c>
      <c r="C10" s="96">
        <v>1257400</v>
      </c>
      <c r="D10" s="96">
        <v>234200</v>
      </c>
      <c r="E10" s="81">
        <v>1887500</v>
      </c>
      <c r="F10" s="95">
        <v>467700</v>
      </c>
      <c r="G10" s="96">
        <v>1490500</v>
      </c>
      <c r="H10" s="96">
        <v>211600</v>
      </c>
      <c r="I10" s="81">
        <v>2169800</v>
      </c>
      <c r="J10" s="95">
        <v>863700</v>
      </c>
      <c r="K10" s="96">
        <v>2747900</v>
      </c>
      <c r="L10" s="96">
        <v>445800</v>
      </c>
      <c r="M10" s="81">
        <v>4057400</v>
      </c>
      <c r="N10" s="131"/>
      <c r="O10" s="95">
        <v>1572800</v>
      </c>
      <c r="P10" s="96">
        <v>120300</v>
      </c>
      <c r="Q10" s="81">
        <v>194400</v>
      </c>
      <c r="R10" s="132">
        <f t="shared" si="0"/>
        <v>1887500</v>
      </c>
      <c r="S10" s="95">
        <v>1770500</v>
      </c>
      <c r="T10" s="96">
        <v>194400</v>
      </c>
      <c r="U10" s="81">
        <v>204900</v>
      </c>
      <c r="V10" s="133">
        <f t="shared" si="1"/>
        <v>2169800</v>
      </c>
      <c r="W10" s="137">
        <f t="shared" si="2"/>
        <v>0.16672847682119205</v>
      </c>
      <c r="X10" s="138">
        <f t="shared" si="3"/>
        <v>0.18402617752788275</v>
      </c>
      <c r="Y10" s="139">
        <f t="shared" si="4"/>
        <v>0.17597909940107953</v>
      </c>
    </row>
    <row r="11" spans="1:25">
      <c r="A11" s="80" t="s">
        <v>64</v>
      </c>
      <c r="B11" s="97">
        <v>400500</v>
      </c>
      <c r="C11" s="98">
        <v>1278900</v>
      </c>
      <c r="D11" s="98">
        <v>240000</v>
      </c>
      <c r="E11" s="82">
        <v>1919400</v>
      </c>
      <c r="F11" s="97">
        <v>464900</v>
      </c>
      <c r="G11" s="98">
        <v>1502100</v>
      </c>
      <c r="H11" s="98">
        <v>217100</v>
      </c>
      <c r="I11" s="82">
        <v>2184100</v>
      </c>
      <c r="J11" s="97">
        <v>865400</v>
      </c>
      <c r="K11" s="98">
        <v>2781000</v>
      </c>
      <c r="L11" s="98">
        <v>457100</v>
      </c>
      <c r="M11" s="82">
        <v>4103500</v>
      </c>
      <c r="N11" s="140"/>
      <c r="O11" s="97">
        <v>1599500</v>
      </c>
      <c r="P11" s="98">
        <v>126600</v>
      </c>
      <c r="Q11" s="82">
        <v>193200</v>
      </c>
      <c r="R11" s="141">
        <f t="shared" si="0"/>
        <v>1919300</v>
      </c>
      <c r="S11" s="97">
        <v>1772500</v>
      </c>
      <c r="T11" s="98">
        <v>203200</v>
      </c>
      <c r="U11" s="82">
        <v>208400</v>
      </c>
      <c r="V11" s="142">
        <f t="shared" si="1"/>
        <v>2184100</v>
      </c>
      <c r="W11" s="143">
        <f t="shared" si="2"/>
        <v>0.16662324805918824</v>
      </c>
      <c r="X11" s="144">
        <f t="shared" si="3"/>
        <v>0.18845290966530837</v>
      </c>
      <c r="Y11" s="145">
        <f t="shared" si="4"/>
        <v>0.178242433104255</v>
      </c>
    </row>
    <row r="12" spans="1:25">
      <c r="A12" s="27" t="s">
        <v>65</v>
      </c>
      <c r="B12" s="95">
        <v>402000</v>
      </c>
      <c r="C12" s="96">
        <v>1298700</v>
      </c>
      <c r="D12" s="96">
        <v>246800</v>
      </c>
      <c r="E12" s="81">
        <v>1947500</v>
      </c>
      <c r="F12" s="95">
        <v>465100</v>
      </c>
      <c r="G12" s="96">
        <v>1519000</v>
      </c>
      <c r="H12" s="96">
        <v>223200</v>
      </c>
      <c r="I12" s="81">
        <v>2207300</v>
      </c>
      <c r="J12" s="95">
        <v>867100</v>
      </c>
      <c r="K12" s="96">
        <v>2817600</v>
      </c>
      <c r="L12" s="96">
        <v>470100</v>
      </c>
      <c r="M12" s="81">
        <v>4154700</v>
      </c>
      <c r="N12" s="131"/>
      <c r="O12" s="95">
        <v>1611900</v>
      </c>
      <c r="P12" s="96">
        <v>128300</v>
      </c>
      <c r="Q12" s="81">
        <v>207200</v>
      </c>
      <c r="R12" s="132">
        <f t="shared" si="0"/>
        <v>1947400</v>
      </c>
      <c r="S12" s="95">
        <v>1779700</v>
      </c>
      <c r="T12" s="96">
        <v>207800</v>
      </c>
      <c r="U12" s="81">
        <v>219800</v>
      </c>
      <c r="V12" s="133">
        <f t="shared" si="1"/>
        <v>2207300</v>
      </c>
      <c r="W12" s="137">
        <f t="shared" si="2"/>
        <v>0.17228099003799938</v>
      </c>
      <c r="X12" s="138">
        <f t="shared" si="3"/>
        <v>0.19372083540977664</v>
      </c>
      <c r="Y12" s="139">
        <f t="shared" si="4"/>
        <v>0.18367150456109949</v>
      </c>
    </row>
    <row r="13" spans="1:25">
      <c r="A13" s="27" t="s">
        <v>66</v>
      </c>
      <c r="B13" s="95">
        <v>396900</v>
      </c>
      <c r="C13" s="96">
        <v>1316900</v>
      </c>
      <c r="D13" s="96">
        <v>254000</v>
      </c>
      <c r="E13" s="81">
        <v>1967800</v>
      </c>
      <c r="F13" s="95">
        <v>460900</v>
      </c>
      <c r="G13" s="96">
        <v>1541900</v>
      </c>
      <c r="H13" s="96">
        <v>230600</v>
      </c>
      <c r="I13" s="81">
        <v>2233500</v>
      </c>
      <c r="J13" s="95">
        <v>857800</v>
      </c>
      <c r="K13" s="96">
        <v>2858800</v>
      </c>
      <c r="L13" s="96">
        <v>484600</v>
      </c>
      <c r="M13" s="81">
        <v>4201300</v>
      </c>
      <c r="N13" s="131"/>
      <c r="O13" s="95">
        <v>1613400</v>
      </c>
      <c r="P13" s="96">
        <v>132400</v>
      </c>
      <c r="Q13" s="81">
        <v>222000</v>
      </c>
      <c r="R13" s="132">
        <f t="shared" si="0"/>
        <v>1967800</v>
      </c>
      <c r="S13" s="95">
        <v>1788000</v>
      </c>
      <c r="T13" s="96">
        <v>214100</v>
      </c>
      <c r="U13" s="81">
        <v>231400</v>
      </c>
      <c r="V13" s="133">
        <f t="shared" si="1"/>
        <v>2233500</v>
      </c>
      <c r="W13" s="137">
        <f t="shared" si="2"/>
        <v>0.18009960361825389</v>
      </c>
      <c r="X13" s="138">
        <f t="shared" si="3"/>
        <v>0.19946272666218939</v>
      </c>
      <c r="Y13" s="139">
        <f t="shared" si="4"/>
        <v>0.19039344964653798</v>
      </c>
    </row>
    <row r="14" spans="1:25">
      <c r="A14" s="27" t="s">
        <v>67</v>
      </c>
      <c r="B14" s="95">
        <v>389700</v>
      </c>
      <c r="C14" s="96">
        <v>1327200</v>
      </c>
      <c r="D14" s="96">
        <v>259800</v>
      </c>
      <c r="E14" s="81">
        <v>1976800</v>
      </c>
      <c r="F14" s="95">
        <v>457600</v>
      </c>
      <c r="G14" s="96">
        <v>1559900</v>
      </c>
      <c r="H14" s="96">
        <v>237400</v>
      </c>
      <c r="I14" s="81">
        <v>2254800</v>
      </c>
      <c r="J14" s="95">
        <v>847300</v>
      </c>
      <c r="K14" s="96">
        <v>2887100</v>
      </c>
      <c r="L14" s="96">
        <v>497200</v>
      </c>
      <c r="M14" s="81">
        <v>4231600</v>
      </c>
      <c r="N14" s="131"/>
      <c r="O14" s="95">
        <v>1593500</v>
      </c>
      <c r="P14" s="96">
        <v>133900</v>
      </c>
      <c r="Q14" s="81">
        <v>249300</v>
      </c>
      <c r="R14" s="132">
        <f t="shared" si="0"/>
        <v>1976700</v>
      </c>
      <c r="S14" s="95">
        <v>1782300</v>
      </c>
      <c r="T14" s="96">
        <v>219700</v>
      </c>
      <c r="U14" s="81">
        <v>252800</v>
      </c>
      <c r="V14" s="133">
        <f t="shared" si="1"/>
        <v>2254800</v>
      </c>
      <c r="W14" s="137">
        <f t="shared" si="2"/>
        <v>0.19385845095360954</v>
      </c>
      <c r="X14" s="138">
        <f t="shared" si="3"/>
        <v>0.20955295369877594</v>
      </c>
      <c r="Y14" s="139">
        <f t="shared" si="4"/>
        <v>0.202221434479499</v>
      </c>
    </row>
    <row r="15" spans="1:25">
      <c r="A15" s="80" t="s">
        <v>68</v>
      </c>
      <c r="B15" s="97">
        <v>384200</v>
      </c>
      <c r="C15" s="98">
        <v>1325600</v>
      </c>
      <c r="D15" s="98">
        <v>264300</v>
      </c>
      <c r="E15" s="82">
        <v>1974200</v>
      </c>
      <c r="F15" s="97">
        <v>454800</v>
      </c>
      <c r="G15" s="98">
        <v>1572600</v>
      </c>
      <c r="H15" s="98">
        <v>243400</v>
      </c>
      <c r="I15" s="82">
        <v>2270800</v>
      </c>
      <c r="J15" s="97">
        <v>839100</v>
      </c>
      <c r="K15" s="98">
        <v>2898200</v>
      </c>
      <c r="L15" s="98">
        <v>507800</v>
      </c>
      <c r="M15" s="82">
        <v>4245000</v>
      </c>
      <c r="N15" s="140"/>
      <c r="O15" s="97">
        <v>1583600</v>
      </c>
      <c r="P15" s="98">
        <v>135500</v>
      </c>
      <c r="Q15" s="82">
        <v>255200</v>
      </c>
      <c r="R15" s="141">
        <f t="shared" si="0"/>
        <v>1974300</v>
      </c>
      <c r="S15" s="97">
        <v>1782700</v>
      </c>
      <c r="T15" s="98">
        <v>225300</v>
      </c>
      <c r="U15" s="82">
        <v>262800</v>
      </c>
      <c r="V15" s="142">
        <f t="shared" si="1"/>
        <v>2270800</v>
      </c>
      <c r="W15" s="143">
        <f t="shared" si="2"/>
        <v>0.19789292407435546</v>
      </c>
      <c r="X15" s="144">
        <f t="shared" si="3"/>
        <v>0.21494627444072573</v>
      </c>
      <c r="Y15" s="145">
        <f t="shared" si="4"/>
        <v>0.20701514687522085</v>
      </c>
    </row>
    <row r="16" spans="1:25">
      <c r="A16" s="27" t="s">
        <v>69</v>
      </c>
      <c r="B16" s="95">
        <v>375000</v>
      </c>
      <c r="C16" s="96">
        <v>1322500</v>
      </c>
      <c r="D16" s="96">
        <v>270300</v>
      </c>
      <c r="E16" s="81">
        <v>1967800</v>
      </c>
      <c r="F16" s="95">
        <v>446200</v>
      </c>
      <c r="G16" s="96">
        <v>1587500</v>
      </c>
      <c r="H16" s="96">
        <v>251500</v>
      </c>
      <c r="I16" s="81">
        <v>2285200</v>
      </c>
      <c r="J16" s="95">
        <v>821200</v>
      </c>
      <c r="K16" s="96">
        <v>2910000</v>
      </c>
      <c r="L16" s="96">
        <v>521800</v>
      </c>
      <c r="M16" s="81">
        <v>4253000</v>
      </c>
      <c r="N16" s="131"/>
      <c r="O16" s="95">
        <v>1562400</v>
      </c>
      <c r="P16" s="96">
        <v>135600</v>
      </c>
      <c r="Q16" s="81">
        <v>269800</v>
      </c>
      <c r="R16" s="132">
        <f t="shared" si="0"/>
        <v>1967800</v>
      </c>
      <c r="S16" s="95">
        <v>1776700</v>
      </c>
      <c r="T16" s="96">
        <v>229700</v>
      </c>
      <c r="U16" s="81">
        <v>278900</v>
      </c>
      <c r="V16" s="133">
        <f t="shared" si="1"/>
        <v>2285300</v>
      </c>
      <c r="W16" s="137">
        <f t="shared" si="2"/>
        <v>0.20601687163329607</v>
      </c>
      <c r="X16" s="138">
        <f t="shared" si="3"/>
        <v>0.22255283770183346</v>
      </c>
      <c r="Y16" s="139">
        <f t="shared" si="4"/>
        <v>0.21490207143025086</v>
      </c>
    </row>
    <row r="17" spans="1:25">
      <c r="A17" s="27" t="s">
        <v>70</v>
      </c>
      <c r="B17" s="95">
        <v>365600</v>
      </c>
      <c r="C17" s="96">
        <v>1314200</v>
      </c>
      <c r="D17" s="96">
        <v>275000</v>
      </c>
      <c r="E17" s="81">
        <v>1954900</v>
      </c>
      <c r="F17" s="95">
        <v>437800</v>
      </c>
      <c r="G17" s="96">
        <v>1599200</v>
      </c>
      <c r="H17" s="96">
        <v>258800</v>
      </c>
      <c r="I17" s="81">
        <v>2295800</v>
      </c>
      <c r="J17" s="95">
        <v>803400</v>
      </c>
      <c r="K17" s="96">
        <v>2913400</v>
      </c>
      <c r="L17" s="96">
        <v>533800</v>
      </c>
      <c r="M17" s="81">
        <v>4250700</v>
      </c>
      <c r="N17" s="131"/>
      <c r="O17" s="95">
        <v>1543900</v>
      </c>
      <c r="P17" s="96">
        <v>135100</v>
      </c>
      <c r="Q17" s="81">
        <v>275900</v>
      </c>
      <c r="R17" s="132">
        <f t="shared" si="0"/>
        <v>1954900</v>
      </c>
      <c r="S17" s="95">
        <v>1772700</v>
      </c>
      <c r="T17" s="96">
        <v>233400</v>
      </c>
      <c r="U17" s="81">
        <v>289700</v>
      </c>
      <c r="V17" s="133">
        <f t="shared" si="1"/>
        <v>2295800</v>
      </c>
      <c r="W17" s="137">
        <f t="shared" si="2"/>
        <v>0.2102409330400532</v>
      </c>
      <c r="X17" s="138">
        <f t="shared" si="3"/>
        <v>0.22785085808868369</v>
      </c>
      <c r="Y17" s="139">
        <f t="shared" si="4"/>
        <v>0.21975204084033217</v>
      </c>
    </row>
    <row r="18" spans="1:25">
      <c r="A18" s="27" t="s">
        <v>71</v>
      </c>
      <c r="B18" s="95">
        <v>361100</v>
      </c>
      <c r="C18" s="96">
        <v>1303900</v>
      </c>
      <c r="D18" s="96">
        <v>280000</v>
      </c>
      <c r="E18" s="81">
        <v>1944900</v>
      </c>
      <c r="F18" s="95">
        <v>432200</v>
      </c>
      <c r="G18" s="96">
        <v>1604300</v>
      </c>
      <c r="H18" s="96">
        <v>266100</v>
      </c>
      <c r="I18" s="81">
        <v>2302600</v>
      </c>
      <c r="J18" s="95">
        <v>793200</v>
      </c>
      <c r="K18" s="96">
        <v>2908200</v>
      </c>
      <c r="L18" s="96">
        <v>546100</v>
      </c>
      <c r="M18" s="81">
        <v>4247600</v>
      </c>
      <c r="N18" s="131"/>
      <c r="O18" s="95">
        <v>1531100</v>
      </c>
      <c r="P18" s="96">
        <v>135300</v>
      </c>
      <c r="Q18" s="81">
        <v>278600</v>
      </c>
      <c r="R18" s="132">
        <f t="shared" si="0"/>
        <v>1945000</v>
      </c>
      <c r="S18" s="95">
        <v>1770700</v>
      </c>
      <c r="T18" s="96">
        <v>235600</v>
      </c>
      <c r="U18" s="81">
        <v>296400</v>
      </c>
      <c r="V18" s="133">
        <f t="shared" si="1"/>
        <v>2302700</v>
      </c>
      <c r="W18" s="137">
        <f t="shared" si="2"/>
        <v>0.21280205655526993</v>
      </c>
      <c r="X18" s="138">
        <f t="shared" si="3"/>
        <v>0.2310331350154167</v>
      </c>
      <c r="Y18" s="139">
        <f t="shared" si="4"/>
        <v>0.22268521788261883</v>
      </c>
    </row>
    <row r="19" spans="1:25">
      <c r="A19" s="80" t="s">
        <v>72</v>
      </c>
      <c r="B19" s="97">
        <v>362200</v>
      </c>
      <c r="C19" s="98">
        <v>1301000</v>
      </c>
      <c r="D19" s="98">
        <v>284600</v>
      </c>
      <c r="E19" s="82">
        <v>1947800</v>
      </c>
      <c r="F19" s="97">
        <v>429700</v>
      </c>
      <c r="G19" s="98">
        <v>1614700</v>
      </c>
      <c r="H19" s="98">
        <v>273800</v>
      </c>
      <c r="I19" s="82">
        <v>2318200</v>
      </c>
      <c r="J19" s="97">
        <v>791900</v>
      </c>
      <c r="K19" s="98">
        <v>2915700</v>
      </c>
      <c r="L19" s="98">
        <v>558300</v>
      </c>
      <c r="M19" s="82">
        <v>4266000</v>
      </c>
      <c r="N19" s="140"/>
      <c r="O19" s="97">
        <v>1529300</v>
      </c>
      <c r="P19" s="98">
        <v>140300</v>
      </c>
      <c r="Q19" s="82">
        <v>278300</v>
      </c>
      <c r="R19" s="141">
        <f t="shared" si="0"/>
        <v>1947900</v>
      </c>
      <c r="S19" s="97">
        <v>1773900</v>
      </c>
      <c r="T19" s="98">
        <v>241500</v>
      </c>
      <c r="U19" s="82">
        <v>302800</v>
      </c>
      <c r="V19" s="142">
        <f t="shared" si="1"/>
        <v>2318200</v>
      </c>
      <c r="W19" s="143">
        <f t="shared" si="2"/>
        <v>0.21489809538477334</v>
      </c>
      <c r="X19" s="144">
        <f t="shared" si="3"/>
        <v>0.23479423690794582</v>
      </c>
      <c r="Y19" s="145">
        <f t="shared" si="4"/>
        <v>0.22570966456482502</v>
      </c>
    </row>
    <row r="20" spans="1:25">
      <c r="A20" s="27" t="s">
        <v>73</v>
      </c>
      <c r="B20" s="95">
        <v>363500</v>
      </c>
      <c r="C20" s="96">
        <v>1295800</v>
      </c>
      <c r="D20" s="96">
        <v>288300</v>
      </c>
      <c r="E20" s="81">
        <v>1947500</v>
      </c>
      <c r="F20" s="95">
        <v>426300</v>
      </c>
      <c r="G20" s="96">
        <v>1619100</v>
      </c>
      <c r="H20" s="96">
        <v>281300</v>
      </c>
      <c r="I20" s="81">
        <v>2326700</v>
      </c>
      <c r="J20" s="95">
        <v>789700</v>
      </c>
      <c r="K20" s="96">
        <v>2914900</v>
      </c>
      <c r="L20" s="96">
        <v>569600</v>
      </c>
      <c r="M20" s="81">
        <v>4274200</v>
      </c>
      <c r="N20" s="131"/>
      <c r="O20" s="95">
        <v>1525100</v>
      </c>
      <c r="P20" s="96">
        <v>143900</v>
      </c>
      <c r="Q20" s="81">
        <v>278500</v>
      </c>
      <c r="R20" s="132">
        <f t="shared" si="0"/>
        <v>1947500</v>
      </c>
      <c r="S20" s="95">
        <v>1768000</v>
      </c>
      <c r="T20" s="96">
        <v>249300</v>
      </c>
      <c r="U20" s="81">
        <v>309300</v>
      </c>
      <c r="V20" s="133">
        <f t="shared" si="1"/>
        <v>2326600</v>
      </c>
      <c r="W20" s="137">
        <f t="shared" si="2"/>
        <v>0.21689345314505776</v>
      </c>
      <c r="X20" s="138">
        <f t="shared" si="3"/>
        <v>0.24009283933637066</v>
      </c>
      <c r="Y20" s="139">
        <f t="shared" si="4"/>
        <v>0.22952200463255423</v>
      </c>
    </row>
    <row r="21" spans="1:25">
      <c r="A21" s="27" t="s">
        <v>74</v>
      </c>
      <c r="B21" s="95">
        <v>362800</v>
      </c>
      <c r="C21" s="96">
        <v>1288500</v>
      </c>
      <c r="D21" s="96">
        <v>290700</v>
      </c>
      <c r="E21" s="81">
        <v>1942000</v>
      </c>
      <c r="F21" s="95">
        <v>423300</v>
      </c>
      <c r="G21" s="96">
        <v>1625900</v>
      </c>
      <c r="H21" s="96">
        <v>288600</v>
      </c>
      <c r="I21" s="81">
        <v>2337800</v>
      </c>
      <c r="J21" s="95">
        <v>786100</v>
      </c>
      <c r="K21" s="96">
        <v>2914400</v>
      </c>
      <c r="L21" s="96">
        <v>579300</v>
      </c>
      <c r="M21" s="81">
        <v>4279800</v>
      </c>
      <c r="N21" s="131"/>
      <c r="O21" s="95">
        <v>1508500</v>
      </c>
      <c r="P21" s="96">
        <v>146100</v>
      </c>
      <c r="Q21" s="81">
        <v>287500</v>
      </c>
      <c r="R21" s="132">
        <f t="shared" si="0"/>
        <v>1942100</v>
      </c>
      <c r="S21" s="95">
        <v>1761800</v>
      </c>
      <c r="T21" s="96">
        <v>255900</v>
      </c>
      <c r="U21" s="81">
        <v>320200</v>
      </c>
      <c r="V21" s="133">
        <f t="shared" si="1"/>
        <v>2337900</v>
      </c>
      <c r="W21" s="137">
        <f t="shared" si="2"/>
        <v>0.22326347767880131</v>
      </c>
      <c r="X21" s="138">
        <f t="shared" si="3"/>
        <v>0.24641772530903802</v>
      </c>
      <c r="Y21" s="139">
        <f t="shared" si="4"/>
        <v>0.23591121495327103</v>
      </c>
    </row>
    <row r="22" spans="1:25">
      <c r="A22" s="27" t="s">
        <v>75</v>
      </c>
      <c r="B22" s="95">
        <v>349000</v>
      </c>
      <c r="C22" s="96">
        <v>1263500</v>
      </c>
      <c r="D22" s="96">
        <v>279500</v>
      </c>
      <c r="E22" s="81">
        <v>1892000</v>
      </c>
      <c r="F22" s="95">
        <v>410100</v>
      </c>
      <c r="G22" s="96">
        <v>1611800</v>
      </c>
      <c r="H22" s="96">
        <v>284500</v>
      </c>
      <c r="I22" s="81">
        <v>2306400</v>
      </c>
      <c r="J22" s="95">
        <v>759100</v>
      </c>
      <c r="K22" s="96">
        <v>2875400</v>
      </c>
      <c r="L22" s="96">
        <v>564000</v>
      </c>
      <c r="M22" s="81">
        <v>4198400</v>
      </c>
      <c r="N22" s="131"/>
      <c r="O22" s="95">
        <v>1446800</v>
      </c>
      <c r="P22" s="96">
        <v>144100</v>
      </c>
      <c r="Q22" s="81">
        <v>301000</v>
      </c>
      <c r="R22" s="132">
        <f t="shared" si="0"/>
        <v>1891900</v>
      </c>
      <c r="S22" s="95">
        <v>1713200</v>
      </c>
      <c r="T22" s="96">
        <v>257100</v>
      </c>
      <c r="U22" s="81">
        <v>336200</v>
      </c>
      <c r="V22" s="133">
        <f t="shared" si="1"/>
        <v>2306500</v>
      </c>
      <c r="W22" s="137">
        <f t="shared" si="2"/>
        <v>0.23526613457370896</v>
      </c>
      <c r="X22" s="138">
        <f t="shared" si="3"/>
        <v>0.25722956861044871</v>
      </c>
      <c r="Y22" s="139">
        <f t="shared" si="4"/>
        <v>0.24733231707317074</v>
      </c>
    </row>
    <row r="23" spans="1:25">
      <c r="A23" s="80" t="s">
        <v>76</v>
      </c>
      <c r="B23" s="97">
        <v>327000</v>
      </c>
      <c r="C23" s="98">
        <v>1229200</v>
      </c>
      <c r="D23" s="98">
        <v>278300</v>
      </c>
      <c r="E23" s="82">
        <v>1834500</v>
      </c>
      <c r="F23" s="97">
        <v>393700</v>
      </c>
      <c r="G23" s="98">
        <v>1594700</v>
      </c>
      <c r="H23" s="98">
        <v>288500</v>
      </c>
      <c r="I23" s="82">
        <v>2276900</v>
      </c>
      <c r="J23" s="97">
        <v>720700</v>
      </c>
      <c r="K23" s="98">
        <v>2823800</v>
      </c>
      <c r="L23" s="98">
        <v>566900</v>
      </c>
      <c r="M23" s="82">
        <v>4111400</v>
      </c>
      <c r="N23" s="140"/>
      <c r="O23" s="97">
        <v>1394700</v>
      </c>
      <c r="P23" s="98">
        <v>139500</v>
      </c>
      <c r="Q23" s="82">
        <v>300300</v>
      </c>
      <c r="R23" s="141">
        <f t="shared" si="0"/>
        <v>1834500</v>
      </c>
      <c r="S23" s="97">
        <v>1679400</v>
      </c>
      <c r="T23" s="98">
        <v>256200</v>
      </c>
      <c r="U23" s="82">
        <v>341400</v>
      </c>
      <c r="V23" s="142">
        <f t="shared" si="1"/>
        <v>2277000</v>
      </c>
      <c r="W23" s="143">
        <f t="shared" si="2"/>
        <v>0.23973834832379395</v>
      </c>
      <c r="X23" s="144">
        <f t="shared" si="3"/>
        <v>0.26245059288537548</v>
      </c>
      <c r="Y23" s="145">
        <f t="shared" si="4"/>
        <v>0.25231667274717257</v>
      </c>
    </row>
    <row r="24" spans="1:25">
      <c r="A24" s="27" t="s">
        <v>77</v>
      </c>
      <c r="B24" s="95">
        <v>310100</v>
      </c>
      <c r="C24" s="96">
        <v>1190400</v>
      </c>
      <c r="D24" s="96">
        <v>273700</v>
      </c>
      <c r="E24" s="81">
        <v>1774300</v>
      </c>
      <c r="F24" s="95">
        <v>380700</v>
      </c>
      <c r="G24" s="96">
        <v>1573700</v>
      </c>
      <c r="H24" s="96">
        <v>290000</v>
      </c>
      <c r="I24" s="81">
        <v>2244400</v>
      </c>
      <c r="J24" s="95">
        <v>690800</v>
      </c>
      <c r="K24" s="96">
        <v>2764100</v>
      </c>
      <c r="L24" s="96">
        <v>563700</v>
      </c>
      <c r="M24" s="81">
        <v>4018600</v>
      </c>
      <c r="N24" s="131"/>
      <c r="O24" s="95">
        <v>1348000</v>
      </c>
      <c r="P24" s="96">
        <v>135800</v>
      </c>
      <c r="Q24" s="81">
        <v>290400</v>
      </c>
      <c r="R24" s="132">
        <f t="shared" si="0"/>
        <v>1774200</v>
      </c>
      <c r="S24" s="95">
        <v>1648400</v>
      </c>
      <c r="T24" s="96">
        <v>253500</v>
      </c>
      <c r="U24" s="81">
        <v>342500</v>
      </c>
      <c r="V24" s="133">
        <f t="shared" si="1"/>
        <v>2244400</v>
      </c>
      <c r="W24" s="137">
        <f t="shared" si="2"/>
        <v>0.24022094465111035</v>
      </c>
      <c r="X24" s="138">
        <f t="shared" si="3"/>
        <v>0.26554981286758156</v>
      </c>
      <c r="Y24" s="139">
        <f t="shared" si="4"/>
        <v>0.25436719255462104</v>
      </c>
    </row>
    <row r="25" spans="1:25">
      <c r="A25" s="27" t="s">
        <v>78</v>
      </c>
      <c r="B25" s="95">
        <v>291600</v>
      </c>
      <c r="C25" s="96">
        <v>1139200</v>
      </c>
      <c r="D25" s="96">
        <v>270300</v>
      </c>
      <c r="E25" s="81">
        <v>1701100</v>
      </c>
      <c r="F25" s="95">
        <v>363200</v>
      </c>
      <c r="G25" s="96">
        <v>1534600</v>
      </c>
      <c r="H25" s="96">
        <v>291100</v>
      </c>
      <c r="I25" s="81">
        <v>2188900</v>
      </c>
      <c r="J25" s="95">
        <v>654700</v>
      </c>
      <c r="K25" s="96">
        <v>2673800</v>
      </c>
      <c r="L25" s="96">
        <v>561400</v>
      </c>
      <c r="M25" s="81">
        <v>3890000</v>
      </c>
      <c r="N25" s="131"/>
      <c r="O25" s="95">
        <v>1296000</v>
      </c>
      <c r="P25" s="96">
        <v>127800</v>
      </c>
      <c r="Q25" s="81">
        <v>277300</v>
      </c>
      <c r="R25" s="132">
        <f t="shared" si="0"/>
        <v>1701100</v>
      </c>
      <c r="S25" s="95">
        <v>1597800</v>
      </c>
      <c r="T25" s="96">
        <v>250500</v>
      </c>
      <c r="U25" s="81">
        <v>340700</v>
      </c>
      <c r="V25" s="133">
        <f t="shared" si="1"/>
        <v>2189000</v>
      </c>
      <c r="W25" s="137">
        <f t="shared" si="2"/>
        <v>0.2381400270413262</v>
      </c>
      <c r="X25" s="138">
        <f t="shared" si="3"/>
        <v>0.27007766103243491</v>
      </c>
      <c r="Y25" s="139">
        <f t="shared" si="4"/>
        <v>0.25611166808051206</v>
      </c>
    </row>
    <row r="26" spans="1:25">
      <c r="A26" s="27" t="s">
        <v>79</v>
      </c>
      <c r="B26" s="95">
        <v>281900</v>
      </c>
      <c r="C26" s="96">
        <v>1108900</v>
      </c>
      <c r="D26" s="96">
        <v>268500</v>
      </c>
      <c r="E26" s="81">
        <v>1659300</v>
      </c>
      <c r="F26" s="95">
        <v>350700</v>
      </c>
      <c r="G26" s="96">
        <v>1505000</v>
      </c>
      <c r="H26" s="96">
        <v>292900</v>
      </c>
      <c r="I26" s="81">
        <v>2148500</v>
      </c>
      <c r="J26" s="95">
        <v>632600</v>
      </c>
      <c r="K26" s="96">
        <v>2614000</v>
      </c>
      <c r="L26" s="96">
        <v>561400</v>
      </c>
      <c r="M26" s="81">
        <v>3807900</v>
      </c>
      <c r="N26" s="131"/>
      <c r="O26" s="95">
        <v>1257400</v>
      </c>
      <c r="P26" s="96">
        <v>133500</v>
      </c>
      <c r="Q26" s="81">
        <v>268500</v>
      </c>
      <c r="R26" s="132">
        <f t="shared" si="0"/>
        <v>1659400</v>
      </c>
      <c r="S26" s="95">
        <v>1551200</v>
      </c>
      <c r="T26" s="96">
        <v>255700</v>
      </c>
      <c r="U26" s="81">
        <v>341600</v>
      </c>
      <c r="V26" s="133">
        <f t="shared" si="1"/>
        <v>2148500</v>
      </c>
      <c r="W26" s="137">
        <f t="shared" si="2"/>
        <v>0.24225623719416656</v>
      </c>
      <c r="X26" s="138">
        <f t="shared" si="3"/>
        <v>0.278007912497091</v>
      </c>
      <c r="Y26" s="139">
        <f t="shared" si="4"/>
        <v>0.26242810998187976</v>
      </c>
    </row>
    <row r="27" spans="1:25">
      <c r="A27" s="80" t="s">
        <v>80</v>
      </c>
      <c r="B27" s="97">
        <v>267400</v>
      </c>
      <c r="C27" s="98">
        <v>1069500</v>
      </c>
      <c r="D27" s="98">
        <v>264500</v>
      </c>
      <c r="E27" s="82">
        <v>1601400</v>
      </c>
      <c r="F27" s="97">
        <v>337200</v>
      </c>
      <c r="G27" s="98">
        <v>1460500</v>
      </c>
      <c r="H27" s="98">
        <v>291200</v>
      </c>
      <c r="I27" s="82">
        <v>2088900</v>
      </c>
      <c r="J27" s="97">
        <v>604600</v>
      </c>
      <c r="K27" s="98">
        <v>2530000</v>
      </c>
      <c r="L27" s="98">
        <v>555700</v>
      </c>
      <c r="M27" s="82">
        <v>3690300</v>
      </c>
      <c r="N27" s="140"/>
      <c r="O27" s="97">
        <v>1192100</v>
      </c>
      <c r="P27" s="98">
        <v>133100</v>
      </c>
      <c r="Q27" s="82">
        <v>276100</v>
      </c>
      <c r="R27" s="141">
        <f t="shared" si="0"/>
        <v>1601300</v>
      </c>
      <c r="S27" s="97">
        <v>1491400</v>
      </c>
      <c r="T27" s="98">
        <v>252100</v>
      </c>
      <c r="U27" s="82">
        <v>345400</v>
      </c>
      <c r="V27" s="142">
        <f t="shared" si="1"/>
        <v>2088900</v>
      </c>
      <c r="W27" s="143">
        <f t="shared" si="2"/>
        <v>0.25554237182289391</v>
      </c>
      <c r="X27" s="144">
        <f t="shared" si="3"/>
        <v>0.28603571257599691</v>
      </c>
      <c r="Y27" s="145">
        <f t="shared" si="4"/>
        <v>0.27280364207902008</v>
      </c>
    </row>
    <row r="28" spans="1:25">
      <c r="A28" s="27" t="s">
        <v>81</v>
      </c>
      <c r="B28" s="95">
        <v>260900</v>
      </c>
      <c r="C28" s="96">
        <v>1041900</v>
      </c>
      <c r="D28" s="96">
        <v>262500</v>
      </c>
      <c r="E28" s="81">
        <v>1565300</v>
      </c>
      <c r="F28" s="95">
        <v>327100</v>
      </c>
      <c r="G28" s="96">
        <v>1426200</v>
      </c>
      <c r="H28" s="96">
        <v>290800</v>
      </c>
      <c r="I28" s="81">
        <v>2044200</v>
      </c>
      <c r="J28" s="95">
        <v>588000</v>
      </c>
      <c r="K28" s="96">
        <v>2468100</v>
      </c>
      <c r="L28" s="96">
        <v>553300</v>
      </c>
      <c r="M28" s="81">
        <v>3609500</v>
      </c>
      <c r="N28" s="131"/>
      <c r="O28" s="95">
        <v>1150700</v>
      </c>
      <c r="P28" s="96">
        <v>136200</v>
      </c>
      <c r="Q28" s="81">
        <v>278300</v>
      </c>
      <c r="R28" s="132">
        <f t="shared" si="0"/>
        <v>1565200</v>
      </c>
      <c r="S28" s="95">
        <v>1445200</v>
      </c>
      <c r="T28" s="96">
        <v>252400</v>
      </c>
      <c r="U28" s="81">
        <v>346600</v>
      </c>
      <c r="V28" s="133">
        <f t="shared" si="1"/>
        <v>2044200</v>
      </c>
      <c r="W28" s="137">
        <f t="shared" si="2"/>
        <v>0.26482238691541016</v>
      </c>
      <c r="X28" s="138">
        <f t="shared" si="3"/>
        <v>0.29302416593288327</v>
      </c>
      <c r="Y28" s="139">
        <f t="shared" si="4"/>
        <v>0.28079459189893058</v>
      </c>
    </row>
    <row r="29" spans="1:25">
      <c r="A29" s="27" t="s">
        <v>82</v>
      </c>
      <c r="B29" s="95">
        <v>263400</v>
      </c>
      <c r="C29" s="96">
        <v>1034100</v>
      </c>
      <c r="D29" s="96">
        <v>261400</v>
      </c>
      <c r="E29" s="81">
        <v>1558800</v>
      </c>
      <c r="F29" s="95">
        <v>322800</v>
      </c>
      <c r="G29" s="96">
        <v>1408700</v>
      </c>
      <c r="H29" s="96">
        <v>290700</v>
      </c>
      <c r="I29" s="81">
        <v>2022200</v>
      </c>
      <c r="J29" s="95">
        <v>586100</v>
      </c>
      <c r="K29" s="96">
        <v>2442800</v>
      </c>
      <c r="L29" s="96">
        <v>552000</v>
      </c>
      <c r="M29" s="81">
        <v>3580900</v>
      </c>
      <c r="N29" s="131"/>
      <c r="O29" s="95">
        <v>1148000</v>
      </c>
      <c r="P29" s="96">
        <v>138700</v>
      </c>
      <c r="Q29" s="81">
        <v>272100</v>
      </c>
      <c r="R29" s="132">
        <f t="shared" si="0"/>
        <v>1558800</v>
      </c>
      <c r="S29" s="95">
        <v>1420200</v>
      </c>
      <c r="T29" s="96">
        <v>254700</v>
      </c>
      <c r="U29" s="81">
        <v>347300</v>
      </c>
      <c r="V29" s="133">
        <f t="shared" si="1"/>
        <v>2022200</v>
      </c>
      <c r="W29" s="137">
        <f t="shared" si="2"/>
        <v>0.26353605337439057</v>
      </c>
      <c r="X29" s="138">
        <f t="shared" si="3"/>
        <v>0.29769557907229749</v>
      </c>
      <c r="Y29" s="139">
        <f t="shared" si="4"/>
        <v>0.28282602624965092</v>
      </c>
    </row>
    <row r="30" spans="1:25">
      <c r="A30" s="27" t="s">
        <v>83</v>
      </c>
      <c r="B30" s="95">
        <v>275100</v>
      </c>
      <c r="C30" s="96">
        <v>1042200</v>
      </c>
      <c r="D30" s="96">
        <v>261000</v>
      </c>
      <c r="E30" s="81">
        <v>1578200</v>
      </c>
      <c r="F30" s="95">
        <v>322700</v>
      </c>
      <c r="G30" s="96">
        <v>1400000</v>
      </c>
      <c r="H30" s="96">
        <v>291500</v>
      </c>
      <c r="I30" s="81">
        <v>2014200</v>
      </c>
      <c r="J30" s="95">
        <v>597800</v>
      </c>
      <c r="K30" s="96">
        <v>2442200</v>
      </c>
      <c r="L30" s="96">
        <v>552400</v>
      </c>
      <c r="M30" s="81">
        <v>3592400</v>
      </c>
      <c r="N30" s="131"/>
      <c r="O30" s="95">
        <v>1180600</v>
      </c>
      <c r="P30" s="96">
        <v>140500</v>
      </c>
      <c r="Q30" s="81">
        <v>257100</v>
      </c>
      <c r="R30" s="132">
        <f t="shared" si="0"/>
        <v>1578200</v>
      </c>
      <c r="S30" s="95">
        <v>1426700</v>
      </c>
      <c r="T30" s="96">
        <v>254000</v>
      </c>
      <c r="U30" s="81">
        <v>333500</v>
      </c>
      <c r="V30" s="133">
        <f t="shared" si="1"/>
        <v>2014200</v>
      </c>
      <c r="W30" s="137">
        <f t="shared" si="2"/>
        <v>0.25193258142187303</v>
      </c>
      <c r="X30" s="138">
        <f t="shared" si="3"/>
        <v>0.29167907854234931</v>
      </c>
      <c r="Y30" s="139">
        <f t="shared" si="4"/>
        <v>0.2742177931188064</v>
      </c>
    </row>
    <row r="31" spans="1:25">
      <c r="A31" s="80" t="s">
        <v>84</v>
      </c>
      <c r="B31" s="97">
        <v>292600</v>
      </c>
      <c r="C31" s="98">
        <v>1069500</v>
      </c>
      <c r="D31" s="98">
        <v>265600</v>
      </c>
      <c r="E31" s="82">
        <v>1627700</v>
      </c>
      <c r="F31" s="97">
        <v>328300</v>
      </c>
      <c r="G31" s="98">
        <v>1407000</v>
      </c>
      <c r="H31" s="98">
        <v>295600</v>
      </c>
      <c r="I31" s="82">
        <v>2030800</v>
      </c>
      <c r="J31" s="97">
        <v>620900</v>
      </c>
      <c r="K31" s="98">
        <v>2476500</v>
      </c>
      <c r="L31" s="98">
        <v>561100</v>
      </c>
      <c r="M31" s="82">
        <v>3658500</v>
      </c>
      <c r="N31" s="140"/>
      <c r="O31" s="97">
        <v>1229000</v>
      </c>
      <c r="P31" s="98">
        <v>143800</v>
      </c>
      <c r="Q31" s="82">
        <v>255000</v>
      </c>
      <c r="R31" s="141">
        <f t="shared" si="0"/>
        <v>1627800</v>
      </c>
      <c r="S31" s="97">
        <v>1441000</v>
      </c>
      <c r="T31" s="98">
        <v>257300</v>
      </c>
      <c r="U31" s="82">
        <v>332500</v>
      </c>
      <c r="V31" s="142">
        <f t="shared" si="1"/>
        <v>2030800</v>
      </c>
      <c r="W31" s="143">
        <f t="shared" si="2"/>
        <v>0.24499324241307285</v>
      </c>
      <c r="X31" s="144">
        <f t="shared" si="3"/>
        <v>0.29042741776639747</v>
      </c>
      <c r="Y31" s="145">
        <f t="shared" si="4"/>
        <v>0.2702126496474061</v>
      </c>
    </row>
    <row r="32" spans="1:25">
      <c r="A32" s="27" t="s">
        <v>85</v>
      </c>
      <c r="B32" s="95">
        <v>301500</v>
      </c>
      <c r="C32" s="96">
        <v>1093000</v>
      </c>
      <c r="D32" s="96">
        <v>268700</v>
      </c>
      <c r="E32" s="81">
        <v>1663200</v>
      </c>
      <c r="F32" s="95">
        <v>328900</v>
      </c>
      <c r="G32" s="96">
        <v>1403500</v>
      </c>
      <c r="H32" s="96">
        <v>298100</v>
      </c>
      <c r="I32" s="81">
        <v>2030500</v>
      </c>
      <c r="J32" s="95">
        <v>630400</v>
      </c>
      <c r="K32" s="96">
        <v>2496400</v>
      </c>
      <c r="L32" s="96">
        <v>566900</v>
      </c>
      <c r="M32" s="81">
        <v>3693700</v>
      </c>
      <c r="N32" s="131"/>
      <c r="O32" s="95">
        <v>1258600</v>
      </c>
      <c r="P32" s="96">
        <v>149600</v>
      </c>
      <c r="Q32" s="81">
        <v>255000</v>
      </c>
      <c r="R32" s="132">
        <f t="shared" si="0"/>
        <v>1663200</v>
      </c>
      <c r="S32" s="95">
        <v>1438200</v>
      </c>
      <c r="T32" s="96">
        <v>262400</v>
      </c>
      <c r="U32" s="81">
        <v>329900</v>
      </c>
      <c r="V32" s="133">
        <f t="shared" si="1"/>
        <v>2030500</v>
      </c>
      <c r="W32" s="137">
        <f t="shared" si="2"/>
        <v>0.24326599326599327</v>
      </c>
      <c r="X32" s="138">
        <f t="shared" si="3"/>
        <v>0.29170155134203396</v>
      </c>
      <c r="Y32" s="139">
        <f t="shared" si="4"/>
        <v>0.26989197823320787</v>
      </c>
    </row>
    <row r="33" spans="1:25">
      <c r="A33" s="27" t="s">
        <v>86</v>
      </c>
      <c r="B33" s="95">
        <v>306400</v>
      </c>
      <c r="C33" s="96">
        <v>1113900</v>
      </c>
      <c r="D33" s="96">
        <v>273100</v>
      </c>
      <c r="E33" s="81">
        <v>1693400</v>
      </c>
      <c r="F33" s="95">
        <v>328800</v>
      </c>
      <c r="G33" s="96">
        <v>1401600</v>
      </c>
      <c r="H33" s="96">
        <v>300300</v>
      </c>
      <c r="I33" s="81">
        <v>2030700</v>
      </c>
      <c r="J33" s="95">
        <v>635200</v>
      </c>
      <c r="K33" s="96">
        <v>2515500</v>
      </c>
      <c r="L33" s="96">
        <v>573500</v>
      </c>
      <c r="M33" s="81">
        <v>3724100</v>
      </c>
      <c r="N33" s="131"/>
      <c r="O33" s="95">
        <v>1285400</v>
      </c>
      <c r="P33" s="96">
        <v>151600</v>
      </c>
      <c r="Q33" s="81">
        <v>256400</v>
      </c>
      <c r="R33" s="132">
        <f t="shared" si="0"/>
        <v>1693400</v>
      </c>
      <c r="S33" s="95">
        <v>1444500</v>
      </c>
      <c r="T33" s="96">
        <v>263100</v>
      </c>
      <c r="U33" s="81">
        <v>323100</v>
      </c>
      <c r="V33" s="133">
        <f t="shared" si="1"/>
        <v>2030700</v>
      </c>
      <c r="W33" s="137">
        <f t="shared" si="2"/>
        <v>0.24093539624424234</v>
      </c>
      <c r="X33" s="138">
        <f t="shared" si="3"/>
        <v>0.28866893189540554</v>
      </c>
      <c r="Y33" s="139">
        <f t="shared" si="4"/>
        <v>0.2669638301871593</v>
      </c>
    </row>
    <row r="34" spans="1:25">
      <c r="A34" s="27" t="s">
        <v>87</v>
      </c>
      <c r="B34" s="95">
        <v>312000</v>
      </c>
      <c r="C34" s="96">
        <v>1127100</v>
      </c>
      <c r="D34" s="96">
        <v>278000</v>
      </c>
      <c r="E34" s="81">
        <v>1717100</v>
      </c>
      <c r="F34" s="95">
        <v>330600</v>
      </c>
      <c r="G34" s="96">
        <v>1397400</v>
      </c>
      <c r="H34" s="96">
        <v>301400</v>
      </c>
      <c r="I34" s="81">
        <v>2029400</v>
      </c>
      <c r="J34" s="95">
        <v>642600</v>
      </c>
      <c r="K34" s="96">
        <v>2524600</v>
      </c>
      <c r="L34" s="96">
        <v>579400</v>
      </c>
      <c r="M34" s="81">
        <v>3746500</v>
      </c>
      <c r="N34" s="131"/>
      <c r="O34" s="95">
        <v>1307900</v>
      </c>
      <c r="P34" s="96">
        <v>156000</v>
      </c>
      <c r="Q34" s="81">
        <v>253300</v>
      </c>
      <c r="R34" s="132">
        <f t="shared" si="0"/>
        <v>1717200</v>
      </c>
      <c r="S34" s="95">
        <v>1449700</v>
      </c>
      <c r="T34" s="96">
        <v>266000</v>
      </c>
      <c r="U34" s="81">
        <v>313700</v>
      </c>
      <c r="V34" s="133">
        <f t="shared" si="1"/>
        <v>2029400</v>
      </c>
      <c r="W34" s="137">
        <f t="shared" si="2"/>
        <v>0.23835313300722105</v>
      </c>
      <c r="X34" s="138">
        <f t="shared" si="3"/>
        <v>0.28565093130974673</v>
      </c>
      <c r="Y34" s="139">
        <f t="shared" si="4"/>
        <v>0.2639726685528212</v>
      </c>
    </row>
    <row r="35" spans="1:25">
      <c r="A35" s="80" t="s">
        <v>88</v>
      </c>
      <c r="B35" s="97">
        <v>316600</v>
      </c>
      <c r="C35" s="98">
        <v>1146100</v>
      </c>
      <c r="D35" s="98">
        <v>281200</v>
      </c>
      <c r="E35" s="82">
        <v>1743900</v>
      </c>
      <c r="F35" s="97">
        <v>332000</v>
      </c>
      <c r="G35" s="98">
        <v>1398100</v>
      </c>
      <c r="H35" s="98">
        <v>302000</v>
      </c>
      <c r="I35" s="82">
        <v>2032100</v>
      </c>
      <c r="J35" s="97">
        <v>648700</v>
      </c>
      <c r="K35" s="98">
        <v>2544200</v>
      </c>
      <c r="L35" s="98">
        <v>583200</v>
      </c>
      <c r="M35" s="82">
        <v>3776000</v>
      </c>
      <c r="N35" s="140"/>
      <c r="O35" s="97">
        <v>1328900</v>
      </c>
      <c r="P35" s="98">
        <v>158300</v>
      </c>
      <c r="Q35" s="82">
        <v>256700</v>
      </c>
      <c r="R35" s="141">
        <f t="shared" si="0"/>
        <v>1743900</v>
      </c>
      <c r="S35" s="97">
        <v>1447000</v>
      </c>
      <c r="T35" s="98">
        <v>266600</v>
      </c>
      <c r="U35" s="82">
        <v>318400</v>
      </c>
      <c r="V35" s="142">
        <f t="shared" si="1"/>
        <v>2032000</v>
      </c>
      <c r="W35" s="143">
        <f t="shared" si="2"/>
        <v>0.23797236080050463</v>
      </c>
      <c r="X35" s="144">
        <f t="shared" si="3"/>
        <v>0.28789370078740156</v>
      </c>
      <c r="Y35" s="145">
        <f t="shared" si="4"/>
        <v>0.2648375221801425</v>
      </c>
    </row>
    <row r="36" spans="1:25">
      <c r="A36" s="27" t="s">
        <v>89</v>
      </c>
      <c r="B36" s="95">
        <v>324800</v>
      </c>
      <c r="C36" s="96">
        <v>1172800</v>
      </c>
      <c r="D36" s="96">
        <v>285400</v>
      </c>
      <c r="E36" s="81">
        <v>1783100</v>
      </c>
      <c r="F36" s="95">
        <v>336800</v>
      </c>
      <c r="G36" s="96">
        <v>1408600</v>
      </c>
      <c r="H36" s="96">
        <v>305300</v>
      </c>
      <c r="I36" s="81">
        <v>2050700</v>
      </c>
      <c r="J36" s="95">
        <v>661600</v>
      </c>
      <c r="K36" s="96">
        <v>2581400</v>
      </c>
      <c r="L36" s="96">
        <v>590800</v>
      </c>
      <c r="M36" s="81">
        <v>3833800</v>
      </c>
      <c r="N36" s="131"/>
      <c r="O36" s="95">
        <v>1361800</v>
      </c>
      <c r="P36" s="96">
        <v>162800</v>
      </c>
      <c r="Q36" s="81">
        <v>258400</v>
      </c>
      <c r="R36" s="132">
        <f t="shared" si="0"/>
        <v>1783000</v>
      </c>
      <c r="S36" s="95">
        <v>1462600</v>
      </c>
      <c r="T36" s="96">
        <v>271900</v>
      </c>
      <c r="U36" s="81">
        <v>316300</v>
      </c>
      <c r="V36" s="133">
        <f t="shared" si="1"/>
        <v>2050800</v>
      </c>
      <c r="W36" s="137">
        <f t="shared" si="2"/>
        <v>0.23623107122826698</v>
      </c>
      <c r="X36" s="138">
        <f t="shared" si="3"/>
        <v>0.28681490150185296</v>
      </c>
      <c r="Y36" s="139">
        <f t="shared" si="4"/>
        <v>0.26328968647295115</v>
      </c>
    </row>
    <row r="37" spans="1:25">
      <c r="A37" s="27" t="s">
        <v>90</v>
      </c>
      <c r="B37" s="95">
        <v>324800</v>
      </c>
      <c r="C37" s="96">
        <v>1194600</v>
      </c>
      <c r="D37" s="96">
        <v>288100</v>
      </c>
      <c r="E37" s="81">
        <v>1807400</v>
      </c>
      <c r="F37" s="95">
        <v>335700</v>
      </c>
      <c r="G37" s="96">
        <v>1416800</v>
      </c>
      <c r="H37" s="96">
        <v>306600</v>
      </c>
      <c r="I37" s="81">
        <v>2059100</v>
      </c>
      <c r="J37" s="95">
        <v>660400</v>
      </c>
      <c r="K37" s="96">
        <v>2611400</v>
      </c>
      <c r="L37" s="96">
        <v>594600</v>
      </c>
      <c r="M37" s="81">
        <v>3866500</v>
      </c>
      <c r="N37" s="131"/>
      <c r="O37" s="95">
        <v>1380200</v>
      </c>
      <c r="P37" s="96">
        <v>166200</v>
      </c>
      <c r="Q37" s="81">
        <v>261000</v>
      </c>
      <c r="R37" s="132">
        <f t="shared" si="0"/>
        <v>1807400</v>
      </c>
      <c r="S37" s="95">
        <v>1470800</v>
      </c>
      <c r="T37" s="96">
        <v>273700</v>
      </c>
      <c r="U37" s="81">
        <v>314600</v>
      </c>
      <c r="V37" s="133">
        <f t="shared" si="1"/>
        <v>2059100</v>
      </c>
      <c r="W37" s="137">
        <f t="shared" si="2"/>
        <v>0.23636162443288702</v>
      </c>
      <c r="X37" s="138">
        <f t="shared" si="3"/>
        <v>0.28570734787042884</v>
      </c>
      <c r="Y37" s="139">
        <f t="shared" si="4"/>
        <v>0.26264063106168367</v>
      </c>
    </row>
    <row r="38" spans="1:25">
      <c r="A38" s="27" t="s">
        <v>91</v>
      </c>
      <c r="B38" s="95">
        <v>327300</v>
      </c>
      <c r="C38" s="96">
        <v>1213400</v>
      </c>
      <c r="D38" s="96">
        <v>289500</v>
      </c>
      <c r="E38" s="81">
        <v>1830100</v>
      </c>
      <c r="F38" s="95">
        <v>339500</v>
      </c>
      <c r="G38" s="96">
        <v>1436300</v>
      </c>
      <c r="H38" s="96">
        <v>308300</v>
      </c>
      <c r="I38" s="81">
        <v>2084000</v>
      </c>
      <c r="J38" s="95">
        <v>666700</v>
      </c>
      <c r="K38" s="96">
        <v>2649700</v>
      </c>
      <c r="L38" s="96">
        <v>597700</v>
      </c>
      <c r="M38" s="81">
        <v>3914200</v>
      </c>
      <c r="N38" s="131"/>
      <c r="O38" s="95">
        <v>1393700</v>
      </c>
      <c r="P38" s="96">
        <v>170000</v>
      </c>
      <c r="Q38" s="81">
        <v>266400</v>
      </c>
      <c r="R38" s="132">
        <f t="shared" si="0"/>
        <v>1830100</v>
      </c>
      <c r="S38" s="95">
        <v>1487900</v>
      </c>
      <c r="T38" s="96">
        <v>280200</v>
      </c>
      <c r="U38" s="81">
        <v>316000</v>
      </c>
      <c r="V38" s="133">
        <f t="shared" si="1"/>
        <v>2084100</v>
      </c>
      <c r="W38" s="137">
        <f t="shared" si="2"/>
        <v>0.23845691492268181</v>
      </c>
      <c r="X38" s="138">
        <f t="shared" si="3"/>
        <v>0.286070725972842</v>
      </c>
      <c r="Y38" s="139">
        <f t="shared" si="4"/>
        <v>0.26380869654080014</v>
      </c>
    </row>
    <row r="39" spans="1:25">
      <c r="A39" s="80" t="s">
        <v>92</v>
      </c>
      <c r="B39" s="97">
        <v>337600</v>
      </c>
      <c r="C39" s="98">
        <v>1231600</v>
      </c>
      <c r="D39" s="98">
        <v>290500</v>
      </c>
      <c r="E39" s="82">
        <v>1859800</v>
      </c>
      <c r="F39" s="97">
        <v>348500</v>
      </c>
      <c r="G39" s="98">
        <v>1447400</v>
      </c>
      <c r="H39" s="98">
        <v>310600</v>
      </c>
      <c r="I39" s="82">
        <v>2106600</v>
      </c>
      <c r="J39" s="97">
        <v>686100</v>
      </c>
      <c r="K39" s="98">
        <v>2679100</v>
      </c>
      <c r="L39" s="98">
        <v>601200</v>
      </c>
      <c r="M39" s="82">
        <v>3966400</v>
      </c>
      <c r="N39" s="140"/>
      <c r="O39" s="97">
        <v>1410700</v>
      </c>
      <c r="P39" s="98">
        <v>175800</v>
      </c>
      <c r="Q39" s="82">
        <v>273200</v>
      </c>
      <c r="R39" s="141">
        <f t="shared" si="0"/>
        <v>1859700</v>
      </c>
      <c r="S39" s="97">
        <v>1495700</v>
      </c>
      <c r="T39" s="98">
        <v>288000</v>
      </c>
      <c r="U39" s="82">
        <v>322800</v>
      </c>
      <c r="V39" s="142">
        <f t="shared" si="1"/>
        <v>2106500</v>
      </c>
      <c r="W39" s="143">
        <f t="shared" si="2"/>
        <v>0.2414367908802495</v>
      </c>
      <c r="X39" s="144">
        <f t="shared" si="3"/>
        <v>0.28995964870638502</v>
      </c>
      <c r="Y39" s="145">
        <f t="shared" si="4"/>
        <v>0.26720790681256618</v>
      </c>
    </row>
    <row r="40" spans="1:25">
      <c r="A40" s="27" t="s">
        <v>93</v>
      </c>
      <c r="B40" s="95">
        <v>335500</v>
      </c>
      <c r="C40" s="96">
        <v>1220700</v>
      </c>
      <c r="D40" s="96">
        <v>285800</v>
      </c>
      <c r="E40" s="81">
        <v>1841900</v>
      </c>
      <c r="F40" s="95">
        <v>349600</v>
      </c>
      <c r="G40" s="96">
        <v>1437100</v>
      </c>
      <c r="H40" s="96">
        <v>310200</v>
      </c>
      <c r="I40" s="81">
        <v>2097000</v>
      </c>
      <c r="J40" s="95">
        <v>685100</v>
      </c>
      <c r="K40" s="96">
        <v>2657800</v>
      </c>
      <c r="L40" s="96">
        <v>596000</v>
      </c>
      <c r="M40" s="81">
        <v>3938900</v>
      </c>
      <c r="N40" s="131"/>
      <c r="O40" s="95">
        <v>1385600</v>
      </c>
      <c r="P40" s="96">
        <v>166800</v>
      </c>
      <c r="Q40" s="81">
        <v>289500</v>
      </c>
      <c r="R40" s="132">
        <f t="shared" ref="R40:R71" si="5">O40+P40+Q40</f>
        <v>1841900</v>
      </c>
      <c r="S40" s="95">
        <v>1475600</v>
      </c>
      <c r="T40" s="96">
        <v>289000</v>
      </c>
      <c r="U40" s="81">
        <v>332400</v>
      </c>
      <c r="V40" s="133">
        <f t="shared" ref="V40:V71" si="6">S40+T40+U40</f>
        <v>2097000</v>
      </c>
      <c r="W40" s="137">
        <f t="shared" ref="W40:W70" si="7">(P40+Q40)/R40</f>
        <v>0.24773331885552963</v>
      </c>
      <c r="X40" s="138">
        <f t="shared" ref="X40:X71" si="8">(T40+U40)/V40</f>
        <v>0.29632808774439678</v>
      </c>
      <c r="Y40" s="139">
        <f t="shared" ref="Y40:Y71" si="9">(P40+Q40+T40+U40)/(R40+V40)</f>
        <v>0.27360430577064665</v>
      </c>
    </row>
    <row r="41" spans="1:25">
      <c r="A41" s="27" t="s">
        <v>94</v>
      </c>
      <c r="B41" s="95">
        <v>338800</v>
      </c>
      <c r="C41" s="96">
        <v>1236300</v>
      </c>
      <c r="D41" s="96">
        <v>286100</v>
      </c>
      <c r="E41" s="81">
        <v>1861200</v>
      </c>
      <c r="F41" s="95">
        <v>353400</v>
      </c>
      <c r="G41" s="96">
        <v>1452000</v>
      </c>
      <c r="H41" s="96">
        <v>312900</v>
      </c>
      <c r="I41" s="81">
        <v>2118300</v>
      </c>
      <c r="J41" s="95">
        <v>692200</v>
      </c>
      <c r="K41" s="96">
        <v>2688300</v>
      </c>
      <c r="L41" s="96">
        <v>599000</v>
      </c>
      <c r="M41" s="81">
        <v>3979500</v>
      </c>
      <c r="N41" s="131"/>
      <c r="O41" s="95">
        <v>1385600</v>
      </c>
      <c r="P41" s="96">
        <v>177900</v>
      </c>
      <c r="Q41" s="81">
        <v>297600</v>
      </c>
      <c r="R41" s="132">
        <f t="shared" si="5"/>
        <v>1861100</v>
      </c>
      <c r="S41" s="95">
        <v>1474900</v>
      </c>
      <c r="T41" s="96">
        <v>301500</v>
      </c>
      <c r="U41" s="81">
        <v>342000</v>
      </c>
      <c r="V41" s="133">
        <f t="shared" si="6"/>
        <v>2118400</v>
      </c>
      <c r="W41" s="137">
        <f t="shared" si="7"/>
        <v>0.25549406265112029</v>
      </c>
      <c r="X41" s="138">
        <f t="shared" si="8"/>
        <v>0.3037669939577039</v>
      </c>
      <c r="Y41" s="139">
        <f t="shared" si="9"/>
        <v>0.28119110441010176</v>
      </c>
    </row>
    <row r="42" spans="1:25">
      <c r="A42" s="27" t="s">
        <v>95</v>
      </c>
      <c r="B42" s="95">
        <v>342200</v>
      </c>
      <c r="C42" s="96">
        <v>1255900</v>
      </c>
      <c r="D42" s="96">
        <v>288400</v>
      </c>
      <c r="E42" s="81">
        <v>1886500</v>
      </c>
      <c r="F42" s="95">
        <v>358500</v>
      </c>
      <c r="G42" s="96">
        <v>1467300</v>
      </c>
      <c r="H42" s="96">
        <v>317100</v>
      </c>
      <c r="I42" s="81">
        <v>2143000</v>
      </c>
      <c r="J42" s="95">
        <v>700700</v>
      </c>
      <c r="K42" s="96">
        <v>2723300</v>
      </c>
      <c r="L42" s="96">
        <v>605500</v>
      </c>
      <c r="M42" s="81">
        <v>4029400</v>
      </c>
      <c r="N42" s="131"/>
      <c r="O42" s="95">
        <v>1397200</v>
      </c>
      <c r="P42" s="96">
        <v>181800</v>
      </c>
      <c r="Q42" s="81">
        <v>307500</v>
      </c>
      <c r="R42" s="132">
        <f t="shared" si="5"/>
        <v>1886500</v>
      </c>
      <c r="S42" s="95">
        <v>1485500</v>
      </c>
      <c r="T42" s="96">
        <v>307400</v>
      </c>
      <c r="U42" s="81">
        <v>350100</v>
      </c>
      <c r="V42" s="133">
        <f t="shared" si="6"/>
        <v>2143000</v>
      </c>
      <c r="W42" s="137">
        <f t="shared" si="7"/>
        <v>0.25936920222634507</v>
      </c>
      <c r="X42" s="138">
        <f t="shared" si="8"/>
        <v>0.30681287914139055</v>
      </c>
      <c r="Y42" s="139">
        <f t="shared" si="9"/>
        <v>0.28460106712991684</v>
      </c>
    </row>
    <row r="43" spans="1:25">
      <c r="A43" s="80" t="s">
        <v>96</v>
      </c>
      <c r="B43" s="97">
        <v>346200</v>
      </c>
      <c r="C43" s="98">
        <v>1266800</v>
      </c>
      <c r="D43" s="98">
        <v>290300</v>
      </c>
      <c r="E43" s="82">
        <v>1903200</v>
      </c>
      <c r="F43" s="97">
        <v>362500</v>
      </c>
      <c r="G43" s="98">
        <v>1479500</v>
      </c>
      <c r="H43" s="98">
        <v>321300</v>
      </c>
      <c r="I43" s="82">
        <v>2163300</v>
      </c>
      <c r="J43" s="97">
        <v>708700</v>
      </c>
      <c r="K43" s="98">
        <v>2746300</v>
      </c>
      <c r="L43" s="98">
        <v>611500</v>
      </c>
      <c r="M43" s="82">
        <v>4066600</v>
      </c>
      <c r="N43" s="140"/>
      <c r="O43" s="97">
        <v>1402000</v>
      </c>
      <c r="P43" s="98">
        <v>182900</v>
      </c>
      <c r="Q43" s="82">
        <v>318400</v>
      </c>
      <c r="R43" s="141">
        <f t="shared" si="5"/>
        <v>1903300</v>
      </c>
      <c r="S43" s="97">
        <v>1489300</v>
      </c>
      <c r="T43" s="98">
        <v>313400</v>
      </c>
      <c r="U43" s="82">
        <v>360600</v>
      </c>
      <c r="V43" s="142">
        <f t="shared" si="6"/>
        <v>2163300</v>
      </c>
      <c r="W43" s="143">
        <f t="shared" si="7"/>
        <v>0.26338464771712289</v>
      </c>
      <c r="X43" s="144">
        <f t="shared" si="8"/>
        <v>0.31156104100217263</v>
      </c>
      <c r="Y43" s="145">
        <f t="shared" si="9"/>
        <v>0.28901293463827277</v>
      </c>
    </row>
    <row r="44" spans="1:25">
      <c r="A44" s="27" t="s">
        <v>97</v>
      </c>
      <c r="B44" s="95">
        <v>348100</v>
      </c>
      <c r="C44" s="96">
        <v>1271800</v>
      </c>
      <c r="D44" s="96">
        <v>290400</v>
      </c>
      <c r="E44" s="81">
        <v>1910300</v>
      </c>
      <c r="F44" s="95">
        <v>365400</v>
      </c>
      <c r="G44" s="96">
        <v>1485100</v>
      </c>
      <c r="H44" s="96">
        <v>324500</v>
      </c>
      <c r="I44" s="81">
        <v>2175000</v>
      </c>
      <c r="J44" s="95">
        <v>713500</v>
      </c>
      <c r="K44" s="96">
        <v>2756900</v>
      </c>
      <c r="L44" s="96">
        <v>614900</v>
      </c>
      <c r="M44" s="81">
        <v>4085300</v>
      </c>
      <c r="N44" s="131"/>
      <c r="O44" s="95">
        <v>1404500</v>
      </c>
      <c r="P44" s="96">
        <v>186700</v>
      </c>
      <c r="Q44" s="81">
        <v>319100</v>
      </c>
      <c r="R44" s="132">
        <f t="shared" si="5"/>
        <v>1910300</v>
      </c>
      <c r="S44" s="95">
        <v>1489800</v>
      </c>
      <c r="T44" s="96">
        <v>320500</v>
      </c>
      <c r="U44" s="81">
        <v>364600</v>
      </c>
      <c r="V44" s="133">
        <f t="shared" si="6"/>
        <v>2174900</v>
      </c>
      <c r="W44" s="137">
        <f t="shared" si="7"/>
        <v>0.26477516620426111</v>
      </c>
      <c r="X44" s="138">
        <f t="shared" si="8"/>
        <v>0.31500298864315601</v>
      </c>
      <c r="Y44" s="139">
        <f t="shared" si="9"/>
        <v>0.29151571526485853</v>
      </c>
    </row>
    <row r="45" spans="1:25">
      <c r="A45" s="27" t="s">
        <v>98</v>
      </c>
      <c r="B45" s="95">
        <v>350300</v>
      </c>
      <c r="C45" s="96">
        <v>1276600</v>
      </c>
      <c r="D45" s="96">
        <v>290400</v>
      </c>
      <c r="E45" s="81">
        <v>1917400</v>
      </c>
      <c r="F45" s="95">
        <v>366300</v>
      </c>
      <c r="G45" s="96">
        <v>1486900</v>
      </c>
      <c r="H45" s="96">
        <v>326900</v>
      </c>
      <c r="I45" s="81">
        <v>2180000</v>
      </c>
      <c r="J45" s="95">
        <v>716600</v>
      </c>
      <c r="K45" s="96">
        <v>2763500</v>
      </c>
      <c r="L45" s="96">
        <v>617200</v>
      </c>
      <c r="M45" s="81">
        <v>4097400</v>
      </c>
      <c r="N45" s="131"/>
      <c r="O45" s="95">
        <v>1404200</v>
      </c>
      <c r="P45" s="96">
        <v>191900</v>
      </c>
      <c r="Q45" s="81">
        <v>321300</v>
      </c>
      <c r="R45" s="132">
        <f t="shared" si="5"/>
        <v>1917400</v>
      </c>
      <c r="S45" s="95">
        <v>1489300</v>
      </c>
      <c r="T45" s="96">
        <v>325000</v>
      </c>
      <c r="U45" s="81">
        <v>365800</v>
      </c>
      <c r="V45" s="133">
        <f t="shared" si="6"/>
        <v>2180100</v>
      </c>
      <c r="W45" s="137">
        <f t="shared" si="7"/>
        <v>0.2676541149473245</v>
      </c>
      <c r="X45" s="138">
        <f t="shared" si="8"/>
        <v>0.31686619879822026</v>
      </c>
      <c r="Y45" s="139">
        <f t="shared" si="9"/>
        <v>0.29383770591824282</v>
      </c>
    </row>
    <row r="46" spans="1:25">
      <c r="A46" s="27" t="s">
        <v>99</v>
      </c>
      <c r="B46" s="95">
        <v>341400</v>
      </c>
      <c r="C46" s="96">
        <v>1260400</v>
      </c>
      <c r="D46" s="96">
        <v>288800</v>
      </c>
      <c r="E46" s="81">
        <v>1890600</v>
      </c>
      <c r="F46" s="95">
        <v>360100</v>
      </c>
      <c r="G46" s="96">
        <v>1473600</v>
      </c>
      <c r="H46" s="96">
        <v>328300</v>
      </c>
      <c r="I46" s="81">
        <v>2162000</v>
      </c>
      <c r="J46" s="95">
        <v>701500</v>
      </c>
      <c r="K46" s="96">
        <v>2734000</v>
      </c>
      <c r="L46" s="96">
        <v>617100</v>
      </c>
      <c r="M46" s="81">
        <v>4052600</v>
      </c>
      <c r="N46" s="131"/>
      <c r="O46" s="95">
        <v>1372900</v>
      </c>
      <c r="P46" s="96">
        <v>194200</v>
      </c>
      <c r="Q46" s="81">
        <v>323500</v>
      </c>
      <c r="R46" s="132">
        <f t="shared" si="5"/>
        <v>1890600</v>
      </c>
      <c r="S46" s="95">
        <v>1466000</v>
      </c>
      <c r="T46" s="96">
        <v>327000</v>
      </c>
      <c r="U46" s="81">
        <v>368900</v>
      </c>
      <c r="V46" s="133">
        <f t="shared" si="6"/>
        <v>2161900</v>
      </c>
      <c r="W46" s="137">
        <f t="shared" si="7"/>
        <v>0.2738284142600233</v>
      </c>
      <c r="X46" s="138">
        <f t="shared" si="8"/>
        <v>0.32189277949951434</v>
      </c>
      <c r="Y46" s="139">
        <f t="shared" si="9"/>
        <v>0.29946946329426283</v>
      </c>
    </row>
    <row r="47" spans="1:25">
      <c r="A47" s="80" t="s">
        <v>100</v>
      </c>
      <c r="B47" s="97">
        <v>329200</v>
      </c>
      <c r="C47" s="98">
        <v>1233400</v>
      </c>
      <c r="D47" s="98">
        <v>283300</v>
      </c>
      <c r="E47" s="82">
        <v>1845800</v>
      </c>
      <c r="F47" s="97">
        <v>351500</v>
      </c>
      <c r="G47" s="98">
        <v>1449900</v>
      </c>
      <c r="H47" s="98">
        <v>325700</v>
      </c>
      <c r="I47" s="82">
        <v>2127100</v>
      </c>
      <c r="J47" s="97">
        <v>680600</v>
      </c>
      <c r="K47" s="98">
        <v>2683300</v>
      </c>
      <c r="L47" s="98">
        <v>609000</v>
      </c>
      <c r="M47" s="82">
        <v>3972900</v>
      </c>
      <c r="N47" s="140"/>
      <c r="O47" s="97">
        <v>1335800</v>
      </c>
      <c r="P47" s="98">
        <v>189100</v>
      </c>
      <c r="Q47" s="82">
        <v>321000</v>
      </c>
      <c r="R47" s="141">
        <f t="shared" si="5"/>
        <v>1845900</v>
      </c>
      <c r="S47" s="97">
        <v>1439100</v>
      </c>
      <c r="T47" s="98">
        <v>324600</v>
      </c>
      <c r="U47" s="82">
        <v>363400</v>
      </c>
      <c r="V47" s="142">
        <f t="shared" si="6"/>
        <v>2127100</v>
      </c>
      <c r="W47" s="143">
        <f t="shared" si="7"/>
        <v>0.27634216371417736</v>
      </c>
      <c r="X47" s="144">
        <f t="shared" si="8"/>
        <v>0.32344506605237178</v>
      </c>
      <c r="Y47" s="145">
        <f t="shared" si="9"/>
        <v>0.30156053360181223</v>
      </c>
    </row>
    <row r="48" spans="1:25">
      <c r="A48" s="27" t="s">
        <v>101</v>
      </c>
      <c r="B48" s="95">
        <v>320900</v>
      </c>
      <c r="C48" s="96">
        <v>1207800</v>
      </c>
      <c r="D48" s="96">
        <v>277400</v>
      </c>
      <c r="E48" s="81">
        <v>1806000</v>
      </c>
      <c r="F48" s="95">
        <v>341100</v>
      </c>
      <c r="G48" s="96">
        <v>1420500</v>
      </c>
      <c r="H48" s="96">
        <v>322500</v>
      </c>
      <c r="I48" s="81">
        <v>2084100</v>
      </c>
      <c r="J48" s="95">
        <v>662000</v>
      </c>
      <c r="K48" s="96">
        <v>2628300</v>
      </c>
      <c r="L48" s="96">
        <v>599900</v>
      </c>
      <c r="M48" s="81">
        <v>3890200</v>
      </c>
      <c r="N48" s="131"/>
      <c r="O48" s="95">
        <v>1305400</v>
      </c>
      <c r="P48" s="96">
        <v>187800</v>
      </c>
      <c r="Q48" s="81">
        <v>312800</v>
      </c>
      <c r="R48" s="132">
        <f t="shared" si="5"/>
        <v>1806000</v>
      </c>
      <c r="S48" s="95">
        <v>1403500</v>
      </c>
      <c r="T48" s="96">
        <v>326100</v>
      </c>
      <c r="U48" s="81">
        <v>354500</v>
      </c>
      <c r="V48" s="133">
        <f t="shared" si="6"/>
        <v>2084100</v>
      </c>
      <c r="W48" s="137">
        <f t="shared" si="7"/>
        <v>0.27718715393133997</v>
      </c>
      <c r="X48" s="138">
        <f t="shared" si="8"/>
        <v>0.32656782304112086</v>
      </c>
      <c r="Y48" s="139">
        <f t="shared" si="9"/>
        <v>0.30364257988226523</v>
      </c>
    </row>
    <row r="49" spans="1:25">
      <c r="A49" s="27" t="s">
        <v>102</v>
      </c>
      <c r="B49" s="95">
        <v>305400</v>
      </c>
      <c r="C49" s="96">
        <v>1172600</v>
      </c>
      <c r="D49" s="96">
        <v>270800</v>
      </c>
      <c r="E49" s="81">
        <v>1748800</v>
      </c>
      <c r="F49" s="95">
        <v>329600</v>
      </c>
      <c r="G49" s="96">
        <v>1386100</v>
      </c>
      <c r="H49" s="96">
        <v>318200</v>
      </c>
      <c r="I49" s="81">
        <v>2034000</v>
      </c>
      <c r="J49" s="95">
        <v>635000</v>
      </c>
      <c r="K49" s="96">
        <v>2558700</v>
      </c>
      <c r="L49" s="96">
        <v>589000</v>
      </c>
      <c r="M49" s="81">
        <v>3782700</v>
      </c>
      <c r="N49" s="131"/>
      <c r="O49" s="95">
        <v>1252100</v>
      </c>
      <c r="P49" s="96">
        <v>184800</v>
      </c>
      <c r="Q49" s="81">
        <v>311900</v>
      </c>
      <c r="R49" s="132">
        <f t="shared" si="5"/>
        <v>1748800</v>
      </c>
      <c r="S49" s="95">
        <v>1354000</v>
      </c>
      <c r="T49" s="96">
        <v>326800</v>
      </c>
      <c r="U49" s="81">
        <v>353200</v>
      </c>
      <c r="V49" s="133">
        <f t="shared" si="6"/>
        <v>2034000</v>
      </c>
      <c r="W49" s="137">
        <f t="shared" si="7"/>
        <v>0.28402333028362303</v>
      </c>
      <c r="X49" s="138">
        <f t="shared" si="8"/>
        <v>0.33431661750245822</v>
      </c>
      <c r="Y49" s="139">
        <f t="shared" si="9"/>
        <v>0.31106587712805328</v>
      </c>
    </row>
    <row r="50" spans="1:25">
      <c r="A50" s="27" t="s">
        <v>103</v>
      </c>
      <c r="B50" s="95">
        <v>296600</v>
      </c>
      <c r="C50" s="96">
        <v>1142900</v>
      </c>
      <c r="D50" s="96">
        <v>264200</v>
      </c>
      <c r="E50" s="81">
        <v>1703700</v>
      </c>
      <c r="F50" s="95">
        <v>323100</v>
      </c>
      <c r="G50" s="96">
        <v>1348000</v>
      </c>
      <c r="H50" s="96">
        <v>311700</v>
      </c>
      <c r="I50" s="81">
        <v>1982900</v>
      </c>
      <c r="J50" s="95">
        <v>619800</v>
      </c>
      <c r="K50" s="96">
        <v>2490900</v>
      </c>
      <c r="L50" s="96">
        <v>575900</v>
      </c>
      <c r="M50" s="81">
        <v>3686600</v>
      </c>
      <c r="N50" s="131"/>
      <c r="O50" s="95">
        <v>1216600</v>
      </c>
      <c r="P50" s="96">
        <v>182100</v>
      </c>
      <c r="Q50" s="81">
        <v>305000</v>
      </c>
      <c r="R50" s="132">
        <f t="shared" si="5"/>
        <v>1703700</v>
      </c>
      <c r="S50" s="95">
        <v>1307100</v>
      </c>
      <c r="T50" s="96">
        <v>323800</v>
      </c>
      <c r="U50" s="81">
        <v>352000</v>
      </c>
      <c r="V50" s="133">
        <f t="shared" si="6"/>
        <v>1982900</v>
      </c>
      <c r="W50" s="137">
        <f t="shared" si="7"/>
        <v>0.28590714327639843</v>
      </c>
      <c r="X50" s="138">
        <f t="shared" si="8"/>
        <v>0.34081395935246356</v>
      </c>
      <c r="Y50" s="139">
        <f t="shared" si="9"/>
        <v>0.31543970053708026</v>
      </c>
    </row>
    <row r="51" spans="1:25">
      <c r="A51" s="80" t="s">
        <v>104</v>
      </c>
      <c r="B51" s="97">
        <v>292700</v>
      </c>
      <c r="C51" s="98">
        <v>1118300</v>
      </c>
      <c r="D51" s="98">
        <v>257600</v>
      </c>
      <c r="E51" s="82">
        <v>1668600</v>
      </c>
      <c r="F51" s="97">
        <v>320200</v>
      </c>
      <c r="G51" s="98">
        <v>1314300</v>
      </c>
      <c r="H51" s="98">
        <v>303700</v>
      </c>
      <c r="I51" s="82">
        <v>1938300</v>
      </c>
      <c r="J51" s="97">
        <v>612900</v>
      </c>
      <c r="K51" s="98">
        <v>2432700</v>
      </c>
      <c r="L51" s="98">
        <v>561300</v>
      </c>
      <c r="M51" s="82">
        <v>3606800</v>
      </c>
      <c r="N51" s="140"/>
      <c r="O51" s="97">
        <v>1190800</v>
      </c>
      <c r="P51" s="98">
        <v>185400</v>
      </c>
      <c r="Q51" s="82">
        <v>292400</v>
      </c>
      <c r="R51" s="141">
        <f t="shared" si="5"/>
        <v>1668600</v>
      </c>
      <c r="S51" s="97">
        <v>1275500</v>
      </c>
      <c r="T51" s="98">
        <v>319200</v>
      </c>
      <c r="U51" s="82">
        <v>343600</v>
      </c>
      <c r="V51" s="142">
        <f t="shared" si="6"/>
        <v>1938300</v>
      </c>
      <c r="W51" s="143">
        <f t="shared" si="7"/>
        <v>0.28634783650964879</v>
      </c>
      <c r="X51" s="144">
        <f t="shared" si="8"/>
        <v>0.34194913068152505</v>
      </c>
      <c r="Y51" s="145">
        <f t="shared" si="9"/>
        <v>0.31622723114031442</v>
      </c>
    </row>
    <row r="52" spans="1:25">
      <c r="A52" s="27" t="s">
        <v>105</v>
      </c>
      <c r="B52" s="95">
        <v>282600</v>
      </c>
      <c r="C52" s="96">
        <v>1090400</v>
      </c>
      <c r="D52" s="96">
        <v>250400</v>
      </c>
      <c r="E52" s="81">
        <v>1623400</v>
      </c>
      <c r="F52" s="95">
        <v>313300</v>
      </c>
      <c r="G52" s="96">
        <v>1278200</v>
      </c>
      <c r="H52" s="96">
        <v>294400</v>
      </c>
      <c r="I52" s="81">
        <v>1885800</v>
      </c>
      <c r="J52" s="95">
        <v>595900</v>
      </c>
      <c r="K52" s="96">
        <v>2368600</v>
      </c>
      <c r="L52" s="96">
        <v>544700</v>
      </c>
      <c r="M52" s="81">
        <v>3509200</v>
      </c>
      <c r="N52" s="131"/>
      <c r="O52" s="95">
        <v>1145100</v>
      </c>
      <c r="P52" s="96">
        <v>180700</v>
      </c>
      <c r="Q52" s="81">
        <v>297600</v>
      </c>
      <c r="R52" s="132">
        <f t="shared" si="5"/>
        <v>1623400</v>
      </c>
      <c r="S52" s="95">
        <v>1231300</v>
      </c>
      <c r="T52" s="96">
        <v>311300</v>
      </c>
      <c r="U52" s="81">
        <v>343200</v>
      </c>
      <c r="V52" s="133">
        <f t="shared" si="6"/>
        <v>1885800</v>
      </c>
      <c r="W52" s="137">
        <f t="shared" si="7"/>
        <v>0.29462855734877419</v>
      </c>
      <c r="X52" s="138">
        <f t="shared" si="8"/>
        <v>0.34706755753526353</v>
      </c>
      <c r="Y52" s="139">
        <f t="shared" si="9"/>
        <v>0.32280861734868344</v>
      </c>
    </row>
    <row r="53" spans="1:25">
      <c r="A53" s="27" t="s">
        <v>106</v>
      </c>
      <c r="B53" s="95">
        <v>272700</v>
      </c>
      <c r="C53" s="96">
        <v>1064800</v>
      </c>
      <c r="D53" s="96">
        <v>242400</v>
      </c>
      <c r="E53" s="81">
        <v>1579900</v>
      </c>
      <c r="F53" s="95">
        <v>305900</v>
      </c>
      <c r="G53" s="96">
        <v>1251700</v>
      </c>
      <c r="H53" s="96">
        <v>285400</v>
      </c>
      <c r="I53" s="81">
        <v>1843000</v>
      </c>
      <c r="J53" s="95">
        <v>578600</v>
      </c>
      <c r="K53" s="96">
        <v>2316600</v>
      </c>
      <c r="L53" s="96">
        <v>527700</v>
      </c>
      <c r="M53" s="81">
        <v>3422900</v>
      </c>
      <c r="N53" s="131"/>
      <c r="O53" s="95">
        <v>1109700</v>
      </c>
      <c r="P53" s="96">
        <v>173800</v>
      </c>
      <c r="Q53" s="81">
        <v>296400</v>
      </c>
      <c r="R53" s="132">
        <f t="shared" si="5"/>
        <v>1579900</v>
      </c>
      <c r="S53" s="95">
        <v>1194500</v>
      </c>
      <c r="T53" s="96">
        <v>300400</v>
      </c>
      <c r="U53" s="81">
        <v>348000</v>
      </c>
      <c r="V53" s="133">
        <f t="shared" si="6"/>
        <v>1842900</v>
      </c>
      <c r="W53" s="137">
        <f t="shared" si="7"/>
        <v>0.29761377302360909</v>
      </c>
      <c r="X53" s="138">
        <f t="shared" si="8"/>
        <v>0.35183677898963589</v>
      </c>
      <c r="Y53" s="139">
        <f t="shared" si="9"/>
        <v>0.32680846090919713</v>
      </c>
    </row>
    <row r="54" spans="1:25">
      <c r="A54" s="27" t="s">
        <v>107</v>
      </c>
      <c r="B54" s="95">
        <v>270500</v>
      </c>
      <c r="C54" s="96">
        <v>1048000</v>
      </c>
      <c r="D54" s="96">
        <v>237300</v>
      </c>
      <c r="E54" s="81">
        <v>1555800</v>
      </c>
      <c r="F54" s="95">
        <v>302400</v>
      </c>
      <c r="G54" s="96">
        <v>1230300</v>
      </c>
      <c r="H54" s="96">
        <v>279900</v>
      </c>
      <c r="I54" s="81">
        <v>1812500</v>
      </c>
      <c r="J54" s="95">
        <v>572900</v>
      </c>
      <c r="K54" s="96">
        <v>2278300</v>
      </c>
      <c r="L54" s="96">
        <v>517200</v>
      </c>
      <c r="M54" s="81">
        <v>3368300</v>
      </c>
      <c r="N54" s="131"/>
      <c r="O54" s="95">
        <v>1095400</v>
      </c>
      <c r="P54" s="96">
        <v>176400</v>
      </c>
      <c r="Q54" s="81">
        <v>284000</v>
      </c>
      <c r="R54" s="132">
        <f t="shared" si="5"/>
        <v>1555800</v>
      </c>
      <c r="S54" s="95">
        <v>1173900</v>
      </c>
      <c r="T54" s="96">
        <v>297100</v>
      </c>
      <c r="U54" s="81">
        <v>341600</v>
      </c>
      <c r="V54" s="133">
        <f t="shared" si="6"/>
        <v>1812600</v>
      </c>
      <c r="W54" s="137">
        <f t="shared" si="7"/>
        <v>0.2959249260830441</v>
      </c>
      <c r="X54" s="138">
        <f t="shared" si="8"/>
        <v>0.3523667659715326</v>
      </c>
      <c r="Y54" s="139">
        <f t="shared" si="9"/>
        <v>0.3262973518584491</v>
      </c>
    </row>
    <row r="55" spans="1:25">
      <c r="A55" s="80" t="s">
        <v>108</v>
      </c>
      <c r="B55" s="97">
        <v>261900</v>
      </c>
      <c r="C55" s="98">
        <v>1029200</v>
      </c>
      <c r="D55" s="98">
        <v>233600</v>
      </c>
      <c r="E55" s="82">
        <v>1524600</v>
      </c>
      <c r="F55" s="97">
        <v>293900</v>
      </c>
      <c r="G55" s="98">
        <v>1209400</v>
      </c>
      <c r="H55" s="98">
        <v>276600</v>
      </c>
      <c r="I55" s="82">
        <v>1779900</v>
      </c>
      <c r="J55" s="97">
        <v>555800</v>
      </c>
      <c r="K55" s="98">
        <v>2238600</v>
      </c>
      <c r="L55" s="98">
        <v>510200</v>
      </c>
      <c r="M55" s="82">
        <v>3304600</v>
      </c>
      <c r="N55" s="140"/>
      <c r="O55" s="97">
        <v>1062800</v>
      </c>
      <c r="P55" s="98">
        <v>171900</v>
      </c>
      <c r="Q55" s="82">
        <v>290000</v>
      </c>
      <c r="R55" s="141">
        <f t="shared" si="5"/>
        <v>1524700</v>
      </c>
      <c r="S55" s="97">
        <v>1143400</v>
      </c>
      <c r="T55" s="98">
        <v>291500</v>
      </c>
      <c r="U55" s="82">
        <v>345000</v>
      </c>
      <c r="V55" s="142">
        <f t="shared" si="6"/>
        <v>1779900</v>
      </c>
      <c r="W55" s="143">
        <f t="shared" si="7"/>
        <v>0.30294484160818519</v>
      </c>
      <c r="X55" s="144">
        <f t="shared" si="8"/>
        <v>0.35760435979549415</v>
      </c>
      <c r="Y55" s="145">
        <f t="shared" si="9"/>
        <v>0.33238516007988866</v>
      </c>
    </row>
    <row r="56" spans="1:25">
      <c r="A56" s="27" t="s">
        <v>109</v>
      </c>
      <c r="B56" s="95">
        <v>257900</v>
      </c>
      <c r="C56" s="96">
        <v>1014100</v>
      </c>
      <c r="D56" s="96">
        <v>230700</v>
      </c>
      <c r="E56" s="81">
        <v>1502800</v>
      </c>
      <c r="F56" s="95">
        <v>292900</v>
      </c>
      <c r="G56" s="96">
        <v>1196400</v>
      </c>
      <c r="H56" s="96">
        <v>275000</v>
      </c>
      <c r="I56" s="81">
        <v>1764300</v>
      </c>
      <c r="J56" s="95">
        <v>550900</v>
      </c>
      <c r="K56" s="96">
        <v>2210500</v>
      </c>
      <c r="L56" s="96">
        <v>505700</v>
      </c>
      <c r="M56" s="81">
        <v>3267100</v>
      </c>
      <c r="N56" s="131"/>
      <c r="O56" s="95">
        <v>1035600</v>
      </c>
      <c r="P56" s="96">
        <v>173300</v>
      </c>
      <c r="Q56" s="81">
        <v>293900</v>
      </c>
      <c r="R56" s="132">
        <f t="shared" si="5"/>
        <v>1502800</v>
      </c>
      <c r="S56" s="95">
        <v>1124700</v>
      </c>
      <c r="T56" s="96">
        <v>292900</v>
      </c>
      <c r="U56" s="81">
        <v>346800</v>
      </c>
      <c r="V56" s="133">
        <f t="shared" si="6"/>
        <v>1764400</v>
      </c>
      <c r="W56" s="137">
        <f t="shared" si="7"/>
        <v>0.31088634548842159</v>
      </c>
      <c r="X56" s="138">
        <f t="shared" si="8"/>
        <v>0.36255951031512129</v>
      </c>
      <c r="Y56" s="139">
        <f t="shared" si="9"/>
        <v>0.33879162585700295</v>
      </c>
    </row>
    <row r="57" spans="1:25">
      <c r="A57" s="27" t="s">
        <v>110</v>
      </c>
      <c r="B57" s="95">
        <v>260500</v>
      </c>
      <c r="C57" s="96">
        <v>1007300</v>
      </c>
      <c r="D57" s="96">
        <v>231200</v>
      </c>
      <c r="E57" s="81">
        <v>1499000</v>
      </c>
      <c r="F57" s="95">
        <v>292100</v>
      </c>
      <c r="G57" s="96">
        <v>1179400</v>
      </c>
      <c r="H57" s="96">
        <v>274700</v>
      </c>
      <c r="I57" s="81">
        <v>1746200</v>
      </c>
      <c r="J57" s="95">
        <v>552600</v>
      </c>
      <c r="K57" s="96">
        <v>2186700</v>
      </c>
      <c r="L57" s="96">
        <v>505900</v>
      </c>
      <c r="M57" s="81">
        <v>3245200</v>
      </c>
      <c r="N57" s="131"/>
      <c r="O57" s="95">
        <v>1045400</v>
      </c>
      <c r="P57" s="96">
        <v>175800</v>
      </c>
      <c r="Q57" s="81">
        <v>277800</v>
      </c>
      <c r="R57" s="132">
        <f t="shared" si="5"/>
        <v>1499000</v>
      </c>
      <c r="S57" s="95">
        <v>1118100</v>
      </c>
      <c r="T57" s="96">
        <v>289400</v>
      </c>
      <c r="U57" s="81">
        <v>338600</v>
      </c>
      <c r="V57" s="133">
        <f t="shared" si="6"/>
        <v>1746100</v>
      </c>
      <c r="W57" s="137">
        <f t="shared" si="7"/>
        <v>0.30260173448965977</v>
      </c>
      <c r="X57" s="138">
        <f t="shared" si="8"/>
        <v>0.35965866788843709</v>
      </c>
      <c r="Y57" s="139">
        <f t="shared" si="9"/>
        <v>0.33330251764198332</v>
      </c>
    </row>
    <row r="58" spans="1:25">
      <c r="A58" s="27" t="s">
        <v>111</v>
      </c>
      <c r="B58" s="95">
        <v>270200</v>
      </c>
      <c r="C58" s="96">
        <v>1022200</v>
      </c>
      <c r="D58" s="96">
        <v>233900</v>
      </c>
      <c r="E58" s="81">
        <v>1526200</v>
      </c>
      <c r="F58" s="95">
        <v>295000</v>
      </c>
      <c r="G58" s="96">
        <v>1183100</v>
      </c>
      <c r="H58" s="96">
        <v>276300</v>
      </c>
      <c r="I58" s="81">
        <v>1754500</v>
      </c>
      <c r="J58" s="95">
        <v>565200</v>
      </c>
      <c r="K58" s="96">
        <v>2205300</v>
      </c>
      <c r="L58" s="96">
        <v>510200</v>
      </c>
      <c r="M58" s="81">
        <v>3280600</v>
      </c>
      <c r="N58" s="131"/>
      <c r="O58" s="95">
        <v>1085100</v>
      </c>
      <c r="P58" s="96">
        <v>178100</v>
      </c>
      <c r="Q58" s="81">
        <v>263000</v>
      </c>
      <c r="R58" s="132">
        <f t="shared" si="5"/>
        <v>1526200</v>
      </c>
      <c r="S58" s="95">
        <v>1133300</v>
      </c>
      <c r="T58" s="96">
        <v>291500</v>
      </c>
      <c r="U58" s="81">
        <v>329600</v>
      </c>
      <c r="V58" s="133">
        <f t="shared" si="6"/>
        <v>1754400</v>
      </c>
      <c r="W58" s="137">
        <f t="shared" si="7"/>
        <v>0.28901847726379243</v>
      </c>
      <c r="X58" s="138">
        <f t="shared" si="8"/>
        <v>0.35402416780665752</v>
      </c>
      <c r="Y58" s="139">
        <f t="shared" si="9"/>
        <v>0.32378223495702008</v>
      </c>
    </row>
    <row r="59" spans="1:25">
      <c r="A59" s="80" t="s">
        <v>112</v>
      </c>
      <c r="B59" s="97">
        <v>297200</v>
      </c>
      <c r="C59" s="98">
        <v>1072100</v>
      </c>
      <c r="D59" s="98">
        <v>242800</v>
      </c>
      <c r="E59" s="82">
        <v>1612100</v>
      </c>
      <c r="F59" s="97">
        <v>307100</v>
      </c>
      <c r="G59" s="98">
        <v>1197800</v>
      </c>
      <c r="H59" s="98">
        <v>280400</v>
      </c>
      <c r="I59" s="82">
        <v>1785300</v>
      </c>
      <c r="J59" s="97">
        <v>604400</v>
      </c>
      <c r="K59" s="98">
        <v>2269900</v>
      </c>
      <c r="L59" s="98">
        <v>523200</v>
      </c>
      <c r="M59" s="82">
        <v>3397400</v>
      </c>
      <c r="N59" s="140"/>
      <c r="O59" s="97">
        <v>1171300</v>
      </c>
      <c r="P59" s="98">
        <v>184300</v>
      </c>
      <c r="Q59" s="82">
        <v>256500</v>
      </c>
      <c r="R59" s="141">
        <f t="shared" si="5"/>
        <v>1612100</v>
      </c>
      <c r="S59" s="97">
        <v>1168100</v>
      </c>
      <c r="T59" s="98">
        <v>292300</v>
      </c>
      <c r="U59" s="82">
        <v>324900</v>
      </c>
      <c r="V59" s="142">
        <f t="shared" si="6"/>
        <v>1785300</v>
      </c>
      <c r="W59" s="143">
        <f t="shared" si="7"/>
        <v>0.27343216922027169</v>
      </c>
      <c r="X59" s="144">
        <f t="shared" si="8"/>
        <v>0.34571220523161372</v>
      </c>
      <c r="Y59" s="145">
        <f t="shared" si="9"/>
        <v>0.31141461117325014</v>
      </c>
    </row>
    <row r="60" spans="1:25">
      <c r="A60" s="27" t="s">
        <v>113</v>
      </c>
      <c r="B60" s="95">
        <v>334600</v>
      </c>
      <c r="C60" s="96">
        <v>1150800</v>
      </c>
      <c r="D60" s="96">
        <v>259200</v>
      </c>
      <c r="E60" s="81">
        <v>1744700</v>
      </c>
      <c r="F60" s="95">
        <v>325400</v>
      </c>
      <c r="G60" s="96">
        <v>1232400</v>
      </c>
      <c r="H60" s="96">
        <v>290500</v>
      </c>
      <c r="I60" s="81">
        <v>1848200</v>
      </c>
      <c r="J60" s="95">
        <v>660000</v>
      </c>
      <c r="K60" s="96">
        <v>2383200</v>
      </c>
      <c r="L60" s="96">
        <v>549700</v>
      </c>
      <c r="M60" s="81">
        <v>3592900</v>
      </c>
      <c r="N60" s="131"/>
      <c r="O60" s="95">
        <v>1305100</v>
      </c>
      <c r="P60" s="96">
        <v>189900</v>
      </c>
      <c r="Q60" s="81">
        <v>249700</v>
      </c>
      <c r="R60" s="132">
        <f t="shared" si="5"/>
        <v>1744700</v>
      </c>
      <c r="S60" s="95">
        <v>1232500</v>
      </c>
      <c r="T60" s="96">
        <v>295000</v>
      </c>
      <c r="U60" s="81">
        <v>320700</v>
      </c>
      <c r="V60" s="133">
        <f t="shared" si="6"/>
        <v>1848200</v>
      </c>
      <c r="W60" s="137">
        <f t="shared" si="7"/>
        <v>0.25196308821000746</v>
      </c>
      <c r="X60" s="138">
        <f t="shared" si="8"/>
        <v>0.33313494210583272</v>
      </c>
      <c r="Y60" s="139">
        <f t="shared" si="9"/>
        <v>0.29371816638370118</v>
      </c>
    </row>
    <row r="61" spans="1:25">
      <c r="A61" s="27" t="s">
        <v>114</v>
      </c>
      <c r="B61" s="95">
        <v>368100</v>
      </c>
      <c r="C61" s="96">
        <v>1231400</v>
      </c>
      <c r="D61" s="96">
        <v>277800</v>
      </c>
      <c r="E61" s="81">
        <v>1877300</v>
      </c>
      <c r="F61" s="95">
        <v>344300</v>
      </c>
      <c r="G61" s="96">
        <v>1277400</v>
      </c>
      <c r="H61" s="96">
        <v>304400</v>
      </c>
      <c r="I61" s="81">
        <v>1926200</v>
      </c>
      <c r="J61" s="95">
        <v>712400</v>
      </c>
      <c r="K61" s="96">
        <v>2508800</v>
      </c>
      <c r="L61" s="96">
        <v>582200</v>
      </c>
      <c r="M61" s="81">
        <v>3803400</v>
      </c>
      <c r="N61" s="131"/>
      <c r="O61" s="95">
        <v>1408400</v>
      </c>
      <c r="P61" s="96">
        <v>203300</v>
      </c>
      <c r="Q61" s="81">
        <v>265600</v>
      </c>
      <c r="R61" s="132">
        <f t="shared" si="5"/>
        <v>1877300</v>
      </c>
      <c r="S61" s="95">
        <v>1287400</v>
      </c>
      <c r="T61" s="96">
        <v>305400</v>
      </c>
      <c r="U61" s="81">
        <v>333300</v>
      </c>
      <c r="V61" s="133">
        <f t="shared" si="6"/>
        <v>1926100</v>
      </c>
      <c r="W61" s="137">
        <f t="shared" si="7"/>
        <v>0.24977361103712778</v>
      </c>
      <c r="X61" s="138">
        <f t="shared" si="8"/>
        <v>0.33160272052333734</v>
      </c>
      <c r="Y61" s="139">
        <f t="shared" si="9"/>
        <v>0.29121312509859598</v>
      </c>
    </row>
    <row r="62" spans="1:25">
      <c r="A62" s="27" t="s">
        <v>115</v>
      </c>
      <c r="B62" s="95">
        <v>378600</v>
      </c>
      <c r="C62" s="96">
        <v>1280900</v>
      </c>
      <c r="D62" s="96">
        <v>293500</v>
      </c>
      <c r="E62" s="81">
        <v>1952900</v>
      </c>
      <c r="F62" s="95">
        <v>351800</v>
      </c>
      <c r="G62" s="96">
        <v>1311900</v>
      </c>
      <c r="H62" s="96">
        <v>318700</v>
      </c>
      <c r="I62" s="81">
        <v>1982400</v>
      </c>
      <c r="J62" s="95">
        <v>730300</v>
      </c>
      <c r="K62" s="96">
        <v>2592800</v>
      </c>
      <c r="L62" s="96">
        <v>612100</v>
      </c>
      <c r="M62" s="81">
        <v>3935300</v>
      </c>
      <c r="N62" s="131"/>
      <c r="O62" s="95">
        <v>1453200</v>
      </c>
      <c r="P62" s="96">
        <v>203000</v>
      </c>
      <c r="Q62" s="81">
        <v>296700</v>
      </c>
      <c r="R62" s="132">
        <f t="shared" si="5"/>
        <v>1952900</v>
      </c>
      <c r="S62" s="95">
        <v>1318300</v>
      </c>
      <c r="T62" s="96">
        <v>305000</v>
      </c>
      <c r="U62" s="81">
        <v>359000</v>
      </c>
      <c r="V62" s="133">
        <f t="shared" si="6"/>
        <v>1982300</v>
      </c>
      <c r="W62" s="137">
        <f t="shared" si="7"/>
        <v>0.25587587690101898</v>
      </c>
      <c r="X62" s="138">
        <f t="shared" si="8"/>
        <v>0.33496443525198</v>
      </c>
      <c r="Y62" s="139">
        <f t="shared" si="9"/>
        <v>0.29571559260012198</v>
      </c>
    </row>
    <row r="63" spans="1:25">
      <c r="A63" s="80" t="s">
        <v>116</v>
      </c>
      <c r="B63" s="97">
        <v>386100</v>
      </c>
      <c r="C63" s="98">
        <v>1324800</v>
      </c>
      <c r="D63" s="98">
        <v>308200</v>
      </c>
      <c r="E63" s="82">
        <v>2019000</v>
      </c>
      <c r="F63" s="97">
        <v>358700</v>
      </c>
      <c r="G63" s="98">
        <v>1343400</v>
      </c>
      <c r="H63" s="98">
        <v>331600</v>
      </c>
      <c r="I63" s="82">
        <v>2033600</v>
      </c>
      <c r="J63" s="97">
        <v>744700</v>
      </c>
      <c r="K63" s="98">
        <v>2668200</v>
      </c>
      <c r="L63" s="98">
        <v>639800</v>
      </c>
      <c r="M63" s="82">
        <v>4052700</v>
      </c>
      <c r="N63" s="140"/>
      <c r="O63" s="97">
        <v>1497800</v>
      </c>
      <c r="P63" s="98">
        <v>208600</v>
      </c>
      <c r="Q63" s="82">
        <v>312700</v>
      </c>
      <c r="R63" s="141">
        <f t="shared" si="5"/>
        <v>2019100</v>
      </c>
      <c r="S63" s="97">
        <v>1346600</v>
      </c>
      <c r="T63" s="98">
        <v>313300</v>
      </c>
      <c r="U63" s="82">
        <v>373700</v>
      </c>
      <c r="V63" s="142">
        <f t="shared" si="6"/>
        <v>2033600</v>
      </c>
      <c r="W63" s="143">
        <f t="shared" si="7"/>
        <v>0.25818433955722847</v>
      </c>
      <c r="X63" s="144">
        <f t="shared" si="8"/>
        <v>0.33782454760031472</v>
      </c>
      <c r="Y63" s="145">
        <f t="shared" si="9"/>
        <v>0.29814691440274382</v>
      </c>
    </row>
    <row r="64" spans="1:25">
      <c r="A64" s="27" t="s">
        <v>117</v>
      </c>
      <c r="B64" s="95">
        <v>383000</v>
      </c>
      <c r="C64" s="96">
        <v>1347300</v>
      </c>
      <c r="D64" s="96">
        <v>322500</v>
      </c>
      <c r="E64" s="81">
        <v>2052800</v>
      </c>
      <c r="F64" s="95">
        <v>358600</v>
      </c>
      <c r="G64" s="96">
        <v>1360700</v>
      </c>
      <c r="H64" s="96">
        <v>344000</v>
      </c>
      <c r="I64" s="81">
        <v>2063300</v>
      </c>
      <c r="J64" s="95">
        <v>741600</v>
      </c>
      <c r="K64" s="96">
        <v>2707900</v>
      </c>
      <c r="L64" s="96">
        <v>666500</v>
      </c>
      <c r="M64" s="81">
        <v>4116100</v>
      </c>
      <c r="N64" s="131"/>
      <c r="O64" s="95">
        <v>1512700</v>
      </c>
      <c r="P64" s="96">
        <v>211400</v>
      </c>
      <c r="Q64" s="81">
        <v>328700</v>
      </c>
      <c r="R64" s="132">
        <f t="shared" si="5"/>
        <v>2052800</v>
      </c>
      <c r="S64" s="95">
        <v>1360500</v>
      </c>
      <c r="T64" s="96">
        <v>316100</v>
      </c>
      <c r="U64" s="81">
        <v>386700</v>
      </c>
      <c r="V64" s="133">
        <f t="shared" si="6"/>
        <v>2063300</v>
      </c>
      <c r="W64" s="137">
        <f t="shared" si="7"/>
        <v>0.26310405300077944</v>
      </c>
      <c r="X64" s="138">
        <f t="shared" si="8"/>
        <v>0.34061939611302283</v>
      </c>
      <c r="Y64" s="139">
        <f t="shared" si="9"/>
        <v>0.30196059376594347</v>
      </c>
    </row>
    <row r="65" spans="1:25">
      <c r="A65" s="27" t="s">
        <v>118</v>
      </c>
      <c r="B65" s="95">
        <v>380700</v>
      </c>
      <c r="C65" s="96">
        <v>1365500</v>
      </c>
      <c r="D65" s="96">
        <v>335300</v>
      </c>
      <c r="E65" s="81">
        <v>2081400</v>
      </c>
      <c r="F65" s="95">
        <v>360300</v>
      </c>
      <c r="G65" s="96">
        <v>1377900</v>
      </c>
      <c r="H65" s="96">
        <v>356100</v>
      </c>
      <c r="I65" s="81">
        <v>2094200</v>
      </c>
      <c r="J65" s="95">
        <v>741000</v>
      </c>
      <c r="K65" s="96">
        <v>2743300</v>
      </c>
      <c r="L65" s="96">
        <v>691400</v>
      </c>
      <c r="M65" s="81">
        <v>4175700</v>
      </c>
      <c r="N65" s="131"/>
      <c r="O65" s="95">
        <v>1518500</v>
      </c>
      <c r="P65" s="96">
        <v>214400</v>
      </c>
      <c r="Q65" s="81">
        <v>348500</v>
      </c>
      <c r="R65" s="132">
        <f t="shared" si="5"/>
        <v>2081400</v>
      </c>
      <c r="S65" s="95">
        <v>1380300</v>
      </c>
      <c r="T65" s="96">
        <v>318700</v>
      </c>
      <c r="U65" s="81">
        <v>395300</v>
      </c>
      <c r="V65" s="133">
        <f t="shared" si="6"/>
        <v>2094300</v>
      </c>
      <c r="W65" s="137">
        <f t="shared" si="7"/>
        <v>0.27044297107715959</v>
      </c>
      <c r="X65" s="138">
        <f t="shared" si="8"/>
        <v>0.34092536885832975</v>
      </c>
      <c r="Y65" s="139">
        <f t="shared" si="9"/>
        <v>0.3057930406877889</v>
      </c>
    </row>
    <row r="66" spans="1:25">
      <c r="A66" s="27" t="s">
        <v>119</v>
      </c>
      <c r="B66" s="95">
        <v>375200</v>
      </c>
      <c r="C66" s="96">
        <v>1376600</v>
      </c>
      <c r="D66" s="96">
        <v>347500</v>
      </c>
      <c r="E66" s="81">
        <v>2099300</v>
      </c>
      <c r="F66" s="95">
        <v>359700</v>
      </c>
      <c r="G66" s="96">
        <v>1392300</v>
      </c>
      <c r="H66" s="96">
        <v>368800</v>
      </c>
      <c r="I66" s="81">
        <v>2120800</v>
      </c>
      <c r="J66" s="95">
        <v>734900</v>
      </c>
      <c r="K66" s="96">
        <v>2769000</v>
      </c>
      <c r="L66" s="96">
        <v>716300</v>
      </c>
      <c r="M66" s="81">
        <v>4220100</v>
      </c>
      <c r="N66" s="131"/>
      <c r="O66" s="95">
        <v>1516700</v>
      </c>
      <c r="P66" s="96">
        <v>217700</v>
      </c>
      <c r="Q66" s="81">
        <v>365000</v>
      </c>
      <c r="R66" s="132">
        <f t="shared" si="5"/>
        <v>2099400</v>
      </c>
      <c r="S66" s="95">
        <v>1390200</v>
      </c>
      <c r="T66" s="96">
        <v>322800</v>
      </c>
      <c r="U66" s="81">
        <v>407800</v>
      </c>
      <c r="V66" s="133">
        <f t="shared" si="6"/>
        <v>2120800</v>
      </c>
      <c r="W66" s="137">
        <f t="shared" si="7"/>
        <v>0.2775554920453463</v>
      </c>
      <c r="X66" s="138">
        <f t="shared" si="8"/>
        <v>0.3444926442851754</v>
      </c>
      <c r="Y66" s="139">
        <f t="shared" si="9"/>
        <v>0.31119378228519973</v>
      </c>
    </row>
    <row r="67" spans="1:25">
      <c r="A67" s="80" t="s">
        <v>120</v>
      </c>
      <c r="B67" s="97">
        <v>365300</v>
      </c>
      <c r="C67" s="98">
        <v>1379100</v>
      </c>
      <c r="D67" s="98">
        <v>359600</v>
      </c>
      <c r="E67" s="82">
        <v>2104000</v>
      </c>
      <c r="F67" s="97">
        <v>357400</v>
      </c>
      <c r="G67" s="98">
        <v>1409700</v>
      </c>
      <c r="H67" s="98">
        <v>383000</v>
      </c>
      <c r="I67" s="82">
        <v>2150100</v>
      </c>
      <c r="J67" s="97">
        <v>722700</v>
      </c>
      <c r="K67" s="98">
        <v>2788800</v>
      </c>
      <c r="L67" s="98">
        <v>742600</v>
      </c>
      <c r="M67" s="82">
        <v>4254100</v>
      </c>
      <c r="N67" s="140"/>
      <c r="O67" s="97">
        <v>1505900</v>
      </c>
      <c r="P67" s="98">
        <v>218500</v>
      </c>
      <c r="Q67" s="82">
        <v>379600</v>
      </c>
      <c r="R67" s="141">
        <f t="shared" si="5"/>
        <v>2104000</v>
      </c>
      <c r="S67" s="97">
        <v>1403100</v>
      </c>
      <c r="T67" s="98">
        <v>326800</v>
      </c>
      <c r="U67" s="82">
        <v>420200</v>
      </c>
      <c r="V67" s="142">
        <f t="shared" si="6"/>
        <v>2150100</v>
      </c>
      <c r="W67" s="143">
        <f t="shared" si="7"/>
        <v>0.28426806083650191</v>
      </c>
      <c r="X67" s="144">
        <f t="shared" si="8"/>
        <v>0.34742570113018001</v>
      </c>
      <c r="Y67" s="145">
        <f t="shared" si="9"/>
        <v>0.31618908817376179</v>
      </c>
    </row>
    <row r="68" spans="1:25">
      <c r="A68" s="27" t="s">
        <v>121</v>
      </c>
      <c r="B68" s="95">
        <v>362900</v>
      </c>
      <c r="C68" s="96">
        <v>1379900</v>
      </c>
      <c r="D68" s="96">
        <v>371200</v>
      </c>
      <c r="E68" s="81">
        <v>2114000</v>
      </c>
      <c r="F68" s="95">
        <v>362400</v>
      </c>
      <c r="G68" s="96">
        <v>1427600</v>
      </c>
      <c r="H68" s="96">
        <v>398000</v>
      </c>
      <c r="I68" s="81">
        <v>2188000</v>
      </c>
      <c r="J68" s="95">
        <v>725300</v>
      </c>
      <c r="K68" s="96">
        <v>2807500</v>
      </c>
      <c r="L68" s="96">
        <v>769200</v>
      </c>
      <c r="M68" s="81">
        <v>4302000</v>
      </c>
      <c r="N68" s="131"/>
      <c r="O68" s="95">
        <v>1499000</v>
      </c>
      <c r="P68" s="96">
        <v>220200</v>
      </c>
      <c r="Q68" s="81">
        <v>394900</v>
      </c>
      <c r="R68" s="132">
        <f t="shared" si="5"/>
        <v>2114100</v>
      </c>
      <c r="S68" s="95">
        <v>1425300</v>
      </c>
      <c r="T68" s="96">
        <v>332200</v>
      </c>
      <c r="U68" s="81">
        <v>430500</v>
      </c>
      <c r="V68" s="133">
        <f t="shared" si="6"/>
        <v>2188000</v>
      </c>
      <c r="W68" s="137">
        <f t="shared" si="7"/>
        <v>0.29095123220282865</v>
      </c>
      <c r="X68" s="138">
        <f t="shared" si="8"/>
        <v>0.34858318098720292</v>
      </c>
      <c r="Y68" s="139">
        <f t="shared" si="9"/>
        <v>0.32026219753143814</v>
      </c>
    </row>
    <row r="69" spans="1:25">
      <c r="A69" s="27" t="s">
        <v>122</v>
      </c>
      <c r="B69" s="95">
        <v>361400</v>
      </c>
      <c r="C69" s="96">
        <v>1383500</v>
      </c>
      <c r="D69" s="96">
        <v>383000</v>
      </c>
      <c r="E69" s="81">
        <v>2127900</v>
      </c>
      <c r="F69" s="95">
        <v>364900</v>
      </c>
      <c r="G69" s="96">
        <v>1440500</v>
      </c>
      <c r="H69" s="96">
        <v>412300</v>
      </c>
      <c r="I69" s="81">
        <v>2217600</v>
      </c>
      <c r="J69" s="95">
        <v>726300</v>
      </c>
      <c r="K69" s="96">
        <v>2824000</v>
      </c>
      <c r="L69" s="96">
        <v>795200</v>
      </c>
      <c r="M69" s="81">
        <v>4345500</v>
      </c>
      <c r="N69" s="131"/>
      <c r="O69" s="95">
        <v>1502000</v>
      </c>
      <c r="P69" s="96">
        <v>223100</v>
      </c>
      <c r="Q69" s="81">
        <v>402800</v>
      </c>
      <c r="R69" s="132">
        <f t="shared" si="5"/>
        <v>2127900</v>
      </c>
      <c r="S69" s="95">
        <v>1435700</v>
      </c>
      <c r="T69" s="96">
        <v>339100</v>
      </c>
      <c r="U69" s="81">
        <v>442900</v>
      </c>
      <c r="V69" s="133">
        <f t="shared" si="6"/>
        <v>2217700</v>
      </c>
      <c r="W69" s="137">
        <f t="shared" si="7"/>
        <v>0.2941397622068706</v>
      </c>
      <c r="X69" s="138">
        <f t="shared" si="8"/>
        <v>0.35261757676872435</v>
      </c>
      <c r="Y69" s="139">
        <f t="shared" si="9"/>
        <v>0.32398287923416791</v>
      </c>
    </row>
    <row r="70" spans="1:25">
      <c r="A70" s="27" t="s">
        <v>123</v>
      </c>
      <c r="B70" s="95">
        <v>362000</v>
      </c>
      <c r="C70" s="96">
        <v>1392900</v>
      </c>
      <c r="D70" s="96">
        <v>396400</v>
      </c>
      <c r="E70" s="81">
        <v>2151300</v>
      </c>
      <c r="F70" s="95">
        <v>367100</v>
      </c>
      <c r="G70" s="96">
        <v>1459800</v>
      </c>
      <c r="H70" s="96">
        <v>429300</v>
      </c>
      <c r="I70" s="81">
        <v>2256200</v>
      </c>
      <c r="J70" s="95">
        <v>729000</v>
      </c>
      <c r="K70" s="96">
        <v>2852700</v>
      </c>
      <c r="L70" s="96">
        <v>825800</v>
      </c>
      <c r="M70" s="81">
        <v>4407500</v>
      </c>
      <c r="N70" s="131"/>
      <c r="O70" s="95">
        <v>1526100</v>
      </c>
      <c r="P70" s="96">
        <v>225500</v>
      </c>
      <c r="Q70" s="81">
        <v>399700</v>
      </c>
      <c r="R70" s="132">
        <f t="shared" si="5"/>
        <v>2151300</v>
      </c>
      <c r="S70" s="95">
        <v>1466800</v>
      </c>
      <c r="T70" s="96">
        <v>341800</v>
      </c>
      <c r="U70" s="81">
        <v>447600</v>
      </c>
      <c r="V70" s="133">
        <f t="shared" si="6"/>
        <v>2256200</v>
      </c>
      <c r="W70" s="137">
        <f t="shared" si="7"/>
        <v>0.2906149769906568</v>
      </c>
      <c r="X70" s="138">
        <f t="shared" si="8"/>
        <v>0.34988032975800015</v>
      </c>
      <c r="Y70" s="139">
        <f t="shared" si="9"/>
        <v>0.32095292115711854</v>
      </c>
    </row>
    <row r="71" spans="1:25">
      <c r="A71" s="80" t="s">
        <v>124</v>
      </c>
      <c r="B71" s="97">
        <v>365300</v>
      </c>
      <c r="C71" s="98">
        <v>1406800</v>
      </c>
      <c r="D71" s="98">
        <v>410500</v>
      </c>
      <c r="E71" s="82">
        <v>2182700</v>
      </c>
      <c r="F71" s="97">
        <v>371400</v>
      </c>
      <c r="G71" s="98">
        <v>1479700</v>
      </c>
      <c r="H71" s="98">
        <v>446600</v>
      </c>
      <c r="I71" s="82">
        <v>2297600</v>
      </c>
      <c r="J71" s="97">
        <v>736700</v>
      </c>
      <c r="K71" s="98">
        <v>2886500</v>
      </c>
      <c r="L71" s="98">
        <v>857100</v>
      </c>
      <c r="M71" s="82">
        <v>4480300</v>
      </c>
      <c r="N71" s="140"/>
      <c r="O71" s="97">
        <v>1555100</v>
      </c>
      <c r="P71" s="98">
        <v>224500</v>
      </c>
      <c r="Q71" s="82">
        <v>403100</v>
      </c>
      <c r="R71" s="141">
        <f t="shared" si="5"/>
        <v>2182700</v>
      </c>
      <c r="S71" s="97">
        <v>1498200</v>
      </c>
      <c r="T71" s="98">
        <v>346300</v>
      </c>
      <c r="U71" s="82">
        <v>453200</v>
      </c>
      <c r="V71" s="142">
        <f t="shared" si="6"/>
        <v>2297700</v>
      </c>
      <c r="W71" s="143">
        <f>(P71+Q71)/R71</f>
        <v>0.28753378842717736</v>
      </c>
      <c r="X71" s="144">
        <f t="shared" si="8"/>
        <v>0.34795665230447836</v>
      </c>
      <c r="Y71" s="145">
        <f t="shared" si="9"/>
        <v>0.31852066779751809</v>
      </c>
    </row>
    <row r="72" spans="1:25">
      <c r="A72" s="27" t="s">
        <v>125</v>
      </c>
      <c r="B72" s="95">
        <v>373300</v>
      </c>
      <c r="C72" s="96">
        <v>1428600</v>
      </c>
      <c r="D72" s="96">
        <v>425300</v>
      </c>
      <c r="E72" s="81">
        <v>2227200</v>
      </c>
      <c r="F72" s="95">
        <v>375100</v>
      </c>
      <c r="G72" s="96">
        <v>1492200</v>
      </c>
      <c r="H72" s="96">
        <v>460800</v>
      </c>
      <c r="I72" s="81">
        <v>2328100</v>
      </c>
      <c r="J72" s="95">
        <v>748400</v>
      </c>
      <c r="K72" s="96">
        <v>2920800</v>
      </c>
      <c r="L72" s="96">
        <v>886100</v>
      </c>
      <c r="M72" s="81">
        <v>4555300</v>
      </c>
      <c r="N72" s="131"/>
      <c r="O72" s="95">
        <v>1592100</v>
      </c>
      <c r="P72" s="96">
        <v>230900</v>
      </c>
      <c r="Q72" s="81">
        <v>404200</v>
      </c>
      <c r="R72" s="132">
        <f t="shared" ref="R72:R100" si="10">O72+P72+Q72</f>
        <v>2227200</v>
      </c>
      <c r="S72" s="95">
        <v>1518200</v>
      </c>
      <c r="T72" s="96">
        <v>350400</v>
      </c>
      <c r="U72" s="81">
        <v>459600</v>
      </c>
      <c r="V72" s="133">
        <f t="shared" ref="V72:V100" si="11">S72+T72+U72</f>
        <v>2328200</v>
      </c>
      <c r="W72" s="137">
        <f t="shared" ref="W72:W100" si="12">(P72+Q72)/R72</f>
        <v>0.28515625</v>
      </c>
      <c r="X72" s="138">
        <f t="shared" ref="X72:X100" si="13">(T72+U72)/V72</f>
        <v>0.34790825530452713</v>
      </c>
      <c r="Y72" s="139">
        <f t="shared" ref="Y72:Y100" si="14">(P72+Q72+T72+U72)/(R72+V72)</f>
        <v>0.3172279053431093</v>
      </c>
    </row>
    <row r="73" spans="1:25">
      <c r="A73" s="27" t="s">
        <v>126</v>
      </c>
      <c r="B73" s="95">
        <v>379300</v>
      </c>
      <c r="C73" s="96">
        <v>1449100</v>
      </c>
      <c r="D73" s="96">
        <v>439000</v>
      </c>
      <c r="E73" s="81">
        <v>2267300</v>
      </c>
      <c r="F73" s="95">
        <v>379400</v>
      </c>
      <c r="G73" s="96">
        <v>1509100</v>
      </c>
      <c r="H73" s="96">
        <v>476500</v>
      </c>
      <c r="I73" s="81">
        <v>2365000</v>
      </c>
      <c r="J73" s="95">
        <v>758700</v>
      </c>
      <c r="K73" s="96">
        <v>2958200</v>
      </c>
      <c r="L73" s="96">
        <v>915500</v>
      </c>
      <c r="M73" s="81">
        <v>4632400</v>
      </c>
      <c r="N73" s="131"/>
      <c r="O73" s="95">
        <v>1621400</v>
      </c>
      <c r="P73" s="96">
        <v>236100</v>
      </c>
      <c r="Q73" s="81">
        <v>409900</v>
      </c>
      <c r="R73" s="132">
        <f t="shared" si="10"/>
        <v>2267400</v>
      </c>
      <c r="S73" s="95">
        <v>1538300</v>
      </c>
      <c r="T73" s="96">
        <v>359300</v>
      </c>
      <c r="U73" s="81">
        <v>467400</v>
      </c>
      <c r="V73" s="133">
        <f t="shared" si="11"/>
        <v>2365000</v>
      </c>
      <c r="W73" s="137">
        <f t="shared" si="12"/>
        <v>0.28490782393931374</v>
      </c>
      <c r="X73" s="138">
        <f t="shared" si="13"/>
        <v>0.34955602536997887</v>
      </c>
      <c r="Y73" s="139">
        <f t="shared" si="14"/>
        <v>0.3179129608842069</v>
      </c>
    </row>
    <row r="74" spans="1:25">
      <c r="A74" s="27" t="s">
        <v>127</v>
      </c>
      <c r="B74" s="95">
        <v>393900</v>
      </c>
      <c r="C74" s="96">
        <v>1481600</v>
      </c>
      <c r="D74" s="96">
        <v>457400</v>
      </c>
      <c r="E74" s="81">
        <v>2332900</v>
      </c>
      <c r="F74" s="95">
        <v>388600</v>
      </c>
      <c r="G74" s="96">
        <v>1538600</v>
      </c>
      <c r="H74" s="96">
        <v>496300</v>
      </c>
      <c r="I74" s="81">
        <v>2423400</v>
      </c>
      <c r="J74" s="95">
        <v>782500</v>
      </c>
      <c r="K74" s="96">
        <v>3020200</v>
      </c>
      <c r="L74" s="96">
        <v>953700</v>
      </c>
      <c r="M74" s="81">
        <v>4756300</v>
      </c>
      <c r="N74" s="131"/>
      <c r="O74" s="95">
        <v>1678500</v>
      </c>
      <c r="P74" s="96">
        <v>242700</v>
      </c>
      <c r="Q74" s="81">
        <v>411700</v>
      </c>
      <c r="R74" s="132">
        <f t="shared" si="10"/>
        <v>2332900</v>
      </c>
      <c r="S74" s="95">
        <v>1579700</v>
      </c>
      <c r="T74" s="96">
        <v>368600</v>
      </c>
      <c r="U74" s="81">
        <v>475100</v>
      </c>
      <c r="V74" s="133">
        <f t="shared" si="11"/>
        <v>2423400</v>
      </c>
      <c r="W74" s="137">
        <f t="shared" si="12"/>
        <v>0.28050923742980838</v>
      </c>
      <c r="X74" s="138">
        <f t="shared" si="13"/>
        <v>0.34814723116282908</v>
      </c>
      <c r="Y74" s="139">
        <f t="shared" si="14"/>
        <v>0.31497172171646026</v>
      </c>
    </row>
    <row r="75" spans="1:25">
      <c r="A75" s="80" t="s">
        <v>128</v>
      </c>
      <c r="B75" s="97">
        <v>408100</v>
      </c>
      <c r="C75" s="98">
        <v>1517100</v>
      </c>
      <c r="D75" s="98">
        <v>475200</v>
      </c>
      <c r="E75" s="82">
        <v>2400400</v>
      </c>
      <c r="F75" s="97">
        <v>397600</v>
      </c>
      <c r="G75" s="98">
        <v>1568500</v>
      </c>
      <c r="H75" s="98">
        <v>516000</v>
      </c>
      <c r="I75" s="82">
        <v>2482100</v>
      </c>
      <c r="J75" s="97">
        <v>805700</v>
      </c>
      <c r="K75" s="98">
        <v>3085500</v>
      </c>
      <c r="L75" s="98">
        <v>991200</v>
      </c>
      <c r="M75" s="82">
        <v>4882500</v>
      </c>
      <c r="N75" s="140"/>
      <c r="O75" s="97">
        <v>1738800</v>
      </c>
      <c r="P75" s="98">
        <v>249100</v>
      </c>
      <c r="Q75" s="82">
        <v>412600</v>
      </c>
      <c r="R75" s="141">
        <f t="shared" si="10"/>
        <v>2400500</v>
      </c>
      <c r="S75" s="97">
        <v>1622800</v>
      </c>
      <c r="T75" s="98">
        <v>378900</v>
      </c>
      <c r="U75" s="82">
        <v>480300</v>
      </c>
      <c r="V75" s="142">
        <f t="shared" si="11"/>
        <v>2482000</v>
      </c>
      <c r="W75" s="143">
        <f t="shared" si="12"/>
        <v>0.27565090606123727</v>
      </c>
      <c r="X75" s="144">
        <f t="shared" si="13"/>
        <v>0.34617244157937149</v>
      </c>
      <c r="Y75" s="145">
        <f t="shared" si="14"/>
        <v>0.31150025601638504</v>
      </c>
    </row>
    <row r="76" spans="1:25">
      <c r="A76" s="27" t="s">
        <v>129</v>
      </c>
      <c r="B76" s="95">
        <v>418000</v>
      </c>
      <c r="C76" s="96">
        <v>1556600</v>
      </c>
      <c r="D76" s="96">
        <v>490400</v>
      </c>
      <c r="E76" s="81">
        <v>2465000</v>
      </c>
      <c r="F76" s="95">
        <v>405000</v>
      </c>
      <c r="G76" s="96">
        <v>1597900</v>
      </c>
      <c r="H76" s="96">
        <v>532100</v>
      </c>
      <c r="I76" s="81">
        <v>2534800</v>
      </c>
      <c r="J76" s="95">
        <v>822900</v>
      </c>
      <c r="K76" s="96">
        <v>3154400</v>
      </c>
      <c r="L76" s="96">
        <v>1022500</v>
      </c>
      <c r="M76" s="81">
        <v>4999800</v>
      </c>
      <c r="N76" s="131"/>
      <c r="O76" s="95">
        <v>1788800</v>
      </c>
      <c r="P76" s="96">
        <v>257400</v>
      </c>
      <c r="Q76" s="81">
        <v>418800</v>
      </c>
      <c r="R76" s="132">
        <f t="shared" si="10"/>
        <v>2465000</v>
      </c>
      <c r="S76" s="95">
        <v>1659700</v>
      </c>
      <c r="T76" s="96">
        <v>389700</v>
      </c>
      <c r="U76" s="81">
        <v>485500</v>
      </c>
      <c r="V76" s="133">
        <f t="shared" si="11"/>
        <v>2534900</v>
      </c>
      <c r="W76" s="137">
        <f t="shared" si="12"/>
        <v>0.27432048681541582</v>
      </c>
      <c r="X76" s="138">
        <f t="shared" si="13"/>
        <v>0.34526016805396664</v>
      </c>
      <c r="Y76" s="139">
        <f t="shared" si="14"/>
        <v>0.31028620572411447</v>
      </c>
    </row>
    <row r="77" spans="1:25">
      <c r="A77" s="27" t="s">
        <v>130</v>
      </c>
      <c r="B77" s="95">
        <v>422800</v>
      </c>
      <c r="C77" s="96">
        <v>1585600</v>
      </c>
      <c r="D77" s="96">
        <v>505400</v>
      </c>
      <c r="E77" s="81">
        <v>2513900</v>
      </c>
      <c r="F77" s="95">
        <v>407500</v>
      </c>
      <c r="G77" s="96">
        <v>1617900</v>
      </c>
      <c r="H77" s="96">
        <v>547100</v>
      </c>
      <c r="I77" s="81">
        <v>2572500</v>
      </c>
      <c r="J77" s="95">
        <v>830300</v>
      </c>
      <c r="K77" s="96">
        <v>3203600</v>
      </c>
      <c r="L77" s="96">
        <v>1052500</v>
      </c>
      <c r="M77" s="81">
        <v>5086300</v>
      </c>
      <c r="N77" s="131"/>
      <c r="O77" s="95">
        <v>1827100</v>
      </c>
      <c r="P77" s="96">
        <v>257300</v>
      </c>
      <c r="Q77" s="81">
        <v>429500</v>
      </c>
      <c r="R77" s="132">
        <f t="shared" si="10"/>
        <v>2513900</v>
      </c>
      <c r="S77" s="95">
        <v>1693500</v>
      </c>
      <c r="T77" s="96">
        <v>390600</v>
      </c>
      <c r="U77" s="81">
        <v>488300</v>
      </c>
      <c r="V77" s="133">
        <f t="shared" si="11"/>
        <v>2572400</v>
      </c>
      <c r="W77" s="137">
        <f t="shared" si="12"/>
        <v>0.27320100242650863</v>
      </c>
      <c r="X77" s="138">
        <f t="shared" si="13"/>
        <v>0.3416653708598974</v>
      </c>
      <c r="Y77" s="139">
        <f t="shared" si="14"/>
        <v>0.30782690757525116</v>
      </c>
    </row>
    <row r="78" spans="1:25">
      <c r="A78" s="27" t="s">
        <v>131</v>
      </c>
      <c r="B78" s="95">
        <v>417500</v>
      </c>
      <c r="C78" s="96">
        <v>1597500</v>
      </c>
      <c r="D78" s="96">
        <v>516600</v>
      </c>
      <c r="E78" s="81">
        <v>2531500</v>
      </c>
      <c r="F78" s="95">
        <v>400600</v>
      </c>
      <c r="G78" s="96">
        <v>1623900</v>
      </c>
      <c r="H78" s="96">
        <v>557900</v>
      </c>
      <c r="I78" s="81">
        <v>2582300</v>
      </c>
      <c r="J78" s="95">
        <v>818000</v>
      </c>
      <c r="K78" s="96">
        <v>3221400</v>
      </c>
      <c r="L78" s="96">
        <v>1074500</v>
      </c>
      <c r="M78" s="81">
        <v>5113900</v>
      </c>
      <c r="N78" s="131"/>
      <c r="O78" s="95">
        <v>1832600</v>
      </c>
      <c r="P78" s="96">
        <v>259100</v>
      </c>
      <c r="Q78" s="81">
        <v>439900</v>
      </c>
      <c r="R78" s="132">
        <f t="shared" si="10"/>
        <v>2531600</v>
      </c>
      <c r="S78" s="95">
        <v>1694200</v>
      </c>
      <c r="T78" s="96">
        <v>392800</v>
      </c>
      <c r="U78" s="81">
        <v>495500</v>
      </c>
      <c r="V78" s="133">
        <f t="shared" si="11"/>
        <v>2582500</v>
      </c>
      <c r="W78" s="137">
        <f t="shared" si="12"/>
        <v>0.27610996997945964</v>
      </c>
      <c r="X78" s="138">
        <f t="shared" si="13"/>
        <v>0.34396902226524684</v>
      </c>
      <c r="Y78" s="139">
        <f t="shared" si="14"/>
        <v>0.31037719246788292</v>
      </c>
    </row>
    <row r="79" spans="1:25">
      <c r="A79" s="80" t="s">
        <v>132</v>
      </c>
      <c r="B79" s="97">
        <v>419400</v>
      </c>
      <c r="C79" s="98">
        <v>1616900</v>
      </c>
      <c r="D79" s="98">
        <v>531600</v>
      </c>
      <c r="E79" s="82">
        <v>2567900</v>
      </c>
      <c r="F79" s="97">
        <v>399100</v>
      </c>
      <c r="G79" s="98">
        <v>1640200</v>
      </c>
      <c r="H79" s="98">
        <v>572700</v>
      </c>
      <c r="I79" s="82">
        <v>2612000</v>
      </c>
      <c r="J79" s="97">
        <v>818600</v>
      </c>
      <c r="K79" s="98">
        <v>3257100</v>
      </c>
      <c r="L79" s="98">
        <v>1104300</v>
      </c>
      <c r="M79" s="82">
        <v>5180000</v>
      </c>
      <c r="N79" s="140"/>
      <c r="O79" s="97">
        <v>1846000</v>
      </c>
      <c r="P79" s="98">
        <v>264900</v>
      </c>
      <c r="Q79" s="82">
        <v>457100</v>
      </c>
      <c r="R79" s="141">
        <f t="shared" si="10"/>
        <v>2568000</v>
      </c>
      <c r="S79" s="97">
        <v>1702900</v>
      </c>
      <c r="T79" s="98">
        <v>400800</v>
      </c>
      <c r="U79" s="82">
        <v>508400</v>
      </c>
      <c r="V79" s="142">
        <f t="shared" si="11"/>
        <v>2612100</v>
      </c>
      <c r="W79" s="143">
        <f t="shared" si="12"/>
        <v>0.28115264797507789</v>
      </c>
      <c r="X79" s="144">
        <f t="shared" si="13"/>
        <v>0.34807243214272043</v>
      </c>
      <c r="Y79" s="145">
        <f t="shared" si="14"/>
        <v>0.31489739580316983</v>
      </c>
    </row>
    <row r="80" spans="1:25">
      <c r="A80" s="27" t="s">
        <v>133</v>
      </c>
      <c r="B80" s="95">
        <v>419600</v>
      </c>
      <c r="C80" s="96">
        <v>1635200</v>
      </c>
      <c r="D80" s="96">
        <v>548800</v>
      </c>
      <c r="E80" s="81">
        <v>2603700</v>
      </c>
      <c r="F80" s="95">
        <v>396600</v>
      </c>
      <c r="G80" s="96">
        <v>1650800</v>
      </c>
      <c r="H80" s="96">
        <v>589600</v>
      </c>
      <c r="I80" s="81">
        <v>2637000</v>
      </c>
      <c r="J80" s="95">
        <v>816200</v>
      </c>
      <c r="K80" s="96">
        <v>3286000</v>
      </c>
      <c r="L80" s="96">
        <v>1138400</v>
      </c>
      <c r="M80" s="81">
        <v>5240700</v>
      </c>
      <c r="N80" s="131"/>
      <c r="O80" s="95">
        <v>1876900</v>
      </c>
      <c r="P80" s="96">
        <v>267300</v>
      </c>
      <c r="Q80" s="81">
        <v>459500</v>
      </c>
      <c r="R80" s="132">
        <f t="shared" si="10"/>
        <v>2603700</v>
      </c>
      <c r="S80" s="95">
        <v>1722200</v>
      </c>
      <c r="T80" s="96">
        <v>401700</v>
      </c>
      <c r="U80" s="81">
        <v>513100</v>
      </c>
      <c r="V80" s="133">
        <f t="shared" si="11"/>
        <v>2637000</v>
      </c>
      <c r="W80" s="137">
        <f t="shared" si="12"/>
        <v>0.2791412221070016</v>
      </c>
      <c r="X80" s="138">
        <f t="shared" si="13"/>
        <v>0.34690936670458855</v>
      </c>
      <c r="Y80" s="139">
        <f t="shared" si="14"/>
        <v>0.3132405976300876</v>
      </c>
    </row>
    <row r="81" spans="1:25">
      <c r="A81" s="27" t="s">
        <v>134</v>
      </c>
      <c r="B81" s="95">
        <v>420300</v>
      </c>
      <c r="C81" s="96">
        <v>1661600</v>
      </c>
      <c r="D81" s="96">
        <v>566100</v>
      </c>
      <c r="E81" s="81">
        <v>2648000</v>
      </c>
      <c r="F81" s="95">
        <v>394700</v>
      </c>
      <c r="G81" s="96">
        <v>1667400</v>
      </c>
      <c r="H81" s="96">
        <v>605700</v>
      </c>
      <c r="I81" s="81">
        <v>2667800</v>
      </c>
      <c r="J81" s="95">
        <v>815000</v>
      </c>
      <c r="K81" s="96">
        <v>3329000</v>
      </c>
      <c r="L81" s="96">
        <v>1171800</v>
      </c>
      <c r="M81" s="81">
        <v>5315800</v>
      </c>
      <c r="N81" s="131"/>
      <c r="O81" s="95">
        <v>1907900</v>
      </c>
      <c r="P81" s="96">
        <v>271300</v>
      </c>
      <c r="Q81" s="81">
        <v>468800</v>
      </c>
      <c r="R81" s="132">
        <f t="shared" si="10"/>
        <v>2648000</v>
      </c>
      <c r="S81" s="95">
        <v>1738200</v>
      </c>
      <c r="T81" s="96">
        <v>405600</v>
      </c>
      <c r="U81" s="81">
        <v>523900</v>
      </c>
      <c r="V81" s="133">
        <f t="shared" si="11"/>
        <v>2667700</v>
      </c>
      <c r="W81" s="137">
        <f t="shared" si="12"/>
        <v>0.27949395770392749</v>
      </c>
      <c r="X81" s="138">
        <f t="shared" si="13"/>
        <v>0.34842748434981446</v>
      </c>
      <c r="Y81" s="139">
        <f t="shared" si="14"/>
        <v>0.3140884549541923</v>
      </c>
    </row>
    <row r="82" spans="1:25">
      <c r="A82" s="27" t="s">
        <v>135</v>
      </c>
      <c r="B82" s="95">
        <v>420600</v>
      </c>
      <c r="C82" s="96">
        <v>1684100</v>
      </c>
      <c r="D82" s="96">
        <v>579400</v>
      </c>
      <c r="E82" s="81">
        <v>2684100</v>
      </c>
      <c r="F82" s="95">
        <v>394800</v>
      </c>
      <c r="G82" s="96">
        <v>1684500</v>
      </c>
      <c r="H82" s="96">
        <v>617800</v>
      </c>
      <c r="I82" s="81">
        <v>2697200</v>
      </c>
      <c r="J82" s="95">
        <v>815500</v>
      </c>
      <c r="K82" s="96">
        <v>3368600</v>
      </c>
      <c r="L82" s="96">
        <v>1197200</v>
      </c>
      <c r="M82" s="81">
        <v>5381300</v>
      </c>
      <c r="N82" s="131"/>
      <c r="O82" s="95">
        <v>1928000</v>
      </c>
      <c r="P82" s="96">
        <v>272600</v>
      </c>
      <c r="Q82" s="81">
        <v>483600</v>
      </c>
      <c r="R82" s="132">
        <f t="shared" si="10"/>
        <v>2684200</v>
      </c>
      <c r="S82" s="95">
        <v>1751700</v>
      </c>
      <c r="T82" s="96">
        <v>407000</v>
      </c>
      <c r="U82" s="81">
        <v>538400</v>
      </c>
      <c r="V82" s="133">
        <f t="shared" si="11"/>
        <v>2697100</v>
      </c>
      <c r="W82" s="137">
        <f t="shared" si="12"/>
        <v>0.28172267342224872</v>
      </c>
      <c r="X82" s="138">
        <f t="shared" si="13"/>
        <v>0.35052463757369023</v>
      </c>
      <c r="Y82" s="139">
        <f t="shared" si="14"/>
        <v>0.31620612119748015</v>
      </c>
    </row>
    <row r="83" spans="1:25">
      <c r="A83" s="80" t="s">
        <v>136</v>
      </c>
      <c r="B83" s="97">
        <v>430100</v>
      </c>
      <c r="C83" s="98">
        <v>1711600</v>
      </c>
      <c r="D83" s="98">
        <v>592500</v>
      </c>
      <c r="E83" s="82">
        <v>2734200</v>
      </c>
      <c r="F83" s="97">
        <v>403100</v>
      </c>
      <c r="G83" s="98">
        <v>1710800</v>
      </c>
      <c r="H83" s="98">
        <v>631600</v>
      </c>
      <c r="I83" s="82">
        <v>2745600</v>
      </c>
      <c r="J83" s="97">
        <v>833300</v>
      </c>
      <c r="K83" s="98">
        <v>3422400</v>
      </c>
      <c r="L83" s="98">
        <v>1224100</v>
      </c>
      <c r="M83" s="82">
        <v>5479700</v>
      </c>
      <c r="N83" s="140"/>
      <c r="O83" s="97">
        <v>1959700</v>
      </c>
      <c r="P83" s="98">
        <v>277800</v>
      </c>
      <c r="Q83" s="82">
        <v>496600</v>
      </c>
      <c r="R83" s="141">
        <f t="shared" si="10"/>
        <v>2734100</v>
      </c>
      <c r="S83" s="97">
        <v>1774700</v>
      </c>
      <c r="T83" s="98">
        <v>413800</v>
      </c>
      <c r="U83" s="82">
        <v>557000</v>
      </c>
      <c r="V83" s="142">
        <f t="shared" si="11"/>
        <v>2745500</v>
      </c>
      <c r="W83" s="143">
        <f t="shared" si="12"/>
        <v>0.28323762847006329</v>
      </c>
      <c r="X83" s="144">
        <f t="shared" si="13"/>
        <v>0.35359679475505373</v>
      </c>
      <c r="Y83" s="145">
        <f t="shared" si="14"/>
        <v>0.3184904007591795</v>
      </c>
    </row>
    <row r="84" spans="1:25">
      <c r="A84" s="27" t="s">
        <v>137</v>
      </c>
      <c r="B84" s="95">
        <v>433700</v>
      </c>
      <c r="C84" s="96">
        <v>1738500</v>
      </c>
      <c r="D84" s="96">
        <v>605400</v>
      </c>
      <c r="E84" s="81">
        <v>2777600</v>
      </c>
      <c r="F84" s="95">
        <v>407600</v>
      </c>
      <c r="G84" s="96">
        <v>1740300</v>
      </c>
      <c r="H84" s="96">
        <v>646100</v>
      </c>
      <c r="I84" s="81">
        <v>2794000</v>
      </c>
      <c r="J84" s="95">
        <v>841300</v>
      </c>
      <c r="K84" s="96">
        <v>3478800</v>
      </c>
      <c r="L84" s="96">
        <v>1251500</v>
      </c>
      <c r="M84" s="81">
        <v>5571600</v>
      </c>
      <c r="N84" s="131"/>
      <c r="O84" s="95">
        <v>1976300</v>
      </c>
      <c r="P84" s="96">
        <v>282400</v>
      </c>
      <c r="Q84" s="81">
        <v>519000</v>
      </c>
      <c r="R84" s="132">
        <f t="shared" si="10"/>
        <v>2777700</v>
      </c>
      <c r="S84" s="95">
        <v>1790000</v>
      </c>
      <c r="T84" s="96">
        <v>421700</v>
      </c>
      <c r="U84" s="81">
        <v>582300</v>
      </c>
      <c r="V84" s="133">
        <f t="shared" si="11"/>
        <v>2794000</v>
      </c>
      <c r="W84" s="137">
        <f t="shared" si="12"/>
        <v>0.28851207833819348</v>
      </c>
      <c r="X84" s="138">
        <f t="shared" si="13"/>
        <v>0.35934144595561918</v>
      </c>
      <c r="Y84" s="139">
        <f t="shared" si="14"/>
        <v>0.32403036775131466</v>
      </c>
    </row>
    <row r="85" spans="1:25">
      <c r="A85" s="27" t="s">
        <v>138</v>
      </c>
      <c r="B85" s="95">
        <v>439700</v>
      </c>
      <c r="C85" s="96">
        <v>1774900</v>
      </c>
      <c r="D85" s="96">
        <v>624100</v>
      </c>
      <c r="E85" s="81">
        <v>2838700</v>
      </c>
      <c r="F85" s="95">
        <v>412500</v>
      </c>
      <c r="G85" s="96">
        <v>1775400</v>
      </c>
      <c r="H85" s="96">
        <v>665900</v>
      </c>
      <c r="I85" s="81">
        <v>2853700</v>
      </c>
      <c r="J85" s="95">
        <v>852100</v>
      </c>
      <c r="K85" s="96">
        <v>3550300</v>
      </c>
      <c r="L85" s="96">
        <v>1290000</v>
      </c>
      <c r="M85" s="81">
        <v>5692400</v>
      </c>
      <c r="N85" s="131"/>
      <c r="O85" s="95">
        <v>2003300</v>
      </c>
      <c r="P85" s="96">
        <v>290100</v>
      </c>
      <c r="Q85" s="81">
        <v>545300</v>
      </c>
      <c r="R85" s="132">
        <f t="shared" si="10"/>
        <v>2838700</v>
      </c>
      <c r="S85" s="95">
        <v>1813100</v>
      </c>
      <c r="T85" s="96">
        <v>429400</v>
      </c>
      <c r="U85" s="81">
        <v>611200</v>
      </c>
      <c r="V85" s="133">
        <f t="shared" si="11"/>
        <v>2853700</v>
      </c>
      <c r="W85" s="137">
        <f t="shared" si="12"/>
        <v>0.29428963962377147</v>
      </c>
      <c r="X85" s="138">
        <f t="shared" si="13"/>
        <v>0.36464940253004868</v>
      </c>
      <c r="Y85" s="139">
        <f t="shared" si="14"/>
        <v>0.32956222331529761</v>
      </c>
    </row>
    <row r="86" spans="1:25">
      <c r="A86" s="27" t="s">
        <v>139</v>
      </c>
      <c r="B86" s="95">
        <v>428800</v>
      </c>
      <c r="C86" s="96">
        <v>1774000</v>
      </c>
      <c r="D86" s="96">
        <v>636400</v>
      </c>
      <c r="E86" s="81">
        <v>2839200</v>
      </c>
      <c r="F86" s="95">
        <v>403600</v>
      </c>
      <c r="G86" s="96">
        <v>1781400</v>
      </c>
      <c r="H86" s="96">
        <v>682500</v>
      </c>
      <c r="I86" s="81">
        <v>2867400</v>
      </c>
      <c r="J86" s="95">
        <v>832400</v>
      </c>
      <c r="K86" s="96">
        <v>3555300</v>
      </c>
      <c r="L86" s="96">
        <v>1318900</v>
      </c>
      <c r="M86" s="81">
        <v>5706600</v>
      </c>
      <c r="N86" s="131"/>
      <c r="O86" s="95">
        <v>1993600</v>
      </c>
      <c r="P86" s="96">
        <v>290500</v>
      </c>
      <c r="Q86" s="81">
        <v>555100</v>
      </c>
      <c r="R86" s="132">
        <f t="shared" si="10"/>
        <v>2839200</v>
      </c>
      <c r="S86" s="95">
        <v>1813900</v>
      </c>
      <c r="T86" s="96">
        <v>431600</v>
      </c>
      <c r="U86" s="81">
        <v>621900</v>
      </c>
      <c r="V86" s="133">
        <f t="shared" si="11"/>
        <v>2867400</v>
      </c>
      <c r="W86" s="137">
        <f t="shared" si="12"/>
        <v>0.2978303747534517</v>
      </c>
      <c r="X86" s="138">
        <f t="shared" si="13"/>
        <v>0.36740601241542858</v>
      </c>
      <c r="Y86" s="139">
        <f t="shared" si="14"/>
        <v>0.33279010268811554</v>
      </c>
    </row>
    <row r="87" spans="1:25">
      <c r="A87" s="80" t="s">
        <v>140</v>
      </c>
      <c r="B87" s="97">
        <v>426700</v>
      </c>
      <c r="C87" s="98">
        <v>1781600</v>
      </c>
      <c r="D87" s="98">
        <v>647000</v>
      </c>
      <c r="E87" s="82">
        <v>2855300</v>
      </c>
      <c r="F87" s="97">
        <v>402600</v>
      </c>
      <c r="G87" s="98">
        <v>1800600</v>
      </c>
      <c r="H87" s="98">
        <v>695100</v>
      </c>
      <c r="I87" s="82">
        <v>2898400</v>
      </c>
      <c r="J87" s="97">
        <v>829300</v>
      </c>
      <c r="K87" s="98">
        <v>3582200</v>
      </c>
      <c r="L87" s="98">
        <v>1342100</v>
      </c>
      <c r="M87" s="82">
        <v>5753700</v>
      </c>
      <c r="N87" s="140"/>
      <c r="O87" s="97">
        <v>2001900</v>
      </c>
      <c r="P87" s="98">
        <v>294300</v>
      </c>
      <c r="Q87" s="82">
        <v>559100</v>
      </c>
      <c r="R87" s="141">
        <f t="shared" si="10"/>
        <v>2855300</v>
      </c>
      <c r="S87" s="97">
        <v>1833800</v>
      </c>
      <c r="T87" s="98">
        <v>437200</v>
      </c>
      <c r="U87" s="82">
        <v>627300</v>
      </c>
      <c r="V87" s="142">
        <f t="shared" si="11"/>
        <v>2898300</v>
      </c>
      <c r="W87" s="143">
        <f t="shared" si="12"/>
        <v>0.2988827793927083</v>
      </c>
      <c r="X87" s="144">
        <f t="shared" si="13"/>
        <v>0.36728427008936271</v>
      </c>
      <c r="Y87" s="145">
        <f t="shared" si="14"/>
        <v>0.33333912680756395</v>
      </c>
    </row>
    <row r="88" spans="1:25">
      <c r="A88" s="27" t="s">
        <v>141</v>
      </c>
      <c r="B88" s="95">
        <v>422000</v>
      </c>
      <c r="C88" s="96">
        <v>1780300</v>
      </c>
      <c r="D88" s="96">
        <v>653800</v>
      </c>
      <c r="E88" s="81">
        <v>2856100</v>
      </c>
      <c r="F88" s="95">
        <v>399800</v>
      </c>
      <c r="G88" s="96">
        <v>1809900</v>
      </c>
      <c r="H88" s="96">
        <v>702600</v>
      </c>
      <c r="I88" s="81">
        <v>2912300</v>
      </c>
      <c r="J88" s="95">
        <v>821800</v>
      </c>
      <c r="K88" s="96">
        <v>3590200</v>
      </c>
      <c r="L88" s="96">
        <v>1356400</v>
      </c>
      <c r="M88" s="81">
        <v>5768400</v>
      </c>
      <c r="N88" s="131"/>
      <c r="O88" s="95">
        <v>1993600</v>
      </c>
      <c r="P88" s="96">
        <v>295600</v>
      </c>
      <c r="Q88" s="81">
        <v>566900</v>
      </c>
      <c r="R88" s="132">
        <f t="shared" si="10"/>
        <v>2856100</v>
      </c>
      <c r="S88" s="95">
        <v>1830700</v>
      </c>
      <c r="T88" s="96">
        <v>439300</v>
      </c>
      <c r="U88" s="81">
        <v>642300</v>
      </c>
      <c r="V88" s="133">
        <f t="shared" si="11"/>
        <v>2912300</v>
      </c>
      <c r="W88" s="137">
        <f t="shared" si="12"/>
        <v>0.30198522460698157</v>
      </c>
      <c r="X88" s="138">
        <f t="shared" si="13"/>
        <v>0.37139031006421042</v>
      </c>
      <c r="Y88" s="139">
        <f t="shared" si="14"/>
        <v>0.33702586505790166</v>
      </c>
    </row>
    <row r="89" spans="1:25">
      <c r="A89" s="27" t="s">
        <v>142</v>
      </c>
      <c r="B89" s="95">
        <v>413600</v>
      </c>
      <c r="C89" s="96">
        <v>1765600</v>
      </c>
      <c r="D89" s="96">
        <v>658600</v>
      </c>
      <c r="E89" s="81">
        <v>2837800</v>
      </c>
      <c r="F89" s="95">
        <v>392900</v>
      </c>
      <c r="G89" s="96">
        <v>1794100</v>
      </c>
      <c r="H89" s="96">
        <v>707300</v>
      </c>
      <c r="I89" s="81">
        <v>2894400</v>
      </c>
      <c r="J89" s="95">
        <v>806500</v>
      </c>
      <c r="K89" s="96">
        <v>3559800</v>
      </c>
      <c r="L89" s="96">
        <v>1365900</v>
      </c>
      <c r="M89" s="81">
        <v>5732100</v>
      </c>
      <c r="N89" s="131"/>
      <c r="O89" s="95">
        <v>1973200</v>
      </c>
      <c r="P89" s="96">
        <v>299000</v>
      </c>
      <c r="Q89" s="81">
        <v>565700</v>
      </c>
      <c r="R89" s="132">
        <f t="shared" si="10"/>
        <v>2837900</v>
      </c>
      <c r="S89" s="95">
        <v>1806200</v>
      </c>
      <c r="T89" s="96">
        <v>443400</v>
      </c>
      <c r="U89" s="81">
        <v>644800</v>
      </c>
      <c r="V89" s="133">
        <f t="shared" si="11"/>
        <v>2894400</v>
      </c>
      <c r="W89" s="137">
        <f t="shared" si="12"/>
        <v>0.30469713520560976</v>
      </c>
      <c r="X89" s="138">
        <f t="shared" si="13"/>
        <v>0.37596738529574353</v>
      </c>
      <c r="Y89" s="139">
        <f t="shared" si="14"/>
        <v>0.34068349528112624</v>
      </c>
    </row>
    <row r="90" spans="1:25">
      <c r="A90" s="27" t="s">
        <v>143</v>
      </c>
      <c r="B90" s="95">
        <v>410000</v>
      </c>
      <c r="C90" s="96">
        <v>1767900</v>
      </c>
      <c r="D90" s="96">
        <v>666500</v>
      </c>
      <c r="E90" s="81">
        <v>2844400</v>
      </c>
      <c r="F90" s="95">
        <v>391700</v>
      </c>
      <c r="G90" s="96">
        <v>1806100</v>
      </c>
      <c r="H90" s="96">
        <v>717200</v>
      </c>
      <c r="I90" s="81">
        <v>2914900</v>
      </c>
      <c r="J90" s="95">
        <v>801700</v>
      </c>
      <c r="K90" s="96">
        <v>3574000</v>
      </c>
      <c r="L90" s="96">
        <v>1383600</v>
      </c>
      <c r="M90" s="81">
        <v>5759400</v>
      </c>
      <c r="N90" s="131"/>
      <c r="O90" s="95">
        <v>1954600</v>
      </c>
      <c r="P90" s="96">
        <v>298000</v>
      </c>
      <c r="Q90" s="81">
        <v>591700</v>
      </c>
      <c r="R90" s="132">
        <f t="shared" si="10"/>
        <v>2844300</v>
      </c>
      <c r="S90" s="95">
        <v>1802200</v>
      </c>
      <c r="T90" s="96">
        <v>442600</v>
      </c>
      <c r="U90" s="81">
        <v>670200</v>
      </c>
      <c r="V90" s="133">
        <f t="shared" si="11"/>
        <v>2915000</v>
      </c>
      <c r="W90" s="137">
        <f t="shared" si="12"/>
        <v>0.31280104067784692</v>
      </c>
      <c r="X90" s="138">
        <f t="shared" si="13"/>
        <v>0.38174957118353342</v>
      </c>
      <c r="Y90" s="139">
        <f t="shared" si="14"/>
        <v>0.34769850502665256</v>
      </c>
    </row>
    <row r="91" spans="1:25">
      <c r="A91" s="80" t="s">
        <v>144</v>
      </c>
      <c r="B91" s="97">
        <v>401900</v>
      </c>
      <c r="C91" s="98">
        <v>1765800</v>
      </c>
      <c r="D91" s="98">
        <v>676100</v>
      </c>
      <c r="E91" s="82">
        <v>2843700</v>
      </c>
      <c r="F91" s="97">
        <v>385200</v>
      </c>
      <c r="G91" s="98">
        <v>1812700</v>
      </c>
      <c r="H91" s="98">
        <v>730900</v>
      </c>
      <c r="I91" s="82">
        <v>2928800</v>
      </c>
      <c r="J91" s="97">
        <v>787100</v>
      </c>
      <c r="K91" s="98">
        <v>3578500</v>
      </c>
      <c r="L91" s="98">
        <v>1407000</v>
      </c>
      <c r="M91" s="82">
        <v>5772500</v>
      </c>
      <c r="N91" s="140"/>
      <c r="O91" s="97">
        <v>1932000</v>
      </c>
      <c r="P91" s="98">
        <v>301500</v>
      </c>
      <c r="Q91" s="82">
        <v>610300</v>
      </c>
      <c r="R91" s="141">
        <f t="shared" si="10"/>
        <v>2843800</v>
      </c>
      <c r="S91" s="97">
        <v>1794400</v>
      </c>
      <c r="T91" s="98">
        <v>442500</v>
      </c>
      <c r="U91" s="82">
        <v>691900</v>
      </c>
      <c r="V91" s="142">
        <f t="shared" si="11"/>
        <v>2928800</v>
      </c>
      <c r="W91" s="143">
        <f t="shared" si="12"/>
        <v>0.32062732962936913</v>
      </c>
      <c r="X91" s="144">
        <f t="shared" si="13"/>
        <v>0.38732586724938539</v>
      </c>
      <c r="Y91" s="145">
        <f t="shared" si="14"/>
        <v>0.35446765755465476</v>
      </c>
    </row>
    <row r="92" spans="1:25">
      <c r="A92" s="27" t="s">
        <v>145</v>
      </c>
      <c r="B92" s="95">
        <v>398400</v>
      </c>
      <c r="C92" s="96">
        <v>1769000</v>
      </c>
      <c r="D92" s="96">
        <v>686800</v>
      </c>
      <c r="E92" s="81">
        <v>2854200</v>
      </c>
      <c r="F92" s="95">
        <v>384600</v>
      </c>
      <c r="G92" s="96">
        <v>1831800</v>
      </c>
      <c r="H92" s="96">
        <v>746300</v>
      </c>
      <c r="I92" s="81">
        <v>2962600</v>
      </c>
      <c r="J92" s="95">
        <v>782900</v>
      </c>
      <c r="K92" s="96">
        <v>3600800</v>
      </c>
      <c r="L92" s="96">
        <v>1433000</v>
      </c>
      <c r="M92" s="81">
        <v>5816800</v>
      </c>
      <c r="N92" s="131"/>
      <c r="O92" s="95">
        <v>1936600</v>
      </c>
      <c r="P92" s="96">
        <v>299900</v>
      </c>
      <c r="Q92" s="81">
        <v>617700</v>
      </c>
      <c r="R92" s="132">
        <f t="shared" si="10"/>
        <v>2854200</v>
      </c>
      <c r="S92" s="95">
        <v>1813300</v>
      </c>
      <c r="T92" s="96">
        <v>439300</v>
      </c>
      <c r="U92" s="81">
        <v>710000</v>
      </c>
      <c r="V92" s="133">
        <f t="shared" si="11"/>
        <v>2962600</v>
      </c>
      <c r="W92" s="137">
        <f t="shared" si="12"/>
        <v>0.32149113586994604</v>
      </c>
      <c r="X92" s="138">
        <f t="shared" si="13"/>
        <v>0.3879362721933437</v>
      </c>
      <c r="Y92" s="139">
        <f t="shared" si="14"/>
        <v>0.35533282904689861</v>
      </c>
    </row>
    <row r="93" spans="1:25">
      <c r="A93" s="27" t="s">
        <v>146</v>
      </c>
      <c r="B93" s="95">
        <v>394800</v>
      </c>
      <c r="C93" s="96">
        <v>1772800</v>
      </c>
      <c r="D93" s="96">
        <v>693300</v>
      </c>
      <c r="E93" s="81">
        <v>2860800</v>
      </c>
      <c r="F93" s="95">
        <v>386000</v>
      </c>
      <c r="G93" s="96">
        <v>1853600</v>
      </c>
      <c r="H93" s="96">
        <v>757200</v>
      </c>
      <c r="I93" s="81">
        <v>2996700</v>
      </c>
      <c r="J93" s="95">
        <v>780700</v>
      </c>
      <c r="K93" s="96">
        <v>3626400</v>
      </c>
      <c r="L93" s="96">
        <v>1450400</v>
      </c>
      <c r="M93" s="81">
        <v>5857600</v>
      </c>
      <c r="N93" s="131"/>
      <c r="O93" s="95">
        <v>1923400</v>
      </c>
      <c r="P93" s="96">
        <v>301900</v>
      </c>
      <c r="Q93" s="81">
        <v>635500</v>
      </c>
      <c r="R93" s="132">
        <f t="shared" si="10"/>
        <v>2860800</v>
      </c>
      <c r="S93" s="95">
        <v>1820800</v>
      </c>
      <c r="T93" s="96">
        <v>448200</v>
      </c>
      <c r="U93" s="81">
        <v>727800</v>
      </c>
      <c r="V93" s="133">
        <f t="shared" si="11"/>
        <v>2996800</v>
      </c>
      <c r="W93" s="137">
        <f t="shared" si="12"/>
        <v>0.32767058165548096</v>
      </c>
      <c r="X93" s="138">
        <f t="shared" si="13"/>
        <v>0.39241857981847306</v>
      </c>
      <c r="Y93" s="139">
        <f t="shared" si="14"/>
        <v>0.36079623053810433</v>
      </c>
    </row>
    <row r="94" spans="1:25">
      <c r="A94" s="27" t="s">
        <v>147</v>
      </c>
      <c r="B94" s="95">
        <v>393800</v>
      </c>
      <c r="C94" s="96">
        <v>1777600</v>
      </c>
      <c r="D94" s="96">
        <v>699800</v>
      </c>
      <c r="E94" s="81">
        <v>2871300</v>
      </c>
      <c r="F94" s="95">
        <v>389000</v>
      </c>
      <c r="G94" s="96">
        <v>1875200</v>
      </c>
      <c r="H94" s="96">
        <v>767800</v>
      </c>
      <c r="I94" s="81">
        <v>3032000</v>
      </c>
      <c r="J94" s="95">
        <v>782800</v>
      </c>
      <c r="K94" s="96">
        <v>3652800</v>
      </c>
      <c r="L94" s="96">
        <v>1467700</v>
      </c>
      <c r="M94" s="81">
        <v>5903300</v>
      </c>
      <c r="N94" s="131"/>
      <c r="O94" s="95">
        <v>1913900</v>
      </c>
      <c r="P94" s="96">
        <v>308800</v>
      </c>
      <c r="Q94" s="81">
        <v>648600</v>
      </c>
      <c r="R94" s="132">
        <f t="shared" si="10"/>
        <v>2871300</v>
      </c>
      <c r="S94" s="95">
        <v>1828800</v>
      </c>
      <c r="T94" s="96">
        <v>455800</v>
      </c>
      <c r="U94" s="81">
        <v>747400</v>
      </c>
      <c r="V94" s="133">
        <f t="shared" si="11"/>
        <v>3032000</v>
      </c>
      <c r="W94" s="137">
        <f t="shared" si="12"/>
        <v>0.33343781562358515</v>
      </c>
      <c r="X94" s="138">
        <f t="shared" si="13"/>
        <v>0.39683377308707124</v>
      </c>
      <c r="Y94" s="139">
        <f t="shared" si="14"/>
        <v>0.36599867870513103</v>
      </c>
    </row>
    <row r="95" spans="1:25">
      <c r="A95" s="80" t="s">
        <v>148</v>
      </c>
      <c r="B95" s="97">
        <v>391300</v>
      </c>
      <c r="C95" s="98">
        <v>1773400</v>
      </c>
      <c r="D95" s="98">
        <v>705600</v>
      </c>
      <c r="E95" s="82">
        <v>2870300</v>
      </c>
      <c r="F95" s="97">
        <v>390500</v>
      </c>
      <c r="G95" s="98">
        <v>1893600</v>
      </c>
      <c r="H95" s="98">
        <v>779500</v>
      </c>
      <c r="I95" s="82">
        <v>3063600</v>
      </c>
      <c r="J95" s="97">
        <v>781800</v>
      </c>
      <c r="K95" s="98">
        <v>3667000</v>
      </c>
      <c r="L95" s="98">
        <v>1485000</v>
      </c>
      <c r="M95" s="82">
        <v>5933900</v>
      </c>
      <c r="N95" s="140"/>
      <c r="O95" s="97">
        <v>1894300</v>
      </c>
      <c r="P95" s="98">
        <v>310700</v>
      </c>
      <c r="Q95" s="82">
        <v>665200</v>
      </c>
      <c r="R95" s="141">
        <f t="shared" si="10"/>
        <v>2870200</v>
      </c>
      <c r="S95" s="97">
        <v>1833800</v>
      </c>
      <c r="T95" s="98">
        <v>460700</v>
      </c>
      <c r="U95" s="82">
        <v>769100</v>
      </c>
      <c r="V95" s="142">
        <f t="shared" si="11"/>
        <v>3063600</v>
      </c>
      <c r="W95" s="143">
        <f t="shared" si="12"/>
        <v>0.34001114904884677</v>
      </c>
      <c r="X95" s="144">
        <f t="shared" si="13"/>
        <v>0.40142316229272751</v>
      </c>
      <c r="Y95" s="145">
        <f t="shared" si="14"/>
        <v>0.37171795476760255</v>
      </c>
    </row>
    <row r="96" spans="1:25">
      <c r="A96" s="27" t="s">
        <v>149</v>
      </c>
      <c r="B96" s="95">
        <v>388100</v>
      </c>
      <c r="C96" s="96">
        <v>1766500</v>
      </c>
      <c r="D96" s="96">
        <v>708900</v>
      </c>
      <c r="E96" s="81">
        <v>2863500</v>
      </c>
      <c r="F96" s="95">
        <v>390800</v>
      </c>
      <c r="G96" s="96">
        <v>1901900</v>
      </c>
      <c r="H96" s="96">
        <v>786700</v>
      </c>
      <c r="I96" s="81">
        <v>3079300</v>
      </c>
      <c r="J96" s="95">
        <v>778800</v>
      </c>
      <c r="K96" s="96">
        <v>3668400</v>
      </c>
      <c r="L96" s="96">
        <v>1495500</v>
      </c>
      <c r="M96" s="81">
        <v>5942800</v>
      </c>
      <c r="N96" s="131"/>
      <c r="O96" s="95">
        <v>1878300</v>
      </c>
      <c r="P96" s="96">
        <v>316200</v>
      </c>
      <c r="Q96" s="81">
        <v>669100</v>
      </c>
      <c r="R96" s="132">
        <f t="shared" si="10"/>
        <v>2863600</v>
      </c>
      <c r="S96" s="95">
        <v>1831500</v>
      </c>
      <c r="T96" s="96">
        <v>466800</v>
      </c>
      <c r="U96" s="81">
        <v>781100</v>
      </c>
      <c r="V96" s="133">
        <f t="shared" si="11"/>
        <v>3079400</v>
      </c>
      <c r="W96" s="137">
        <f t="shared" si="12"/>
        <v>0.34407738510965219</v>
      </c>
      <c r="X96" s="138">
        <f t="shared" si="13"/>
        <v>0.40524128076898097</v>
      </c>
      <c r="Y96" s="139">
        <f t="shared" si="14"/>
        <v>0.37576981322564362</v>
      </c>
    </row>
    <row r="97" spans="1:25">
      <c r="A97" s="27" t="s">
        <v>150</v>
      </c>
      <c r="B97" s="95">
        <v>387500</v>
      </c>
      <c r="C97" s="96">
        <v>1755900</v>
      </c>
      <c r="D97" s="96">
        <v>712500</v>
      </c>
      <c r="E97" s="81">
        <v>2855900</v>
      </c>
      <c r="F97" s="95">
        <v>391100</v>
      </c>
      <c r="G97" s="96">
        <v>1900600</v>
      </c>
      <c r="H97" s="96">
        <v>794900</v>
      </c>
      <c r="I97" s="81">
        <v>3086700</v>
      </c>
      <c r="J97" s="95">
        <v>778600</v>
      </c>
      <c r="K97" s="96">
        <v>3656500</v>
      </c>
      <c r="L97" s="96">
        <v>1507500</v>
      </c>
      <c r="M97" s="81">
        <v>5942600</v>
      </c>
      <c r="N97" s="131"/>
      <c r="O97" s="95">
        <v>1872100</v>
      </c>
      <c r="P97" s="96">
        <v>314900</v>
      </c>
      <c r="Q97" s="81">
        <v>668900</v>
      </c>
      <c r="R97" s="132">
        <f t="shared" si="10"/>
        <v>2855900</v>
      </c>
      <c r="S97" s="95">
        <v>1831600</v>
      </c>
      <c r="T97" s="96">
        <v>466500</v>
      </c>
      <c r="U97" s="81">
        <v>788600</v>
      </c>
      <c r="V97" s="133">
        <f t="shared" si="11"/>
        <v>3086700</v>
      </c>
      <c r="W97" s="137">
        <f t="shared" si="12"/>
        <v>0.3444798487341994</v>
      </c>
      <c r="X97" s="138">
        <f t="shared" si="13"/>
        <v>0.40661547931447822</v>
      </c>
      <c r="Y97" s="139">
        <f t="shared" si="14"/>
        <v>0.37675428263722949</v>
      </c>
    </row>
    <row r="98" spans="1:25">
      <c r="A98" s="27" t="s">
        <v>151</v>
      </c>
      <c r="B98" s="95">
        <v>386100</v>
      </c>
      <c r="C98" s="96">
        <v>1748600</v>
      </c>
      <c r="D98" s="96">
        <v>715000</v>
      </c>
      <c r="E98" s="81">
        <v>2849700</v>
      </c>
      <c r="F98" s="95">
        <v>389500</v>
      </c>
      <c r="G98" s="96">
        <v>1895600</v>
      </c>
      <c r="H98" s="96">
        <v>801100</v>
      </c>
      <c r="I98" s="81">
        <v>3086200</v>
      </c>
      <c r="J98" s="95">
        <v>775600</v>
      </c>
      <c r="K98" s="96">
        <v>3644200</v>
      </c>
      <c r="L98" s="96">
        <v>1516000</v>
      </c>
      <c r="M98" s="81">
        <v>5935800</v>
      </c>
      <c r="N98" s="131"/>
      <c r="O98" s="95">
        <v>1871600</v>
      </c>
      <c r="P98" s="96">
        <v>313800</v>
      </c>
      <c r="Q98" s="81">
        <v>664300</v>
      </c>
      <c r="R98" s="132">
        <f t="shared" si="10"/>
        <v>2849700</v>
      </c>
      <c r="S98" s="95">
        <v>1826600</v>
      </c>
      <c r="T98" s="96">
        <v>467400</v>
      </c>
      <c r="U98" s="81">
        <v>792200</v>
      </c>
      <c r="V98" s="133">
        <f t="shared" si="11"/>
        <v>3086200</v>
      </c>
      <c r="W98" s="137">
        <f t="shared" si="12"/>
        <v>0.34322911183633364</v>
      </c>
      <c r="X98" s="138">
        <f t="shared" si="13"/>
        <v>0.40813945952951852</v>
      </c>
      <c r="Y98" s="139">
        <f t="shared" si="14"/>
        <v>0.37697737495577754</v>
      </c>
    </row>
    <row r="99" spans="1:25">
      <c r="A99" s="80" t="s">
        <v>152</v>
      </c>
      <c r="B99" s="97">
        <v>383700</v>
      </c>
      <c r="C99" s="98">
        <v>1740400</v>
      </c>
      <c r="D99" s="98">
        <v>716600</v>
      </c>
      <c r="E99" s="82">
        <v>2840800</v>
      </c>
      <c r="F99" s="97">
        <v>386400</v>
      </c>
      <c r="G99" s="98">
        <v>1895300</v>
      </c>
      <c r="H99" s="98">
        <v>807600</v>
      </c>
      <c r="I99" s="82">
        <v>3089300</v>
      </c>
      <c r="J99" s="97">
        <v>770100</v>
      </c>
      <c r="K99" s="98">
        <v>3635700</v>
      </c>
      <c r="L99" s="98">
        <v>1524200</v>
      </c>
      <c r="M99" s="82">
        <v>5930000</v>
      </c>
      <c r="N99" s="140"/>
      <c r="O99" s="97">
        <v>1859200</v>
      </c>
      <c r="P99" s="98">
        <v>313400</v>
      </c>
      <c r="Q99" s="82">
        <v>668200</v>
      </c>
      <c r="R99" s="141">
        <f t="shared" si="10"/>
        <v>2840800</v>
      </c>
      <c r="S99" s="97">
        <v>1823600</v>
      </c>
      <c r="T99" s="98">
        <v>465800</v>
      </c>
      <c r="U99" s="82">
        <v>800000</v>
      </c>
      <c r="V99" s="142">
        <f t="shared" si="11"/>
        <v>3089400</v>
      </c>
      <c r="W99" s="143">
        <f t="shared" si="12"/>
        <v>0.34553646860039428</v>
      </c>
      <c r="X99" s="144">
        <f t="shared" si="13"/>
        <v>0.40972357091991973</v>
      </c>
      <c r="Y99" s="145">
        <f t="shared" si="14"/>
        <v>0.37897541398266499</v>
      </c>
    </row>
    <row r="100" spans="1:25">
      <c r="A100" s="27" t="s">
        <v>153</v>
      </c>
      <c r="B100" s="95">
        <v>382500</v>
      </c>
      <c r="C100" s="96">
        <v>1731800</v>
      </c>
      <c r="D100" s="96">
        <v>719200</v>
      </c>
      <c r="E100" s="81">
        <v>2833500</v>
      </c>
      <c r="F100" s="95">
        <v>385800</v>
      </c>
      <c r="G100" s="96">
        <v>1893000</v>
      </c>
      <c r="H100" s="96">
        <v>812200</v>
      </c>
      <c r="I100" s="81">
        <v>3091000</v>
      </c>
      <c r="J100" s="95">
        <v>768300</v>
      </c>
      <c r="K100" s="96">
        <v>3624800</v>
      </c>
      <c r="L100" s="96">
        <v>1531400</v>
      </c>
      <c r="M100" s="81">
        <v>5924600</v>
      </c>
      <c r="N100" s="131"/>
      <c r="O100" s="95">
        <v>1844000</v>
      </c>
      <c r="P100" s="96">
        <v>315500</v>
      </c>
      <c r="Q100" s="81">
        <v>673900</v>
      </c>
      <c r="R100" s="132">
        <f t="shared" si="10"/>
        <v>2833400</v>
      </c>
      <c r="S100" s="95">
        <v>1814500</v>
      </c>
      <c r="T100" s="96">
        <v>467600</v>
      </c>
      <c r="U100" s="81">
        <v>808900</v>
      </c>
      <c r="V100" s="133">
        <f t="shared" si="11"/>
        <v>3091000</v>
      </c>
      <c r="W100" s="137">
        <f t="shared" si="12"/>
        <v>0.34919178372273596</v>
      </c>
      <c r="X100" s="138">
        <f t="shared" si="13"/>
        <v>0.41297314784859268</v>
      </c>
      <c r="Y100" s="139">
        <f t="shared" si="14"/>
        <v>0.38246911079602997</v>
      </c>
    </row>
    <row r="101" spans="1:25">
      <c r="A101" s="27" t="s">
        <v>154</v>
      </c>
      <c r="B101" s="95">
        <v>379800</v>
      </c>
      <c r="C101" s="96">
        <v>1714600</v>
      </c>
      <c r="D101" s="96">
        <v>718000</v>
      </c>
      <c r="E101" s="81">
        <v>2812400</v>
      </c>
      <c r="F101" s="95">
        <v>381700</v>
      </c>
      <c r="G101" s="96">
        <v>1874300</v>
      </c>
      <c r="H101" s="96">
        <v>811100</v>
      </c>
      <c r="I101" s="81">
        <v>3067100</v>
      </c>
      <c r="J101" s="95">
        <v>761500</v>
      </c>
      <c r="K101" s="96">
        <v>3589000</v>
      </c>
      <c r="L101" s="96">
        <v>1529000</v>
      </c>
      <c r="M101" s="81">
        <v>5879500</v>
      </c>
      <c r="N101" s="131"/>
      <c r="O101" s="95">
        <v>1829500</v>
      </c>
      <c r="P101" s="96">
        <v>308400</v>
      </c>
      <c r="Q101" s="81">
        <v>674400</v>
      </c>
      <c r="R101" s="132">
        <f t="shared" ref="R101" si="15">O101+P101+Q101</f>
        <v>2812300</v>
      </c>
      <c r="S101" s="95">
        <v>1794900</v>
      </c>
      <c r="T101" s="96">
        <v>460600</v>
      </c>
      <c r="U101" s="81">
        <v>811500</v>
      </c>
      <c r="V101" s="133">
        <f t="shared" ref="V101" si="16">S101+T101+U101</f>
        <v>3067000</v>
      </c>
      <c r="W101" s="137">
        <f t="shared" ref="W101" si="17">(P101+Q101)/R101</f>
        <v>0.34946485083383705</v>
      </c>
      <c r="X101" s="138">
        <f t="shared" ref="X101" si="18">(T101+U101)/V101</f>
        <v>0.41477013368112164</v>
      </c>
      <c r="Y101" s="139">
        <f t="shared" ref="Y101" si="19">(P101+Q101+T101+U101)/(R101+V101)</f>
        <v>0.38353205313557737</v>
      </c>
    </row>
    <row r="102" spans="1:25">
      <c r="A102" s="27" t="s">
        <v>155</v>
      </c>
      <c r="B102" s="95">
        <v>375300</v>
      </c>
      <c r="C102" s="96">
        <v>1691300</v>
      </c>
      <c r="D102" s="96">
        <v>715000</v>
      </c>
      <c r="E102" s="81">
        <v>2781600</v>
      </c>
      <c r="F102" s="95">
        <v>376000</v>
      </c>
      <c r="G102" s="96">
        <v>1847900</v>
      </c>
      <c r="H102" s="96">
        <v>808700</v>
      </c>
      <c r="I102" s="81">
        <v>3032600</v>
      </c>
      <c r="J102" s="95">
        <v>751400</v>
      </c>
      <c r="K102" s="96">
        <v>3539200</v>
      </c>
      <c r="L102" s="96">
        <v>1523700</v>
      </c>
      <c r="M102" s="81">
        <v>5814200</v>
      </c>
      <c r="N102" s="131"/>
      <c r="O102" s="95">
        <v>1821300</v>
      </c>
      <c r="P102" s="96">
        <v>306400</v>
      </c>
      <c r="Q102" s="81">
        <v>654000</v>
      </c>
      <c r="R102" s="132">
        <f t="shared" ref="R102" si="20">O102+P102+Q102</f>
        <v>2781700</v>
      </c>
      <c r="S102" s="95">
        <v>1783600</v>
      </c>
      <c r="T102" s="96">
        <v>451600</v>
      </c>
      <c r="U102" s="81">
        <v>797500</v>
      </c>
      <c r="V102" s="133">
        <f t="shared" ref="V102" si="21">S102+T102+U102</f>
        <v>3032700</v>
      </c>
      <c r="W102" s="137">
        <f t="shared" ref="W102" si="22">(P102+Q102)/R102</f>
        <v>0.34525649782507101</v>
      </c>
      <c r="X102" s="138">
        <f t="shared" ref="X102" si="23">(T102+U102)/V102</f>
        <v>0.41187720513074161</v>
      </c>
      <c r="Y102" s="139">
        <f t="shared" ref="Y102" si="24">(P102+Q102+T102+U102)/(R102+V102)</f>
        <v>0.38000481563015959</v>
      </c>
    </row>
    <row r="103" spans="1:25">
      <c r="A103" s="80" t="s">
        <v>156</v>
      </c>
      <c r="B103" s="97">
        <v>367800</v>
      </c>
      <c r="C103" s="98">
        <v>1671900</v>
      </c>
      <c r="D103" s="98">
        <v>712200</v>
      </c>
      <c r="E103" s="82">
        <v>2751900</v>
      </c>
      <c r="F103" s="97">
        <v>369000</v>
      </c>
      <c r="G103" s="98">
        <v>1830600</v>
      </c>
      <c r="H103" s="98">
        <v>808600</v>
      </c>
      <c r="I103" s="82">
        <v>3008200</v>
      </c>
      <c r="J103" s="97">
        <v>736800</v>
      </c>
      <c r="K103" s="98">
        <v>3502500</v>
      </c>
      <c r="L103" s="98">
        <v>1520800</v>
      </c>
      <c r="M103" s="82">
        <v>5760100</v>
      </c>
      <c r="N103" s="140"/>
      <c r="O103" s="97">
        <v>1796800</v>
      </c>
      <c r="P103" s="98">
        <v>303200</v>
      </c>
      <c r="Q103" s="82">
        <v>652000</v>
      </c>
      <c r="R103" s="141">
        <f t="shared" ref="R103" si="25">O103+P103+Q103</f>
        <v>2752000</v>
      </c>
      <c r="S103" s="97">
        <v>1768300</v>
      </c>
      <c r="T103" s="98">
        <v>443900</v>
      </c>
      <c r="U103" s="82">
        <v>796000</v>
      </c>
      <c r="V103" s="142">
        <f t="shared" ref="V103" si="26">S103+T103+U103</f>
        <v>3008200</v>
      </c>
      <c r="W103" s="143">
        <f t="shared" ref="W103" si="27">(P103+Q103)/R103</f>
        <v>0.34709302325581393</v>
      </c>
      <c r="X103" s="144">
        <f t="shared" ref="X103" si="28">(T103+U103)/V103</f>
        <v>0.41217339272654746</v>
      </c>
      <c r="Y103" s="145">
        <f t="shared" ref="Y103" si="29">(P103+Q103+T103+U103)/(R103+V103)</f>
        <v>0.38108051803756815</v>
      </c>
    </row>
    <row r="104" spans="1:25">
      <c r="A104" s="27" t="s">
        <v>157</v>
      </c>
      <c r="B104" s="95">
        <v>367300</v>
      </c>
      <c r="C104" s="96">
        <v>1676100</v>
      </c>
      <c r="D104" s="96">
        <v>713700</v>
      </c>
      <c r="E104" s="81">
        <v>2757100</v>
      </c>
      <c r="F104" s="95">
        <v>365700</v>
      </c>
      <c r="G104" s="96">
        <v>1824400</v>
      </c>
      <c r="H104" s="96">
        <v>808400</v>
      </c>
      <c r="I104" s="81">
        <v>2998500</v>
      </c>
      <c r="J104" s="95">
        <v>733000</v>
      </c>
      <c r="K104" s="96">
        <v>3500500</v>
      </c>
      <c r="L104" s="96">
        <v>1522100</v>
      </c>
      <c r="M104" s="81">
        <v>5755600</v>
      </c>
      <c r="N104" s="131"/>
      <c r="O104" s="95">
        <v>1812600</v>
      </c>
      <c r="P104" s="96">
        <v>333900</v>
      </c>
      <c r="Q104" s="81">
        <v>610500</v>
      </c>
      <c r="R104" s="132">
        <f t="shared" ref="R104" si="30">O104+P104+Q104</f>
        <v>2757000</v>
      </c>
      <c r="S104" s="95">
        <v>1769300</v>
      </c>
      <c r="T104" s="96">
        <v>466800</v>
      </c>
      <c r="U104" s="81">
        <v>762400</v>
      </c>
      <c r="V104" s="133">
        <f t="shared" ref="V104" si="31">S104+T104+U104</f>
        <v>2998500</v>
      </c>
      <c r="W104" s="137">
        <f t="shared" ref="W104:W109" si="32">(P104+Q104)/R104</f>
        <v>0.34254624591947769</v>
      </c>
      <c r="X104" s="138">
        <f t="shared" ref="X104" si="33">(T104+U104)/V104</f>
        <v>0.40993830248457563</v>
      </c>
      <c r="Y104" s="139">
        <f t="shared" ref="Y104" si="34">(P104+Q104+T104+U104)/(R104+V104)</f>
        <v>0.37765615498219096</v>
      </c>
    </row>
    <row r="105" spans="1:25">
      <c r="A105" s="27" t="s">
        <v>158</v>
      </c>
      <c r="B105" s="95">
        <v>422700</v>
      </c>
      <c r="C105" s="96">
        <v>1805600</v>
      </c>
      <c r="D105" s="96">
        <v>740600</v>
      </c>
      <c r="E105" s="81">
        <v>2968900</v>
      </c>
      <c r="F105" s="95">
        <v>402800</v>
      </c>
      <c r="G105" s="96">
        <v>1905100</v>
      </c>
      <c r="H105" s="96">
        <v>830400</v>
      </c>
      <c r="I105" s="81">
        <v>3138200</v>
      </c>
      <c r="J105" s="95">
        <v>825500</v>
      </c>
      <c r="K105" s="96">
        <v>3710700</v>
      </c>
      <c r="L105" s="96">
        <v>1571000</v>
      </c>
      <c r="M105" s="81">
        <v>6107200</v>
      </c>
      <c r="N105" s="131"/>
      <c r="O105" s="95">
        <v>2267500</v>
      </c>
      <c r="P105" s="96">
        <v>268700</v>
      </c>
      <c r="Q105" s="81">
        <v>432800</v>
      </c>
      <c r="R105" s="132">
        <f t="shared" ref="R105" si="35">O105+P105+Q105</f>
        <v>2969000</v>
      </c>
      <c r="S105" s="95">
        <v>2124400</v>
      </c>
      <c r="T105" s="96">
        <v>402000</v>
      </c>
      <c r="U105" s="81">
        <v>611900</v>
      </c>
      <c r="V105" s="133">
        <f t="shared" ref="V105" si="36">S105+T105+U105</f>
        <v>3138300</v>
      </c>
      <c r="W105" s="137">
        <f t="shared" si="32"/>
        <v>0.23627484001347254</v>
      </c>
      <c r="X105" s="138">
        <f t="shared" ref="X105" si="37">(T105+U105)/V105</f>
        <v>0.32307300130643979</v>
      </c>
      <c r="Y105" s="139">
        <f t="shared" ref="Y105" si="38">(P105+Q105+T105+U105)/(R105+V105)</f>
        <v>0.28087698328230148</v>
      </c>
    </row>
    <row r="106" spans="1:25">
      <c r="A106" s="27" t="s">
        <v>159</v>
      </c>
      <c r="B106" s="95">
        <v>414100</v>
      </c>
      <c r="C106" s="96">
        <v>1782000</v>
      </c>
      <c r="D106" s="96">
        <v>743400</v>
      </c>
      <c r="E106" s="81">
        <v>2939400</v>
      </c>
      <c r="F106" s="95">
        <v>394000</v>
      </c>
      <c r="G106" s="96">
        <v>1897300</v>
      </c>
      <c r="H106" s="96">
        <v>835100</v>
      </c>
      <c r="I106" s="81">
        <v>3126400</v>
      </c>
      <c r="J106" s="95">
        <v>808100</v>
      </c>
      <c r="K106" s="96">
        <v>3679200</v>
      </c>
      <c r="L106" s="96">
        <v>1578500</v>
      </c>
      <c r="M106" s="81">
        <v>6065800</v>
      </c>
      <c r="N106" s="131"/>
      <c r="O106" s="95">
        <v>1997000</v>
      </c>
      <c r="P106" s="96">
        <v>300700</v>
      </c>
      <c r="Q106" s="81">
        <v>641800</v>
      </c>
      <c r="R106" s="132">
        <f t="shared" ref="R106:R107" si="39">O106+P106+Q106</f>
        <v>2939500</v>
      </c>
      <c r="S106" s="95">
        <v>1920100</v>
      </c>
      <c r="T106" s="96">
        <v>430000</v>
      </c>
      <c r="U106" s="81">
        <v>776300</v>
      </c>
      <c r="V106" s="133">
        <f t="shared" ref="V106:V107" si="40">S106+T106+U106</f>
        <v>3126400</v>
      </c>
      <c r="W106" s="137">
        <f t="shared" si="32"/>
        <v>0.32063276067358393</v>
      </c>
      <c r="X106" s="138">
        <f t="shared" ref="X106:X107" si="41">(T106+U106)/V106</f>
        <v>0.38584314227226202</v>
      </c>
      <c r="Y106" s="139">
        <f t="shared" ref="Y106:Y107" si="42">(P106+Q106+T106+U106)/(R106+V106)</f>
        <v>0.35424256911587726</v>
      </c>
    </row>
    <row r="107" spans="1:25">
      <c r="A107" s="80" t="s">
        <v>160</v>
      </c>
      <c r="B107" s="97">
        <v>403900</v>
      </c>
      <c r="C107" s="98">
        <v>1769100</v>
      </c>
      <c r="D107" s="98">
        <v>746500</v>
      </c>
      <c r="E107" s="82">
        <v>2919500</v>
      </c>
      <c r="F107" s="97">
        <v>384800</v>
      </c>
      <c r="G107" s="98">
        <v>1883300</v>
      </c>
      <c r="H107" s="98">
        <v>837500</v>
      </c>
      <c r="I107" s="82">
        <v>3105600</v>
      </c>
      <c r="J107" s="97">
        <v>788600</v>
      </c>
      <c r="K107" s="98">
        <v>3652400</v>
      </c>
      <c r="L107" s="98">
        <v>1584100</v>
      </c>
      <c r="M107" s="82">
        <v>6025100</v>
      </c>
      <c r="N107" s="140"/>
      <c r="O107" s="97">
        <v>1960000</v>
      </c>
      <c r="P107" s="98">
        <v>302900</v>
      </c>
      <c r="Q107" s="82">
        <v>656600</v>
      </c>
      <c r="R107" s="141">
        <f t="shared" si="39"/>
        <v>2919500</v>
      </c>
      <c r="S107" s="97">
        <v>1876500</v>
      </c>
      <c r="T107" s="98">
        <v>432700</v>
      </c>
      <c r="U107" s="82">
        <v>796400</v>
      </c>
      <c r="V107" s="142">
        <f t="shared" si="40"/>
        <v>3105600</v>
      </c>
      <c r="W107" s="143">
        <f t="shared" si="32"/>
        <v>0.32865216646686074</v>
      </c>
      <c r="X107" s="144">
        <f t="shared" si="41"/>
        <v>0.39576893353941267</v>
      </c>
      <c r="Y107" s="145">
        <f t="shared" si="42"/>
        <v>0.3632470830359662</v>
      </c>
    </row>
    <row r="108" spans="1:25">
      <c r="A108" s="27" t="s">
        <v>161</v>
      </c>
      <c r="B108" s="95">
        <v>400700</v>
      </c>
      <c r="C108" s="96">
        <v>1766200</v>
      </c>
      <c r="D108" s="96">
        <v>751300</v>
      </c>
      <c r="E108" s="81">
        <v>2918200</v>
      </c>
      <c r="F108" s="95">
        <v>383500</v>
      </c>
      <c r="G108" s="96">
        <v>1883200</v>
      </c>
      <c r="H108" s="96">
        <v>841900</v>
      </c>
      <c r="I108" s="81">
        <v>3108600</v>
      </c>
      <c r="J108" s="95">
        <v>784200</v>
      </c>
      <c r="K108" s="96">
        <v>3649400</v>
      </c>
      <c r="L108" s="96">
        <v>1593300</v>
      </c>
      <c r="M108" s="81">
        <v>6026800</v>
      </c>
      <c r="N108" s="131"/>
      <c r="O108" s="95">
        <v>1943400</v>
      </c>
      <c r="P108" s="96">
        <v>307100</v>
      </c>
      <c r="Q108" s="81">
        <v>667800</v>
      </c>
      <c r="R108" s="132">
        <f t="shared" ref="R108" si="43">O108+P108+Q108</f>
        <v>2918300</v>
      </c>
      <c r="S108" s="95">
        <v>1861700</v>
      </c>
      <c r="T108" s="96">
        <v>434900</v>
      </c>
      <c r="U108" s="81">
        <v>812000</v>
      </c>
      <c r="V108" s="133">
        <f t="shared" ref="V108" si="44">S108+T108+U108</f>
        <v>3108600</v>
      </c>
      <c r="W108" s="137">
        <f t="shared" si="32"/>
        <v>0.33406435253400951</v>
      </c>
      <c r="X108" s="138">
        <f t="shared" ref="X108" si="45">(T108+U108)/V108</f>
        <v>0.40111304124042979</v>
      </c>
      <c r="Y108" s="139">
        <f t="shared" ref="Y108" si="46">(P108+Q108+T108+U108)/(R108+V108)</f>
        <v>0.36864723157842338</v>
      </c>
    </row>
    <row r="109" spans="1:25">
      <c r="A109" s="27" t="s">
        <v>162</v>
      </c>
      <c r="B109" s="95">
        <v>391500</v>
      </c>
      <c r="C109" s="96">
        <v>1744500</v>
      </c>
      <c r="D109" s="96">
        <v>753800</v>
      </c>
      <c r="E109" s="81">
        <v>2889800</v>
      </c>
      <c r="F109" s="95">
        <v>376400</v>
      </c>
      <c r="G109" s="96">
        <v>1865600</v>
      </c>
      <c r="H109" s="96">
        <v>843900</v>
      </c>
      <c r="I109" s="81">
        <v>3085900</v>
      </c>
      <c r="J109" s="95">
        <v>767900</v>
      </c>
      <c r="K109" s="96">
        <v>3610200</v>
      </c>
      <c r="L109" s="96">
        <v>1597700</v>
      </c>
      <c r="M109" s="81">
        <v>5975700</v>
      </c>
      <c r="N109" s="131"/>
      <c r="O109" s="95">
        <v>1898600</v>
      </c>
      <c r="P109" s="96">
        <v>315500</v>
      </c>
      <c r="Q109" s="81">
        <v>675700</v>
      </c>
      <c r="R109" s="132">
        <f t="shared" ref="R109" si="47">O109+P109+Q109</f>
        <v>2889800</v>
      </c>
      <c r="S109" s="95">
        <v>1829500</v>
      </c>
      <c r="T109" s="96">
        <v>450200</v>
      </c>
      <c r="U109" s="81">
        <v>806300</v>
      </c>
      <c r="V109" s="133">
        <f t="shared" ref="V109" si="48">S109+T109+U109</f>
        <v>3086000</v>
      </c>
      <c r="W109" s="137">
        <f t="shared" si="32"/>
        <v>0.34299951553740743</v>
      </c>
      <c r="X109" s="138">
        <f t="shared" ref="X109" si="49">(T109+U109)/V109</f>
        <v>0.40716137394685675</v>
      </c>
      <c r="Y109" s="139">
        <f t="shared" ref="Y109" si="50">(P109+Q109+T109+U109)/(R109+V109)</f>
        <v>0.3761337394156431</v>
      </c>
    </row>
    <row r="110" spans="1:25">
      <c r="A110" s="27" t="s">
        <v>163</v>
      </c>
      <c r="B110" s="95">
        <v>375000</v>
      </c>
      <c r="C110" s="96">
        <v>1700600</v>
      </c>
      <c r="D110" s="96">
        <v>748100</v>
      </c>
      <c r="E110" s="81">
        <v>2823700</v>
      </c>
      <c r="F110" s="95">
        <v>358000</v>
      </c>
      <c r="G110" s="96">
        <v>1826600</v>
      </c>
      <c r="H110" s="96">
        <v>837500</v>
      </c>
      <c r="I110" s="81">
        <v>3022000</v>
      </c>
      <c r="J110" s="95">
        <v>733000</v>
      </c>
      <c r="K110" s="96">
        <v>3527200</v>
      </c>
      <c r="L110" s="96">
        <v>1585600</v>
      </c>
      <c r="M110" s="81">
        <v>5845800</v>
      </c>
      <c r="N110" s="131"/>
      <c r="O110" s="95">
        <v>1799600</v>
      </c>
      <c r="P110" s="96">
        <v>313800</v>
      </c>
      <c r="Q110" s="81">
        <v>710400</v>
      </c>
      <c r="R110" s="132">
        <f t="shared" ref="R110" si="51">O110+P110+Q110</f>
        <v>2823800</v>
      </c>
      <c r="S110" s="95">
        <v>1735000</v>
      </c>
      <c r="T110" s="96">
        <v>440400</v>
      </c>
      <c r="U110" s="81">
        <v>846700</v>
      </c>
      <c r="V110" s="133">
        <f t="shared" ref="V110" si="52">S110+T110+U110</f>
        <v>3022100</v>
      </c>
      <c r="W110" s="137">
        <f t="shared" ref="W110" si="53">(P110+Q110)/R110</f>
        <v>0.36270274098732203</v>
      </c>
      <c r="X110" s="138">
        <f t="shared" ref="X110" si="54">(T110+U110)/V110</f>
        <v>0.42589590020184642</v>
      </c>
      <c r="Y110" s="139">
        <f t="shared" ref="Y110" si="55">(P110+Q110+T110+U110)/(R110+V110)</f>
        <v>0.3953711147984057</v>
      </c>
    </row>
    <row r="111" spans="1:25">
      <c r="A111" s="80" t="s">
        <v>164</v>
      </c>
      <c r="B111" s="97">
        <v>354800</v>
      </c>
      <c r="C111" s="98">
        <v>1643400</v>
      </c>
      <c r="D111" s="98">
        <v>736700</v>
      </c>
      <c r="E111" s="82">
        <v>2734900</v>
      </c>
      <c r="F111" s="97">
        <v>339800</v>
      </c>
      <c r="G111" s="98">
        <v>1776700</v>
      </c>
      <c r="H111" s="98">
        <v>826600</v>
      </c>
      <c r="I111" s="82">
        <v>2943100</v>
      </c>
      <c r="J111" s="97">
        <v>694600</v>
      </c>
      <c r="K111" s="98">
        <v>3420100</v>
      </c>
      <c r="L111" s="98">
        <v>1563400</v>
      </c>
      <c r="M111" s="82">
        <v>5678000</v>
      </c>
      <c r="N111" s="140"/>
      <c r="O111" s="97">
        <v>1705500</v>
      </c>
      <c r="P111" s="98">
        <v>308600</v>
      </c>
      <c r="Q111" s="82">
        <v>720800</v>
      </c>
      <c r="R111" s="141">
        <f t="shared" ref="R111" si="56">O111+P111+Q111</f>
        <v>2734900</v>
      </c>
      <c r="S111" s="97">
        <v>1659200</v>
      </c>
      <c r="T111" s="98">
        <v>431700</v>
      </c>
      <c r="U111" s="82">
        <v>852100</v>
      </c>
      <c r="V111" s="142">
        <f t="shared" ref="V111" si="57">S111+T111+U111</f>
        <v>2943000</v>
      </c>
      <c r="W111" s="143">
        <f t="shared" ref="W111" si="58">(P111+Q111)/R111</f>
        <v>0.37639401806281764</v>
      </c>
      <c r="X111" s="144">
        <f t="shared" ref="X111" si="59">(T111+U111)/V111</f>
        <v>0.436221542643561</v>
      </c>
      <c r="Y111" s="145">
        <f t="shared" ref="Y111" si="60">(P111+Q111+T111+U111)/(R111+V111)</f>
        <v>0.40740414589901197</v>
      </c>
    </row>
    <row r="112" spans="1:25">
      <c r="A112" s="27" t="s">
        <v>165</v>
      </c>
      <c r="B112" s="95">
        <v>341400</v>
      </c>
      <c r="C112" s="96">
        <v>1591700</v>
      </c>
      <c r="D112" s="96">
        <v>722800</v>
      </c>
      <c r="E112" s="81">
        <v>2655900</v>
      </c>
      <c r="F112" s="95">
        <v>328600</v>
      </c>
      <c r="G112" s="96">
        <v>1735700</v>
      </c>
      <c r="H112" s="96">
        <v>812900</v>
      </c>
      <c r="I112" s="81">
        <v>2877200</v>
      </c>
      <c r="J112" s="95">
        <v>670000</v>
      </c>
      <c r="K112" s="96">
        <v>3327500</v>
      </c>
      <c r="L112" s="96">
        <v>1535700</v>
      </c>
      <c r="M112" s="81">
        <v>5533200</v>
      </c>
      <c r="N112" s="131"/>
      <c r="O112" s="95">
        <v>1621700</v>
      </c>
      <c r="P112" s="96">
        <v>320800</v>
      </c>
      <c r="Q112" s="81">
        <v>713400</v>
      </c>
      <c r="R112" s="132">
        <f t="shared" ref="R112:R113" si="61">O112+P112+Q112</f>
        <v>2655900</v>
      </c>
      <c r="S112" s="95">
        <v>1588600</v>
      </c>
      <c r="T112" s="96">
        <v>441100</v>
      </c>
      <c r="U112" s="81">
        <v>847500</v>
      </c>
      <c r="V112" s="133">
        <f t="shared" ref="V112:V113" si="62">S112+T112+U112</f>
        <v>2877200</v>
      </c>
      <c r="W112" s="137">
        <f t="shared" ref="W112:W113" si="63">(P112+Q112)/R112</f>
        <v>0.38939719115930571</v>
      </c>
      <c r="X112" s="138">
        <f t="shared" ref="X112:X113" si="64">(T112+U112)/V112</f>
        <v>0.44786598081468093</v>
      </c>
      <c r="Y112" s="139">
        <f t="shared" ref="Y112:Y113" si="65">(P112+Q112+T112+U112)/(R112+V112)</f>
        <v>0.41980083497496884</v>
      </c>
    </row>
    <row r="113" spans="1:25">
      <c r="A113" s="27" t="s">
        <v>166</v>
      </c>
      <c r="B113" s="95">
        <v>336800</v>
      </c>
      <c r="C113" s="96">
        <v>1562400</v>
      </c>
      <c r="D113" s="96">
        <v>715700</v>
      </c>
      <c r="E113" s="81">
        <v>2614900</v>
      </c>
      <c r="F113" s="95">
        <v>323500</v>
      </c>
      <c r="G113" s="96">
        <v>1706700</v>
      </c>
      <c r="H113" s="96">
        <v>805200</v>
      </c>
      <c r="I113" s="81">
        <v>2835300</v>
      </c>
      <c r="J113" s="95">
        <v>660300</v>
      </c>
      <c r="K113" s="96">
        <v>3269000</v>
      </c>
      <c r="L113" s="96">
        <v>1520900</v>
      </c>
      <c r="M113" s="81">
        <v>5450200</v>
      </c>
      <c r="N113" s="131"/>
      <c r="O113" s="95">
        <v>1598400</v>
      </c>
      <c r="P113" s="96">
        <v>317200</v>
      </c>
      <c r="Q113" s="81">
        <v>699400</v>
      </c>
      <c r="R113" s="132">
        <f t="shared" si="61"/>
        <v>2615000</v>
      </c>
      <c r="S113" s="95">
        <v>1566600</v>
      </c>
      <c r="T113" s="96">
        <v>434100</v>
      </c>
      <c r="U113" s="81">
        <v>834700</v>
      </c>
      <c r="V113" s="133">
        <f t="shared" si="62"/>
        <v>2835400</v>
      </c>
      <c r="W113" s="137">
        <f t="shared" si="63"/>
        <v>0.38875717017208411</v>
      </c>
      <c r="X113" s="138">
        <f t="shared" si="64"/>
        <v>0.44748536361712632</v>
      </c>
      <c r="Y113" s="139">
        <f t="shared" si="65"/>
        <v>0.41930867459269044</v>
      </c>
    </row>
    <row r="114" spans="1:25">
      <c r="A114" s="27" t="s">
        <v>167</v>
      </c>
      <c r="B114" s="95">
        <v>339900</v>
      </c>
      <c r="C114" s="96">
        <v>1556900</v>
      </c>
      <c r="D114" s="96">
        <v>711800</v>
      </c>
      <c r="E114" s="81">
        <v>2608600</v>
      </c>
      <c r="F114" s="95">
        <v>324600</v>
      </c>
      <c r="G114" s="96">
        <v>1699400</v>
      </c>
      <c r="H114" s="96">
        <v>800000</v>
      </c>
      <c r="I114" s="81">
        <v>2824100</v>
      </c>
      <c r="J114" s="95">
        <v>664500</v>
      </c>
      <c r="K114" s="96">
        <v>3256400</v>
      </c>
      <c r="L114" s="96">
        <v>1511800</v>
      </c>
      <c r="M114" s="81">
        <v>5432700</v>
      </c>
      <c r="N114" s="131"/>
      <c r="O114" s="95">
        <v>1587300</v>
      </c>
      <c r="P114" s="96">
        <v>329300</v>
      </c>
      <c r="Q114" s="81">
        <v>692000</v>
      </c>
      <c r="R114" s="132">
        <f t="shared" ref="R114:R118" si="66">O114+P114+Q114</f>
        <v>2608600</v>
      </c>
      <c r="S114" s="95">
        <v>1560400</v>
      </c>
      <c r="T114" s="96">
        <v>443600</v>
      </c>
      <c r="U114" s="81">
        <v>820100</v>
      </c>
      <c r="V114" s="133">
        <f t="shared" ref="V114:V118" si="67">S114+T114+U114</f>
        <v>2824100</v>
      </c>
      <c r="W114" s="137">
        <f t="shared" ref="W114:W118" si="68">(P114+Q114)/R114</f>
        <v>0.3915126887985893</v>
      </c>
      <c r="X114" s="138">
        <f t="shared" ref="X114:X118" si="69">(T114+U114)/V114</f>
        <v>0.44746999043943203</v>
      </c>
      <c r="Y114" s="139">
        <f t="shared" ref="Y114:Y118" si="70">(P114+Q114+T114+U114)/(R114+V114)</f>
        <v>0.42060117437001859</v>
      </c>
    </row>
    <row r="115" spans="1:25">
      <c r="A115" s="80" t="s">
        <v>168</v>
      </c>
      <c r="B115" s="97">
        <v>338600</v>
      </c>
      <c r="C115" s="98">
        <v>1545100</v>
      </c>
      <c r="D115" s="98">
        <v>704400</v>
      </c>
      <c r="E115" s="82">
        <v>2588100</v>
      </c>
      <c r="F115" s="97">
        <v>323300</v>
      </c>
      <c r="G115" s="98">
        <v>1680400</v>
      </c>
      <c r="H115" s="98">
        <v>790800</v>
      </c>
      <c r="I115" s="82">
        <v>2794500</v>
      </c>
      <c r="J115" s="97">
        <v>661900</v>
      </c>
      <c r="K115" s="98">
        <v>3225500</v>
      </c>
      <c r="L115" s="98">
        <v>1495300</v>
      </c>
      <c r="M115" s="82">
        <v>5382600</v>
      </c>
      <c r="N115" s="140"/>
      <c r="O115" s="97">
        <v>1534200</v>
      </c>
      <c r="P115" s="98">
        <v>352100</v>
      </c>
      <c r="Q115" s="82">
        <v>701800</v>
      </c>
      <c r="R115" s="141">
        <f t="shared" si="66"/>
        <v>2588100</v>
      </c>
      <c r="S115" s="97">
        <v>1515700</v>
      </c>
      <c r="T115" s="98">
        <v>454000</v>
      </c>
      <c r="U115" s="82">
        <v>824800</v>
      </c>
      <c r="V115" s="142">
        <f t="shared" si="67"/>
        <v>2794500</v>
      </c>
      <c r="W115" s="143">
        <f t="shared" si="68"/>
        <v>0.40720992233684944</v>
      </c>
      <c r="X115" s="144">
        <f t="shared" si="69"/>
        <v>0.45761316872427982</v>
      </c>
      <c r="Y115" s="145">
        <f t="shared" si="70"/>
        <v>0.43337792145060006</v>
      </c>
    </row>
    <row r="116" spans="1:25">
      <c r="A116" s="27" t="s">
        <v>169</v>
      </c>
      <c r="B116" s="95">
        <v>339500</v>
      </c>
      <c r="C116" s="96">
        <v>1541100</v>
      </c>
      <c r="D116" s="96">
        <v>702100</v>
      </c>
      <c r="E116" s="81">
        <v>2582600</v>
      </c>
      <c r="F116" s="95">
        <v>322600</v>
      </c>
      <c r="G116" s="96">
        <v>1672000</v>
      </c>
      <c r="H116" s="96">
        <v>786100</v>
      </c>
      <c r="I116" s="81">
        <v>2780700</v>
      </c>
      <c r="J116" s="95">
        <v>662100</v>
      </c>
      <c r="K116" s="96">
        <v>3213000</v>
      </c>
      <c r="L116" s="96">
        <v>1488200</v>
      </c>
      <c r="M116" s="81">
        <v>5363300</v>
      </c>
      <c r="N116" s="131"/>
      <c r="O116" s="95">
        <v>1521200</v>
      </c>
      <c r="P116" s="96">
        <v>355500</v>
      </c>
      <c r="Q116" s="81">
        <v>705900</v>
      </c>
      <c r="R116" s="132">
        <f t="shared" si="66"/>
        <v>2582600</v>
      </c>
      <c r="S116" s="95">
        <v>1500500</v>
      </c>
      <c r="T116" s="96">
        <v>453500</v>
      </c>
      <c r="U116" s="81">
        <v>826700</v>
      </c>
      <c r="V116" s="133">
        <f t="shared" si="67"/>
        <v>2780700</v>
      </c>
      <c r="W116" s="137">
        <f t="shared" si="68"/>
        <v>0.41098118175482073</v>
      </c>
      <c r="X116" s="138">
        <f t="shared" si="69"/>
        <v>0.46038767216887833</v>
      </c>
      <c r="Y116" s="139">
        <f t="shared" si="70"/>
        <v>0.43659687132921893</v>
      </c>
    </row>
    <row r="117" spans="1:25">
      <c r="A117" s="27" t="s">
        <v>170</v>
      </c>
      <c r="B117" s="95">
        <v>342500</v>
      </c>
      <c r="C117" s="96">
        <v>1539100</v>
      </c>
      <c r="D117" s="96">
        <v>698600</v>
      </c>
      <c r="E117" s="81">
        <v>2580200</v>
      </c>
      <c r="F117" s="95">
        <v>324600</v>
      </c>
      <c r="G117" s="96">
        <v>1662800</v>
      </c>
      <c r="H117" s="96">
        <v>780400</v>
      </c>
      <c r="I117" s="81">
        <v>2767700</v>
      </c>
      <c r="J117" s="95">
        <v>667100</v>
      </c>
      <c r="K117" s="96">
        <v>3201900</v>
      </c>
      <c r="L117" s="96">
        <v>1478900</v>
      </c>
      <c r="M117" s="81">
        <v>5347900</v>
      </c>
      <c r="N117" s="131"/>
      <c r="O117" s="95">
        <v>1518300</v>
      </c>
      <c r="P117" s="96">
        <v>356200</v>
      </c>
      <c r="Q117" s="81">
        <v>705700</v>
      </c>
      <c r="R117" s="132">
        <f t="shared" si="66"/>
        <v>2580200</v>
      </c>
      <c r="S117" s="95">
        <v>1490000</v>
      </c>
      <c r="T117" s="96">
        <v>454600</v>
      </c>
      <c r="U117" s="81">
        <v>823200</v>
      </c>
      <c r="V117" s="133">
        <f t="shared" si="67"/>
        <v>2767800</v>
      </c>
      <c r="W117" s="137">
        <f t="shared" si="68"/>
        <v>0.41155724362452523</v>
      </c>
      <c r="X117" s="138">
        <f t="shared" si="69"/>
        <v>0.46166630536888503</v>
      </c>
      <c r="Y117" s="139">
        <f t="shared" si="70"/>
        <v>0.43749065071054599</v>
      </c>
    </row>
    <row r="118" spans="1:25">
      <c r="A118" s="27" t="s">
        <v>171</v>
      </c>
      <c r="B118" s="95">
        <v>348300</v>
      </c>
      <c r="C118" s="96">
        <v>1546600</v>
      </c>
      <c r="D118" s="96">
        <v>697800</v>
      </c>
      <c r="E118" s="81">
        <v>2592800</v>
      </c>
      <c r="F118" s="95">
        <v>329700</v>
      </c>
      <c r="G118" s="96">
        <v>1665500</v>
      </c>
      <c r="H118" s="96">
        <v>776900</v>
      </c>
      <c r="I118" s="81">
        <v>2772200</v>
      </c>
      <c r="J118" s="95">
        <v>678100</v>
      </c>
      <c r="K118" s="96">
        <v>3212200</v>
      </c>
      <c r="L118" s="96">
        <v>1474800</v>
      </c>
      <c r="M118" s="81">
        <v>5365000</v>
      </c>
      <c r="N118" s="131"/>
      <c r="O118" s="95">
        <v>1531800</v>
      </c>
      <c r="P118" s="96">
        <v>362800</v>
      </c>
      <c r="Q118" s="81">
        <v>698200</v>
      </c>
      <c r="R118" s="132">
        <f t="shared" si="66"/>
        <v>2592800</v>
      </c>
      <c r="S118" s="95">
        <v>1497600</v>
      </c>
      <c r="T118" s="96">
        <v>460600</v>
      </c>
      <c r="U118" s="81">
        <v>814000</v>
      </c>
      <c r="V118" s="133">
        <f t="shared" si="67"/>
        <v>2772200</v>
      </c>
      <c r="W118" s="137">
        <f t="shared" si="68"/>
        <v>0.40921012033323051</v>
      </c>
      <c r="X118" s="138">
        <f t="shared" si="69"/>
        <v>0.45977923670730825</v>
      </c>
      <c r="Y118" s="139">
        <f t="shared" si="70"/>
        <v>0.43534016775396084</v>
      </c>
    </row>
    <row r="119" spans="1:25">
      <c r="A119" s="80" t="s">
        <v>172</v>
      </c>
      <c r="B119" s="97">
        <v>355900</v>
      </c>
      <c r="C119" s="98">
        <v>1557500</v>
      </c>
      <c r="D119" s="98">
        <v>702600</v>
      </c>
      <c r="E119" s="82">
        <v>2616000</v>
      </c>
      <c r="F119" s="97">
        <v>334300</v>
      </c>
      <c r="G119" s="98">
        <v>1666500</v>
      </c>
      <c r="H119" s="98">
        <v>778300</v>
      </c>
      <c r="I119" s="82">
        <v>2779100</v>
      </c>
      <c r="J119" s="97">
        <v>690200</v>
      </c>
      <c r="K119" s="98">
        <v>3223900</v>
      </c>
      <c r="L119" s="98">
        <v>1481000</v>
      </c>
      <c r="M119" s="82">
        <v>5395100</v>
      </c>
      <c r="N119" s="140"/>
      <c r="O119" s="97">
        <v>1535900</v>
      </c>
      <c r="P119" s="98">
        <v>374500</v>
      </c>
      <c r="Q119" s="82">
        <v>705600</v>
      </c>
      <c r="R119" s="141">
        <f t="shared" ref="R119:R120" si="71">O119+P119+Q119</f>
        <v>2616000</v>
      </c>
      <c r="S119" s="97">
        <v>1494300</v>
      </c>
      <c r="T119" s="98">
        <v>463600</v>
      </c>
      <c r="U119" s="82">
        <v>821200</v>
      </c>
      <c r="V119" s="142">
        <f t="shared" ref="V119:V120" si="72">S119+T119+U119</f>
        <v>2779100</v>
      </c>
      <c r="W119" s="143">
        <f t="shared" ref="W119:W120" si="73">(P119+Q119)/R119</f>
        <v>0.41288226299694192</v>
      </c>
      <c r="X119" s="144">
        <f t="shared" ref="X119:X120" si="74">(T119+U119)/V119</f>
        <v>0.46230794141988413</v>
      </c>
      <c r="Y119" s="145">
        <f t="shared" ref="Y119:Y120" si="75">(P119+Q119+T119+U119)/(R119+V119)</f>
        <v>0.4383421994031621</v>
      </c>
    </row>
    <row r="120" spans="1:25">
      <c r="A120" s="27" t="s">
        <v>173</v>
      </c>
      <c r="B120" s="95">
        <v>356000</v>
      </c>
      <c r="C120" s="96">
        <v>1560300</v>
      </c>
      <c r="D120" s="96">
        <v>703400</v>
      </c>
      <c r="E120" s="81">
        <v>2619600</v>
      </c>
      <c r="F120" s="95">
        <v>333100</v>
      </c>
      <c r="G120" s="96">
        <v>1663600</v>
      </c>
      <c r="H120" s="96">
        <v>775700</v>
      </c>
      <c r="I120" s="81">
        <v>2772400</v>
      </c>
      <c r="J120" s="95">
        <v>689100</v>
      </c>
      <c r="K120" s="96">
        <v>3223800</v>
      </c>
      <c r="L120" s="96">
        <v>1479100</v>
      </c>
      <c r="M120" s="81">
        <v>5392000</v>
      </c>
      <c r="N120" s="131"/>
      <c r="O120" s="95">
        <v>1534000</v>
      </c>
      <c r="P120" s="96">
        <v>379400</v>
      </c>
      <c r="Q120" s="81">
        <v>706200</v>
      </c>
      <c r="R120" s="132">
        <f t="shared" si="71"/>
        <v>2619600</v>
      </c>
      <c r="S120" s="95">
        <v>1488100</v>
      </c>
      <c r="T120" s="96">
        <v>466500</v>
      </c>
      <c r="U120" s="81">
        <v>817800</v>
      </c>
      <c r="V120" s="133">
        <f t="shared" si="72"/>
        <v>2772400</v>
      </c>
      <c r="W120" s="137">
        <f t="shared" si="73"/>
        <v>0.4144144144144144</v>
      </c>
      <c r="X120" s="138">
        <f t="shared" si="74"/>
        <v>0.46324484201413935</v>
      </c>
      <c r="Y120" s="139">
        <f t="shared" si="75"/>
        <v>0.43952151335311573</v>
      </c>
    </row>
    <row r="121" spans="1:25">
      <c r="A121" s="27" t="s">
        <v>174</v>
      </c>
      <c r="B121" s="95">
        <v>356600</v>
      </c>
      <c r="C121" s="96">
        <v>1561400</v>
      </c>
      <c r="D121" s="96">
        <v>705000</v>
      </c>
      <c r="E121" s="81">
        <v>2623000</v>
      </c>
      <c r="F121" s="95">
        <v>332100</v>
      </c>
      <c r="G121" s="96">
        <v>1659700</v>
      </c>
      <c r="H121" s="96">
        <v>775000</v>
      </c>
      <c r="I121" s="81">
        <v>2766800</v>
      </c>
      <c r="J121" s="95">
        <v>688700</v>
      </c>
      <c r="K121" s="96">
        <v>3221000</v>
      </c>
      <c r="L121" s="96">
        <v>1480000</v>
      </c>
      <c r="M121" s="81">
        <v>5389800</v>
      </c>
      <c r="N121" s="131"/>
      <c r="O121" s="95">
        <v>1532500</v>
      </c>
      <c r="P121" s="96">
        <v>382800</v>
      </c>
      <c r="Q121" s="81">
        <v>707700</v>
      </c>
      <c r="R121" s="132">
        <f t="shared" ref="R121:R124" si="76">O121+P121+Q121</f>
        <v>2623000</v>
      </c>
      <c r="S121" s="95">
        <v>1481600</v>
      </c>
      <c r="T121" s="96">
        <v>466300</v>
      </c>
      <c r="U121" s="81">
        <v>818900</v>
      </c>
      <c r="V121" s="133">
        <f t="shared" ref="V121:V124" si="77">S121+T121+U121</f>
        <v>2766800</v>
      </c>
      <c r="W121" s="137">
        <f t="shared" ref="W121:W124" si="78">(P121+Q121)/R121</f>
        <v>0.41574532977506673</v>
      </c>
      <c r="X121" s="138">
        <f t="shared" ref="X121:X124" si="79">(T121+U121)/V121</f>
        <v>0.46450773456700883</v>
      </c>
      <c r="Y121" s="139">
        <f t="shared" ref="Y121:Y124" si="80">(P121+Q121+T121+U121)/(R121+V121)</f>
        <v>0.44077702326616941</v>
      </c>
    </row>
    <row r="122" spans="1:25">
      <c r="A122" s="27" t="s">
        <v>175</v>
      </c>
      <c r="B122" s="95">
        <v>359600</v>
      </c>
      <c r="C122" s="96">
        <v>1568500</v>
      </c>
      <c r="D122" s="96">
        <v>709600</v>
      </c>
      <c r="E122" s="81">
        <v>2637700</v>
      </c>
      <c r="F122" s="95">
        <v>333100</v>
      </c>
      <c r="G122" s="96">
        <v>1664000</v>
      </c>
      <c r="H122" s="96">
        <v>777600</v>
      </c>
      <c r="I122" s="81">
        <v>2774700</v>
      </c>
      <c r="J122" s="95">
        <v>692700</v>
      </c>
      <c r="K122" s="96">
        <v>3232500</v>
      </c>
      <c r="L122" s="96">
        <v>1487200</v>
      </c>
      <c r="M122" s="81">
        <v>5412400</v>
      </c>
      <c r="N122" s="131"/>
      <c r="O122" s="95">
        <v>1544600</v>
      </c>
      <c r="P122" s="96">
        <v>384400</v>
      </c>
      <c r="Q122" s="81">
        <v>708800</v>
      </c>
      <c r="R122" s="132">
        <f t="shared" si="76"/>
        <v>2637800</v>
      </c>
      <c r="S122" s="95">
        <v>1488300</v>
      </c>
      <c r="T122" s="96">
        <v>471200</v>
      </c>
      <c r="U122" s="81">
        <v>815200</v>
      </c>
      <c r="V122" s="133">
        <f t="shared" si="77"/>
        <v>2774700</v>
      </c>
      <c r="W122" s="137">
        <f t="shared" si="78"/>
        <v>0.41443627265145194</v>
      </c>
      <c r="X122" s="138">
        <f t="shared" si="79"/>
        <v>0.46361768839874579</v>
      </c>
      <c r="Y122" s="139">
        <f t="shared" si="80"/>
        <v>0.43964896073903004</v>
      </c>
    </row>
    <row r="123" spans="1:25">
      <c r="A123" s="80" t="s">
        <v>176</v>
      </c>
      <c r="B123" s="97">
        <v>371700</v>
      </c>
      <c r="C123" s="98">
        <v>1591600</v>
      </c>
      <c r="D123" s="98">
        <v>715600</v>
      </c>
      <c r="E123" s="82">
        <v>2678900</v>
      </c>
      <c r="F123" s="97">
        <v>345100</v>
      </c>
      <c r="G123" s="98">
        <v>1687400</v>
      </c>
      <c r="H123" s="98">
        <v>780300</v>
      </c>
      <c r="I123" s="82">
        <v>2812800</v>
      </c>
      <c r="J123" s="97">
        <v>716700</v>
      </c>
      <c r="K123" s="98">
        <v>3279000</v>
      </c>
      <c r="L123" s="98">
        <v>1495900</v>
      </c>
      <c r="M123" s="82">
        <v>5491700</v>
      </c>
      <c r="N123" s="140"/>
      <c r="O123" s="97">
        <v>1596600</v>
      </c>
      <c r="P123" s="98">
        <v>375200</v>
      </c>
      <c r="Q123" s="82">
        <v>707200</v>
      </c>
      <c r="R123" s="141">
        <f t="shared" si="76"/>
        <v>2679000</v>
      </c>
      <c r="S123" s="97">
        <v>1538500</v>
      </c>
      <c r="T123" s="98">
        <v>458500</v>
      </c>
      <c r="U123" s="82">
        <v>815800</v>
      </c>
      <c r="V123" s="142">
        <f t="shared" si="77"/>
        <v>2812800</v>
      </c>
      <c r="W123" s="143">
        <f t="shared" si="78"/>
        <v>0.4040313549832027</v>
      </c>
      <c r="X123" s="144">
        <f t="shared" si="79"/>
        <v>0.45303612059158133</v>
      </c>
      <c r="Y123" s="145">
        <f t="shared" si="80"/>
        <v>0.42913070395862923</v>
      </c>
    </row>
    <row r="124" spans="1:25">
      <c r="A124" s="27" t="s">
        <v>177</v>
      </c>
      <c r="B124" s="95">
        <v>453800</v>
      </c>
      <c r="C124" s="96">
        <v>1631700</v>
      </c>
      <c r="D124" s="96">
        <v>725500</v>
      </c>
      <c r="E124" s="81">
        <v>2811000</v>
      </c>
      <c r="F124" s="95">
        <v>413000</v>
      </c>
      <c r="G124" s="96">
        <v>1725900</v>
      </c>
      <c r="H124" s="96">
        <v>788100</v>
      </c>
      <c r="I124" s="81">
        <v>2927100</v>
      </c>
      <c r="J124" s="95">
        <v>866800</v>
      </c>
      <c r="K124" s="96">
        <v>3357700</v>
      </c>
      <c r="L124" s="96">
        <v>1513600</v>
      </c>
      <c r="M124" s="81">
        <v>5738100</v>
      </c>
      <c r="N124" s="131"/>
      <c r="O124" s="95">
        <v>1739900</v>
      </c>
      <c r="P124" s="96">
        <v>365800</v>
      </c>
      <c r="Q124" s="81">
        <v>705200</v>
      </c>
      <c r="R124" s="132">
        <f t="shared" si="76"/>
        <v>2810900</v>
      </c>
      <c r="S124" s="95">
        <v>1668100</v>
      </c>
      <c r="T124" s="96">
        <v>447500</v>
      </c>
      <c r="U124" s="81">
        <v>811500</v>
      </c>
      <c r="V124" s="133">
        <f t="shared" si="77"/>
        <v>2927100</v>
      </c>
      <c r="W124" s="137">
        <f t="shared" si="78"/>
        <v>0.38101675619908215</v>
      </c>
      <c r="X124" s="138">
        <f t="shared" si="79"/>
        <v>0.43011854736770183</v>
      </c>
      <c r="Y124" s="139">
        <f t="shared" si="80"/>
        <v>0.40606483095155105</v>
      </c>
    </row>
    <row r="125" spans="1:25">
      <c r="A125" s="27" t="s">
        <v>178</v>
      </c>
      <c r="B125" s="95">
        <v>413300</v>
      </c>
      <c r="C125" s="96">
        <v>1616000</v>
      </c>
      <c r="D125" s="96">
        <v>720500</v>
      </c>
      <c r="E125" s="81">
        <v>2749800</v>
      </c>
      <c r="F125" s="95">
        <v>379500</v>
      </c>
      <c r="G125" s="96">
        <v>1702200</v>
      </c>
      <c r="H125" s="96">
        <v>780600</v>
      </c>
      <c r="I125" s="81">
        <v>2862300</v>
      </c>
      <c r="J125" s="95">
        <v>792800</v>
      </c>
      <c r="K125" s="96">
        <v>3318100</v>
      </c>
      <c r="L125" s="96">
        <v>1501200</v>
      </c>
      <c r="M125" s="81">
        <v>5612100</v>
      </c>
      <c r="N125" s="131"/>
      <c r="O125" s="95">
        <v>1642300</v>
      </c>
      <c r="P125" s="96">
        <v>379000</v>
      </c>
      <c r="Q125" s="81">
        <v>728500</v>
      </c>
      <c r="R125" s="132">
        <f t="shared" ref="R125" si="81">O125+P125+Q125</f>
        <v>2749800</v>
      </c>
      <c r="S125" s="95">
        <v>1570100</v>
      </c>
      <c r="T125" s="96">
        <v>461100</v>
      </c>
      <c r="U125" s="81">
        <v>831200</v>
      </c>
      <c r="V125" s="133">
        <f t="shared" ref="V125" si="82">S125+T125+U125</f>
        <v>2862400</v>
      </c>
      <c r="W125" s="137">
        <f t="shared" ref="W125" si="83">(P125+Q125)/R125</f>
        <v>0.40275656411375371</v>
      </c>
      <c r="X125" s="138">
        <f t="shared" ref="X125" si="84">(T125+U125)/V125</f>
        <v>0.45147428731134714</v>
      </c>
      <c r="Y125" s="139">
        <f t="shared" ref="Y125" si="85">(P125+Q125+T125+U125)/(R125+V125)</f>
        <v>0.42760414810591213</v>
      </c>
    </row>
    <row r="126" spans="1:25">
      <c r="A126" s="27"/>
      <c r="B126" s="95"/>
      <c r="C126" s="96"/>
      <c r="D126" s="96"/>
      <c r="E126" s="81"/>
      <c r="F126" s="95"/>
      <c r="G126" s="96"/>
      <c r="H126" s="96"/>
      <c r="I126" s="81"/>
      <c r="J126" s="95"/>
      <c r="K126" s="96"/>
      <c r="L126" s="96"/>
      <c r="M126" s="81"/>
      <c r="N126" s="131"/>
      <c r="O126" s="95"/>
      <c r="P126" s="96"/>
      <c r="Q126" s="81"/>
      <c r="R126" s="132"/>
      <c r="S126" s="95"/>
      <c r="T126" s="96"/>
      <c r="U126" s="81"/>
      <c r="V126" s="132"/>
      <c r="W126" s="146"/>
      <c r="X126" s="147"/>
      <c r="Y126" s="148"/>
    </row>
    <row r="127" spans="1:25">
      <c r="A127" s="99"/>
      <c r="B127" s="100"/>
      <c r="C127" s="101"/>
      <c r="D127" s="101"/>
      <c r="E127" s="102"/>
      <c r="F127" s="100"/>
      <c r="G127" s="101"/>
      <c r="H127" s="101"/>
      <c r="I127" s="102"/>
      <c r="J127" s="100"/>
      <c r="K127" s="101"/>
      <c r="L127" s="101"/>
      <c r="M127" s="102"/>
      <c r="N127" s="149"/>
      <c r="O127" s="100"/>
      <c r="P127" s="101"/>
      <c r="Q127" s="102"/>
      <c r="R127" s="150"/>
      <c r="S127" s="100"/>
      <c r="T127" s="101"/>
      <c r="U127" s="102"/>
      <c r="V127" s="150"/>
      <c r="W127" s="151"/>
      <c r="X127" s="152"/>
      <c r="Y127" s="153"/>
    </row>
    <row r="128" spans="1:25">
      <c r="A128" s="27"/>
      <c r="B128" s="95"/>
      <c r="C128" s="96"/>
      <c r="D128" s="96"/>
      <c r="E128" s="81"/>
      <c r="F128" s="95"/>
      <c r="G128" s="96"/>
      <c r="H128" s="96"/>
      <c r="I128" s="81"/>
      <c r="J128" s="95"/>
      <c r="K128" s="96"/>
      <c r="L128" s="96"/>
      <c r="M128" s="81"/>
      <c r="N128" s="131"/>
      <c r="O128" s="95"/>
      <c r="P128" s="96"/>
      <c r="Q128" s="81"/>
      <c r="R128" s="132"/>
      <c r="S128" s="95"/>
      <c r="T128" s="96"/>
      <c r="U128" s="81"/>
      <c r="V128" s="132"/>
      <c r="W128" s="146"/>
      <c r="X128" s="147"/>
      <c r="Y128" s="148"/>
    </row>
    <row r="129" spans="1:25">
      <c r="A129" s="27"/>
      <c r="B129" s="95"/>
      <c r="C129" s="96"/>
      <c r="D129" s="96"/>
      <c r="E129" s="81"/>
      <c r="F129" s="95"/>
      <c r="G129" s="96"/>
      <c r="H129" s="96"/>
      <c r="I129" s="81"/>
      <c r="J129" s="95"/>
      <c r="K129" s="96"/>
      <c r="L129" s="96"/>
      <c r="M129" s="81"/>
      <c r="N129" s="131"/>
      <c r="O129" s="95"/>
      <c r="P129" s="96"/>
      <c r="Q129" s="81"/>
      <c r="R129" s="132"/>
      <c r="S129" s="95"/>
      <c r="T129" s="96"/>
      <c r="U129" s="81"/>
      <c r="V129" s="132"/>
      <c r="W129" s="146"/>
      <c r="X129" s="147"/>
      <c r="Y129" s="148"/>
    </row>
    <row r="130" spans="1:25">
      <c r="A130" s="27"/>
      <c r="B130" s="95"/>
      <c r="C130" s="96"/>
      <c r="D130" s="96"/>
      <c r="E130" s="81"/>
      <c r="F130" s="95"/>
      <c r="G130" s="96"/>
      <c r="H130" s="96"/>
      <c r="I130" s="81"/>
      <c r="J130" s="95"/>
      <c r="K130" s="96"/>
      <c r="L130" s="96"/>
      <c r="M130" s="81"/>
      <c r="N130" s="131"/>
      <c r="O130" s="95"/>
      <c r="P130" s="96"/>
      <c r="Q130" s="81"/>
      <c r="R130" s="132"/>
      <c r="S130" s="95"/>
      <c r="T130" s="96"/>
      <c r="U130" s="81"/>
      <c r="V130" s="132"/>
      <c r="W130" s="146"/>
      <c r="X130" s="147"/>
      <c r="Y130" s="148"/>
    </row>
    <row r="131" spans="1:25">
      <c r="A131" s="27"/>
      <c r="B131" s="95"/>
      <c r="C131" s="96"/>
      <c r="D131" s="96"/>
      <c r="E131" s="81"/>
      <c r="F131" s="95"/>
      <c r="G131" s="96"/>
      <c r="H131" s="96"/>
      <c r="I131" s="81"/>
      <c r="J131" s="95"/>
      <c r="K131" s="96"/>
      <c r="L131" s="96"/>
      <c r="M131" s="81"/>
      <c r="N131" s="131"/>
      <c r="O131" s="95"/>
      <c r="P131" s="96"/>
      <c r="Q131" s="81"/>
      <c r="R131" s="132"/>
      <c r="S131" s="95"/>
      <c r="T131" s="96"/>
      <c r="U131" s="81"/>
      <c r="V131" s="132"/>
      <c r="W131" s="146"/>
      <c r="X131" s="147"/>
      <c r="Y131" s="148"/>
    </row>
    <row r="132" spans="1:25">
      <c r="A132" s="27"/>
      <c r="B132" s="95"/>
      <c r="C132" s="96"/>
      <c r="D132" s="96"/>
      <c r="E132" s="81"/>
      <c r="F132" s="95"/>
      <c r="G132" s="96"/>
      <c r="H132" s="96"/>
      <c r="I132" s="81"/>
      <c r="J132" s="95"/>
      <c r="K132" s="96"/>
      <c r="L132" s="96"/>
      <c r="M132" s="81"/>
      <c r="N132" s="131"/>
      <c r="O132" s="95"/>
      <c r="P132" s="96"/>
      <c r="Q132" s="81"/>
      <c r="R132" s="132"/>
      <c r="S132" s="95"/>
      <c r="T132" s="96"/>
      <c r="U132" s="81"/>
      <c r="V132" s="132"/>
      <c r="W132" s="146"/>
      <c r="X132" s="147"/>
      <c r="Y132" s="148"/>
    </row>
    <row r="133" spans="1:25">
      <c r="A133" s="27"/>
      <c r="B133" s="95"/>
      <c r="C133" s="96"/>
      <c r="D133" s="96"/>
      <c r="E133" s="81"/>
      <c r="F133" s="95"/>
      <c r="G133" s="96"/>
      <c r="H133" s="96"/>
      <c r="I133" s="81"/>
      <c r="J133" s="95"/>
      <c r="K133" s="96"/>
      <c r="L133" s="96"/>
      <c r="M133" s="81"/>
      <c r="N133" s="131"/>
      <c r="O133" s="95"/>
      <c r="P133" s="96"/>
      <c r="Q133" s="81"/>
      <c r="R133" s="132"/>
      <c r="S133" s="95"/>
      <c r="T133" s="96"/>
      <c r="U133" s="81"/>
      <c r="V133" s="132"/>
      <c r="W133" s="146"/>
      <c r="X133" s="147"/>
      <c r="Y133" s="148"/>
    </row>
    <row r="134" spans="1:25">
      <c r="A134" s="27"/>
      <c r="B134" s="95"/>
      <c r="C134" s="96"/>
      <c r="D134" s="96"/>
      <c r="E134" s="81"/>
      <c r="F134" s="95"/>
      <c r="G134" s="96"/>
      <c r="H134" s="96"/>
      <c r="I134" s="81"/>
      <c r="J134" s="95"/>
      <c r="K134" s="96"/>
      <c r="L134" s="96"/>
      <c r="M134" s="81"/>
      <c r="N134" s="131"/>
      <c r="O134" s="95"/>
      <c r="P134" s="96"/>
      <c r="Q134" s="81"/>
      <c r="R134" s="132"/>
      <c r="S134" s="95"/>
      <c r="T134" s="96"/>
      <c r="U134" s="81"/>
      <c r="V134" s="132"/>
      <c r="W134" s="146"/>
      <c r="X134" s="147"/>
      <c r="Y134" s="148"/>
    </row>
    <row r="135" spans="1:25">
      <c r="A135" s="27"/>
      <c r="B135" s="95"/>
      <c r="C135" s="96"/>
      <c r="D135" s="96"/>
      <c r="E135" s="81"/>
      <c r="F135" s="95"/>
      <c r="G135" s="96"/>
      <c r="H135" s="96"/>
      <c r="I135" s="81"/>
      <c r="J135" s="95"/>
      <c r="K135" s="96"/>
      <c r="L135" s="96"/>
      <c r="M135" s="81"/>
      <c r="N135" s="131"/>
      <c r="O135" s="95"/>
      <c r="P135" s="96"/>
      <c r="Q135" s="81"/>
      <c r="R135" s="132"/>
      <c r="S135" s="95"/>
      <c r="T135" s="96"/>
      <c r="U135" s="81"/>
      <c r="V135" s="132"/>
      <c r="W135" s="146"/>
      <c r="X135" s="147"/>
      <c r="Y135" s="148"/>
    </row>
    <row r="136" spans="1:25">
      <c r="A136" s="27"/>
      <c r="B136" s="95"/>
      <c r="C136" s="96"/>
      <c r="D136" s="96"/>
      <c r="E136" s="81"/>
      <c r="F136" s="95"/>
      <c r="G136" s="96"/>
      <c r="H136" s="96"/>
      <c r="I136" s="81"/>
      <c r="J136" s="95"/>
      <c r="K136" s="96"/>
      <c r="L136" s="96"/>
      <c r="M136" s="81"/>
      <c r="N136" s="131"/>
      <c r="O136" s="95"/>
      <c r="P136" s="96"/>
      <c r="Q136" s="81"/>
      <c r="R136" s="132"/>
      <c r="S136" s="95"/>
      <c r="T136" s="96"/>
      <c r="U136" s="81"/>
      <c r="V136" s="132"/>
      <c r="W136" s="146"/>
      <c r="X136" s="147"/>
      <c r="Y136" s="148"/>
    </row>
    <row r="137" spans="1:25">
      <c r="A137" s="27"/>
      <c r="B137" s="95"/>
      <c r="C137" s="96"/>
      <c r="D137" s="96"/>
      <c r="E137" s="81"/>
      <c r="F137" s="95"/>
      <c r="G137" s="96"/>
      <c r="H137" s="96"/>
      <c r="I137" s="81"/>
      <c r="J137" s="95"/>
      <c r="K137" s="96"/>
      <c r="L137" s="96"/>
      <c r="M137" s="81"/>
      <c r="N137" s="131"/>
      <c r="O137" s="95"/>
      <c r="P137" s="96"/>
      <c r="Q137" s="81"/>
      <c r="R137" s="132"/>
      <c r="S137" s="95"/>
      <c r="T137" s="96"/>
      <c r="U137" s="81"/>
      <c r="V137" s="132"/>
      <c r="W137" s="146"/>
      <c r="X137" s="147"/>
      <c r="Y137" s="148"/>
    </row>
    <row r="138" spans="1:25">
      <c r="A138" s="27"/>
      <c r="B138" s="95"/>
      <c r="C138" s="96"/>
      <c r="D138" s="96"/>
      <c r="E138" s="81"/>
      <c r="F138" s="95"/>
      <c r="G138" s="96"/>
      <c r="H138" s="96"/>
      <c r="I138" s="81"/>
      <c r="J138" s="95"/>
      <c r="K138" s="96"/>
      <c r="L138" s="96"/>
      <c r="M138" s="81"/>
      <c r="N138" s="131"/>
      <c r="O138" s="95"/>
      <c r="P138" s="96"/>
      <c r="Q138" s="81"/>
      <c r="R138" s="132"/>
      <c r="S138" s="95"/>
      <c r="T138" s="96"/>
      <c r="U138" s="81"/>
      <c r="V138" s="132"/>
      <c r="W138" s="146"/>
      <c r="X138" s="147"/>
      <c r="Y138" s="148"/>
    </row>
    <row r="139" spans="1:25">
      <c r="A139" s="99"/>
      <c r="B139" s="100"/>
      <c r="C139" s="101"/>
      <c r="D139" s="101"/>
      <c r="E139" s="102"/>
      <c r="F139" s="100"/>
      <c r="G139" s="101"/>
      <c r="H139" s="101"/>
      <c r="I139" s="102"/>
      <c r="J139" s="100"/>
      <c r="K139" s="101"/>
      <c r="L139" s="101"/>
      <c r="M139" s="102"/>
      <c r="N139" s="149"/>
      <c r="O139" s="100"/>
      <c r="P139" s="101"/>
      <c r="Q139" s="102"/>
      <c r="R139" s="150"/>
      <c r="S139" s="100"/>
      <c r="T139" s="101"/>
      <c r="U139" s="102"/>
      <c r="V139" s="150"/>
      <c r="W139" s="151"/>
      <c r="X139" s="152"/>
      <c r="Y139" s="153"/>
    </row>
    <row r="140" spans="1:25">
      <c r="A140" s="27"/>
      <c r="B140" s="95"/>
      <c r="C140" s="96"/>
      <c r="D140" s="96"/>
      <c r="E140" s="81"/>
      <c r="F140" s="95"/>
      <c r="G140" s="96"/>
      <c r="H140" s="96"/>
      <c r="I140" s="81"/>
      <c r="J140" s="95"/>
      <c r="K140" s="96"/>
      <c r="L140" s="96"/>
      <c r="M140" s="81"/>
      <c r="N140" s="131"/>
      <c r="O140" s="95"/>
      <c r="P140" s="96"/>
      <c r="Q140" s="81"/>
      <c r="R140" s="132"/>
      <c r="S140" s="95"/>
      <c r="T140" s="96"/>
      <c r="U140" s="81"/>
      <c r="V140" s="132"/>
      <c r="W140" s="146"/>
      <c r="X140" s="147"/>
      <c r="Y140" s="148"/>
    </row>
    <row r="141" spans="1:25">
      <c r="A141" s="27"/>
      <c r="B141" s="95"/>
      <c r="C141" s="96"/>
      <c r="D141" s="96"/>
      <c r="E141" s="81"/>
      <c r="F141" s="95"/>
      <c r="G141" s="96"/>
      <c r="H141" s="96"/>
      <c r="I141" s="81"/>
      <c r="J141" s="95"/>
      <c r="K141" s="96"/>
      <c r="L141" s="96"/>
      <c r="M141" s="81"/>
      <c r="N141" s="131"/>
      <c r="O141" s="95"/>
      <c r="P141" s="96"/>
      <c r="Q141" s="81"/>
      <c r="R141" s="132"/>
      <c r="S141" s="95"/>
      <c r="T141" s="96"/>
      <c r="U141" s="81"/>
      <c r="V141" s="132"/>
      <c r="W141" s="146"/>
      <c r="X141" s="147"/>
      <c r="Y141" s="148"/>
    </row>
    <row r="142" spans="1:25">
      <c r="A142" s="27"/>
      <c r="B142" s="95"/>
      <c r="C142" s="96"/>
      <c r="D142" s="96"/>
      <c r="E142" s="81"/>
      <c r="F142" s="95"/>
      <c r="G142" s="96"/>
      <c r="H142" s="96"/>
      <c r="I142" s="81"/>
      <c r="J142" s="95"/>
      <c r="K142" s="96"/>
      <c r="L142" s="96"/>
      <c r="M142" s="81"/>
      <c r="N142" s="131"/>
      <c r="O142" s="95"/>
      <c r="P142" s="96"/>
      <c r="Q142" s="81"/>
      <c r="R142" s="132"/>
      <c r="S142" s="95"/>
      <c r="T142" s="96"/>
      <c r="U142" s="81"/>
      <c r="V142" s="132"/>
      <c r="W142" s="146"/>
      <c r="X142" s="147"/>
      <c r="Y142" s="148"/>
    </row>
    <row r="143" spans="1:25">
      <c r="A143" s="27"/>
      <c r="B143" s="95"/>
      <c r="C143" s="96"/>
      <c r="D143" s="96"/>
      <c r="E143" s="81"/>
      <c r="F143" s="95"/>
      <c r="G143" s="96"/>
      <c r="H143" s="96"/>
      <c r="I143" s="81"/>
      <c r="J143" s="95"/>
      <c r="K143" s="96"/>
      <c r="L143" s="96"/>
      <c r="M143" s="81"/>
      <c r="N143" s="131"/>
      <c r="O143" s="95"/>
      <c r="P143" s="96"/>
      <c r="Q143" s="81"/>
      <c r="R143" s="132"/>
      <c r="S143" s="95"/>
      <c r="T143" s="96"/>
      <c r="U143" s="81"/>
      <c r="V143" s="132"/>
      <c r="W143" s="146"/>
      <c r="X143" s="147"/>
      <c r="Y143" s="148"/>
    </row>
    <row r="144" spans="1:25">
      <c r="A144" s="27"/>
      <c r="B144" s="95"/>
      <c r="C144" s="96"/>
      <c r="D144" s="96"/>
      <c r="E144" s="81"/>
      <c r="F144" s="95"/>
      <c r="G144" s="96"/>
      <c r="H144" s="96"/>
      <c r="I144" s="81"/>
      <c r="J144" s="95"/>
      <c r="K144" s="96"/>
      <c r="L144" s="96"/>
      <c r="M144" s="81"/>
      <c r="N144" s="131"/>
      <c r="O144" s="95"/>
      <c r="P144" s="96"/>
      <c r="Q144" s="81"/>
      <c r="R144" s="132"/>
      <c r="S144" s="95"/>
      <c r="T144" s="96"/>
      <c r="U144" s="81"/>
      <c r="V144" s="132"/>
      <c r="W144" s="146"/>
      <c r="X144" s="147"/>
      <c r="Y144" s="148"/>
    </row>
    <row r="145" spans="1:25">
      <c r="A145" s="27"/>
      <c r="B145" s="95"/>
      <c r="C145" s="96"/>
      <c r="D145" s="96"/>
      <c r="E145" s="81"/>
      <c r="F145" s="95"/>
      <c r="G145" s="96"/>
      <c r="H145" s="96"/>
      <c r="I145" s="81"/>
      <c r="J145" s="95"/>
      <c r="K145" s="96"/>
      <c r="L145" s="96"/>
      <c r="M145" s="81"/>
      <c r="N145" s="131"/>
      <c r="O145" s="95"/>
      <c r="P145" s="96"/>
      <c r="Q145" s="81"/>
      <c r="R145" s="132"/>
      <c r="S145" s="95"/>
      <c r="T145" s="96"/>
      <c r="U145" s="81"/>
      <c r="V145" s="132"/>
      <c r="W145" s="146"/>
      <c r="X145" s="147"/>
      <c r="Y145" s="148"/>
    </row>
    <row r="146" spans="1:25">
      <c r="A146" s="27"/>
      <c r="B146" s="95"/>
      <c r="C146" s="96"/>
      <c r="D146" s="96"/>
      <c r="E146" s="81"/>
      <c r="F146" s="95"/>
      <c r="G146" s="96"/>
      <c r="H146" s="96"/>
      <c r="I146" s="81"/>
      <c r="J146" s="95"/>
      <c r="K146" s="96"/>
      <c r="L146" s="96"/>
      <c r="M146" s="81"/>
      <c r="N146" s="131"/>
      <c r="O146" s="95"/>
      <c r="P146" s="96"/>
      <c r="Q146" s="81"/>
      <c r="R146" s="132"/>
      <c r="S146" s="95"/>
      <c r="T146" s="96"/>
      <c r="U146" s="81"/>
      <c r="V146" s="132"/>
      <c r="W146" s="146"/>
      <c r="X146" s="147"/>
      <c r="Y146" s="148"/>
    </row>
    <row r="147" spans="1:25">
      <c r="A147" s="27"/>
      <c r="B147" s="95"/>
      <c r="C147" s="96"/>
      <c r="D147" s="96"/>
      <c r="E147" s="81"/>
      <c r="F147" s="95"/>
      <c r="G147" s="96"/>
      <c r="H147" s="96"/>
      <c r="I147" s="81"/>
      <c r="J147" s="95"/>
      <c r="K147" s="96"/>
      <c r="L147" s="96"/>
      <c r="M147" s="81"/>
      <c r="N147" s="131"/>
      <c r="O147" s="95"/>
      <c r="P147" s="96"/>
      <c r="Q147" s="81"/>
      <c r="R147" s="132"/>
      <c r="S147" s="95"/>
      <c r="T147" s="96"/>
      <c r="U147" s="81"/>
      <c r="V147" s="132"/>
      <c r="W147" s="146"/>
      <c r="X147" s="147"/>
      <c r="Y147" s="148"/>
    </row>
    <row r="148" spans="1:25">
      <c r="A148" s="27"/>
      <c r="B148" s="95"/>
      <c r="C148" s="96"/>
      <c r="D148" s="96"/>
      <c r="E148" s="81"/>
      <c r="F148" s="95"/>
      <c r="G148" s="96"/>
      <c r="H148" s="96"/>
      <c r="I148" s="81"/>
      <c r="J148" s="95"/>
      <c r="K148" s="96"/>
      <c r="L148" s="96"/>
      <c r="M148" s="81"/>
      <c r="N148" s="131"/>
      <c r="O148" s="95"/>
      <c r="P148" s="96"/>
      <c r="Q148" s="81"/>
      <c r="R148" s="132"/>
      <c r="S148" s="95"/>
      <c r="T148" s="96"/>
      <c r="U148" s="81"/>
      <c r="V148" s="132"/>
      <c r="W148" s="146"/>
      <c r="X148" s="147"/>
      <c r="Y148" s="148"/>
    </row>
    <row r="149" spans="1:25">
      <c r="A149" s="27"/>
      <c r="B149" s="95"/>
      <c r="C149" s="96"/>
      <c r="D149" s="96"/>
      <c r="E149" s="81"/>
      <c r="F149" s="95"/>
      <c r="G149" s="96"/>
      <c r="H149" s="96"/>
      <c r="I149" s="81"/>
      <c r="J149" s="95"/>
      <c r="K149" s="96"/>
      <c r="L149" s="96"/>
      <c r="M149" s="81"/>
      <c r="N149" s="131"/>
      <c r="O149" s="95"/>
      <c r="P149" s="96"/>
      <c r="Q149" s="81"/>
      <c r="R149" s="132"/>
      <c r="S149" s="95"/>
      <c r="T149" s="96"/>
      <c r="U149" s="81"/>
      <c r="V149" s="132"/>
      <c r="W149" s="146"/>
      <c r="X149" s="147"/>
      <c r="Y149" s="148"/>
    </row>
    <row r="150" spans="1:25">
      <c r="A150" s="27"/>
      <c r="B150" s="95"/>
      <c r="C150" s="96"/>
      <c r="D150" s="96"/>
      <c r="E150" s="81"/>
      <c r="F150" s="95"/>
      <c r="G150" s="96"/>
      <c r="H150" s="96"/>
      <c r="I150" s="81"/>
      <c r="J150" s="95"/>
      <c r="K150" s="96"/>
      <c r="L150" s="96"/>
      <c r="M150" s="81"/>
      <c r="N150" s="131"/>
      <c r="O150" s="95"/>
      <c r="P150" s="96"/>
      <c r="Q150" s="81"/>
      <c r="R150" s="132"/>
      <c r="S150" s="95"/>
      <c r="T150" s="96"/>
      <c r="U150" s="81"/>
      <c r="V150" s="132"/>
      <c r="W150" s="146"/>
      <c r="X150" s="147"/>
      <c r="Y150" s="148"/>
    </row>
    <row r="151" spans="1:25">
      <c r="A151" s="99"/>
      <c r="B151" s="100"/>
      <c r="C151" s="101"/>
      <c r="D151" s="101"/>
      <c r="E151" s="102"/>
      <c r="F151" s="100"/>
      <c r="G151" s="101"/>
      <c r="H151" s="101"/>
      <c r="I151" s="102"/>
      <c r="J151" s="100"/>
      <c r="K151" s="101"/>
      <c r="L151" s="101"/>
      <c r="M151" s="102"/>
      <c r="N151" s="149"/>
      <c r="O151" s="100"/>
      <c r="P151" s="101"/>
      <c r="Q151" s="102"/>
      <c r="R151" s="150"/>
      <c r="S151" s="100"/>
      <c r="T151" s="101"/>
      <c r="U151" s="102"/>
      <c r="V151" s="150"/>
      <c r="W151" s="151"/>
      <c r="X151" s="152"/>
      <c r="Y151" s="153"/>
    </row>
    <row r="152" spans="1:25">
      <c r="A152" s="27"/>
      <c r="B152" s="95"/>
      <c r="C152" s="96"/>
      <c r="D152" s="96"/>
      <c r="E152" s="81"/>
      <c r="F152" s="95"/>
      <c r="G152" s="96"/>
      <c r="H152" s="96"/>
      <c r="I152" s="81"/>
      <c r="J152" s="95"/>
      <c r="K152" s="96"/>
      <c r="L152" s="96"/>
      <c r="M152" s="81"/>
      <c r="N152" s="131"/>
      <c r="O152" s="95"/>
      <c r="P152" s="96"/>
      <c r="Q152" s="81"/>
      <c r="R152" s="132"/>
      <c r="S152" s="95"/>
      <c r="T152" s="96"/>
      <c r="U152" s="81"/>
      <c r="V152" s="132"/>
      <c r="W152" s="146"/>
      <c r="X152" s="147"/>
      <c r="Y152" s="148"/>
    </row>
    <row r="153" spans="1:25">
      <c r="A153" s="27"/>
      <c r="B153" s="95"/>
      <c r="C153" s="96"/>
      <c r="D153" s="96"/>
      <c r="E153" s="81"/>
      <c r="F153" s="95"/>
      <c r="G153" s="96"/>
      <c r="H153" s="96"/>
      <c r="I153" s="81"/>
      <c r="J153" s="95"/>
      <c r="K153" s="96"/>
      <c r="L153" s="96"/>
      <c r="M153" s="81"/>
      <c r="N153" s="131"/>
      <c r="O153" s="95"/>
      <c r="P153" s="96"/>
      <c r="Q153" s="81"/>
      <c r="R153" s="132"/>
      <c r="S153" s="95"/>
      <c r="T153" s="96"/>
      <c r="U153" s="81"/>
      <c r="V153" s="132"/>
      <c r="W153" s="146"/>
      <c r="X153" s="147"/>
      <c r="Y153" s="148"/>
    </row>
    <row r="154" spans="1:25">
      <c r="A154" s="27"/>
      <c r="B154" s="95"/>
      <c r="C154" s="96"/>
      <c r="D154" s="96"/>
      <c r="E154" s="81"/>
      <c r="F154" s="95"/>
      <c r="G154" s="96"/>
      <c r="H154" s="96"/>
      <c r="I154" s="81"/>
      <c r="J154" s="95"/>
      <c r="K154" s="96"/>
      <c r="L154" s="96"/>
      <c r="M154" s="81"/>
      <c r="N154" s="131"/>
      <c r="O154" s="95"/>
      <c r="P154" s="96"/>
      <c r="Q154" s="81"/>
      <c r="R154" s="132"/>
      <c r="S154" s="95"/>
      <c r="T154" s="96"/>
      <c r="U154" s="81"/>
      <c r="V154" s="132"/>
      <c r="W154" s="146"/>
      <c r="X154" s="147"/>
      <c r="Y154" s="148"/>
    </row>
    <row r="155" spans="1:25">
      <c r="A155" s="27"/>
      <c r="B155" s="95"/>
      <c r="C155" s="96"/>
      <c r="D155" s="96"/>
      <c r="E155" s="81"/>
      <c r="F155" s="95"/>
      <c r="G155" s="96"/>
      <c r="H155" s="96"/>
      <c r="I155" s="81"/>
      <c r="J155" s="95"/>
      <c r="K155" s="96"/>
      <c r="L155" s="96"/>
      <c r="M155" s="81"/>
      <c r="N155" s="131"/>
      <c r="O155" s="95"/>
      <c r="P155" s="96"/>
      <c r="Q155" s="81"/>
      <c r="R155" s="132"/>
      <c r="S155" s="95"/>
      <c r="T155" s="96"/>
      <c r="U155" s="81"/>
      <c r="V155" s="132"/>
      <c r="W155" s="146"/>
      <c r="X155" s="147"/>
      <c r="Y155" s="148"/>
    </row>
    <row r="156" spans="1:25">
      <c r="A156" s="27"/>
      <c r="B156" s="95"/>
      <c r="C156" s="96"/>
      <c r="D156" s="96"/>
      <c r="E156" s="81"/>
      <c r="F156" s="95"/>
      <c r="G156" s="96"/>
      <c r="H156" s="96"/>
      <c r="I156" s="81"/>
      <c r="J156" s="95"/>
      <c r="K156" s="96"/>
      <c r="L156" s="96"/>
      <c r="M156" s="81"/>
      <c r="N156" s="131"/>
      <c r="O156" s="95"/>
      <c r="P156" s="96"/>
      <c r="Q156" s="81"/>
      <c r="R156" s="132"/>
      <c r="S156" s="95"/>
      <c r="T156" s="96"/>
      <c r="U156" s="81"/>
      <c r="V156" s="132"/>
      <c r="W156" s="146"/>
      <c r="X156" s="147"/>
      <c r="Y156" s="148"/>
    </row>
    <row r="157" spans="1:25">
      <c r="A157" s="27"/>
      <c r="B157" s="95"/>
      <c r="C157" s="96"/>
      <c r="D157" s="96"/>
      <c r="E157" s="81"/>
      <c r="F157" s="95"/>
      <c r="G157" s="96"/>
      <c r="H157" s="96"/>
      <c r="I157" s="81"/>
      <c r="J157" s="95"/>
      <c r="K157" s="96"/>
      <c r="L157" s="96"/>
      <c r="M157" s="81"/>
      <c r="N157" s="131"/>
      <c r="O157" s="95"/>
      <c r="P157" s="96"/>
      <c r="Q157" s="81"/>
      <c r="R157" s="132"/>
      <c r="S157" s="95"/>
      <c r="T157" s="96"/>
      <c r="U157" s="81"/>
      <c r="V157" s="132"/>
      <c r="W157" s="146"/>
      <c r="X157" s="147"/>
      <c r="Y157" s="148"/>
    </row>
    <row r="158" spans="1:25">
      <c r="A158" s="27"/>
      <c r="B158" s="95"/>
      <c r="C158" s="96"/>
      <c r="D158" s="96"/>
      <c r="E158" s="81"/>
      <c r="F158" s="95"/>
      <c r="G158" s="96"/>
      <c r="H158" s="96"/>
      <c r="I158" s="81"/>
      <c r="J158" s="95"/>
      <c r="K158" s="96"/>
      <c r="L158" s="96"/>
      <c r="M158" s="81"/>
      <c r="N158" s="131"/>
      <c r="O158" s="95"/>
      <c r="P158" s="96"/>
      <c r="Q158" s="81"/>
      <c r="R158" s="132"/>
      <c r="S158" s="95"/>
      <c r="T158" s="96"/>
      <c r="U158" s="81"/>
      <c r="V158" s="132"/>
      <c r="W158" s="146"/>
      <c r="X158" s="147"/>
      <c r="Y158" s="148"/>
    </row>
    <row r="159" spans="1:25">
      <c r="A159" s="27"/>
      <c r="B159" s="95"/>
      <c r="C159" s="96"/>
      <c r="D159" s="96"/>
      <c r="E159" s="81"/>
      <c r="F159" s="95"/>
      <c r="G159" s="96"/>
      <c r="H159" s="96"/>
      <c r="I159" s="81"/>
      <c r="J159" s="95"/>
      <c r="K159" s="96"/>
      <c r="L159" s="96"/>
      <c r="M159" s="81"/>
      <c r="N159" s="131"/>
      <c r="O159" s="95"/>
      <c r="P159" s="96"/>
      <c r="Q159" s="81"/>
      <c r="R159" s="132"/>
      <c r="S159" s="95"/>
      <c r="T159" s="96"/>
      <c r="U159" s="81"/>
      <c r="V159" s="132"/>
      <c r="W159" s="146"/>
      <c r="X159" s="147"/>
      <c r="Y159" s="148"/>
    </row>
    <row r="160" spans="1:25">
      <c r="A160" s="27"/>
      <c r="B160" s="95"/>
      <c r="C160" s="96"/>
      <c r="D160" s="96"/>
      <c r="E160" s="81"/>
      <c r="F160" s="95"/>
      <c r="G160" s="96"/>
      <c r="H160" s="96"/>
      <c r="I160" s="81"/>
      <c r="J160" s="95"/>
      <c r="K160" s="96"/>
      <c r="L160" s="96"/>
      <c r="M160" s="81"/>
      <c r="N160" s="131"/>
      <c r="O160" s="95"/>
      <c r="P160" s="96"/>
      <c r="Q160" s="81"/>
      <c r="R160" s="132"/>
      <c r="S160" s="95"/>
      <c r="T160" s="96"/>
      <c r="U160" s="81"/>
      <c r="V160" s="132"/>
      <c r="W160" s="146"/>
      <c r="X160" s="147"/>
      <c r="Y160" s="148"/>
    </row>
    <row r="161" spans="1:25">
      <c r="A161" s="27"/>
      <c r="B161" s="95"/>
      <c r="C161" s="96"/>
      <c r="D161" s="96"/>
      <c r="E161" s="81"/>
      <c r="F161" s="95"/>
      <c r="G161" s="96"/>
      <c r="H161" s="96"/>
      <c r="I161" s="81"/>
      <c r="J161" s="95"/>
      <c r="K161" s="96"/>
      <c r="L161" s="96"/>
      <c r="M161" s="81"/>
      <c r="N161" s="131"/>
      <c r="O161" s="95"/>
      <c r="P161" s="96"/>
      <c r="Q161" s="81"/>
      <c r="R161" s="132"/>
      <c r="S161" s="95"/>
      <c r="T161" s="96"/>
      <c r="U161" s="81"/>
      <c r="V161" s="132"/>
      <c r="W161" s="146"/>
      <c r="X161" s="147"/>
      <c r="Y161" s="148"/>
    </row>
    <row r="162" spans="1:25">
      <c r="A162" s="27"/>
      <c r="B162" s="95"/>
      <c r="C162" s="96"/>
      <c r="D162" s="96"/>
      <c r="E162" s="81"/>
      <c r="F162" s="95"/>
      <c r="G162" s="96"/>
      <c r="H162" s="96"/>
      <c r="I162" s="81"/>
      <c r="J162" s="95"/>
      <c r="K162" s="96"/>
      <c r="L162" s="96"/>
      <c r="M162" s="81"/>
      <c r="N162" s="131"/>
      <c r="O162" s="95"/>
      <c r="P162" s="96"/>
      <c r="Q162" s="81"/>
      <c r="R162" s="132"/>
      <c r="S162" s="95"/>
      <c r="T162" s="96"/>
      <c r="U162" s="81"/>
      <c r="V162" s="132"/>
      <c r="W162" s="146"/>
      <c r="X162" s="147"/>
      <c r="Y162" s="148"/>
    </row>
    <row r="163" spans="1:25">
      <c r="A163" s="99"/>
      <c r="B163" s="100"/>
      <c r="C163" s="101"/>
      <c r="D163" s="101"/>
      <c r="E163" s="102"/>
      <c r="F163" s="100"/>
      <c r="G163" s="101"/>
      <c r="H163" s="101"/>
      <c r="I163" s="102"/>
      <c r="J163" s="100"/>
      <c r="K163" s="101"/>
      <c r="L163" s="101"/>
      <c r="M163" s="102"/>
      <c r="N163" s="149"/>
      <c r="O163" s="100"/>
      <c r="P163" s="101"/>
      <c r="Q163" s="102"/>
      <c r="R163" s="150"/>
      <c r="S163" s="100"/>
      <c r="T163" s="101"/>
      <c r="U163" s="102"/>
      <c r="V163" s="150"/>
      <c r="W163" s="151"/>
      <c r="X163" s="152"/>
      <c r="Y163" s="153"/>
    </row>
    <row r="164" spans="1:25">
      <c r="A164" s="27"/>
      <c r="B164" s="95"/>
      <c r="C164" s="96"/>
      <c r="D164" s="96"/>
      <c r="E164" s="81"/>
      <c r="F164" s="95"/>
      <c r="G164" s="96"/>
      <c r="H164" s="96"/>
      <c r="I164" s="81"/>
      <c r="J164" s="95"/>
      <c r="K164" s="96"/>
      <c r="L164" s="96"/>
      <c r="M164" s="81"/>
      <c r="N164" s="131"/>
      <c r="O164" s="95"/>
      <c r="P164" s="96"/>
      <c r="Q164" s="81"/>
      <c r="R164" s="132"/>
      <c r="S164" s="95"/>
      <c r="T164" s="96"/>
      <c r="U164" s="81"/>
      <c r="V164" s="132"/>
      <c r="W164" s="146"/>
      <c r="X164" s="147"/>
      <c r="Y164" s="148"/>
    </row>
    <row r="165" spans="1:25">
      <c r="A165" s="27"/>
      <c r="B165" s="95"/>
      <c r="C165" s="96"/>
      <c r="D165" s="96"/>
      <c r="E165" s="81"/>
      <c r="F165" s="95"/>
      <c r="G165" s="96"/>
      <c r="H165" s="96"/>
      <c r="I165" s="81"/>
      <c r="J165" s="95"/>
      <c r="K165" s="96"/>
      <c r="L165" s="96"/>
      <c r="M165" s="81"/>
      <c r="N165" s="131"/>
      <c r="O165" s="95"/>
      <c r="P165" s="96"/>
      <c r="Q165" s="81"/>
      <c r="R165" s="132"/>
      <c r="S165" s="95"/>
      <c r="T165" s="96"/>
      <c r="U165" s="81"/>
      <c r="V165" s="132"/>
      <c r="W165" s="146"/>
      <c r="X165" s="147"/>
      <c r="Y165" s="148"/>
    </row>
    <row r="166" spans="1:25">
      <c r="A166" s="27"/>
      <c r="B166" s="95"/>
      <c r="C166" s="96"/>
      <c r="D166" s="96"/>
      <c r="E166" s="81"/>
      <c r="F166" s="95"/>
      <c r="G166" s="96"/>
      <c r="H166" s="96"/>
      <c r="I166" s="81"/>
      <c r="J166" s="95"/>
      <c r="K166" s="96"/>
      <c r="L166" s="96"/>
      <c r="M166" s="81"/>
      <c r="N166" s="131"/>
      <c r="O166" s="95"/>
      <c r="P166" s="96"/>
      <c r="Q166" s="81"/>
      <c r="R166" s="132"/>
      <c r="S166" s="95"/>
      <c r="T166" s="96"/>
      <c r="U166" s="81"/>
      <c r="V166" s="132"/>
      <c r="W166" s="146"/>
      <c r="X166" s="147"/>
      <c r="Y166" s="148"/>
    </row>
    <row r="167" spans="1:25">
      <c r="A167" s="27"/>
      <c r="B167" s="95"/>
      <c r="C167" s="96"/>
      <c r="D167" s="96"/>
      <c r="E167" s="81"/>
      <c r="F167" s="95"/>
      <c r="G167" s="96"/>
      <c r="H167" s="96"/>
      <c r="I167" s="81"/>
      <c r="J167" s="95"/>
      <c r="K167" s="96"/>
      <c r="L167" s="96"/>
      <c r="M167" s="81"/>
      <c r="N167" s="131"/>
      <c r="O167" s="95"/>
      <c r="P167" s="96"/>
      <c r="Q167" s="81"/>
      <c r="R167" s="132"/>
      <c r="S167" s="95"/>
      <c r="T167" s="96"/>
      <c r="U167" s="81"/>
      <c r="V167" s="132"/>
      <c r="W167" s="146"/>
      <c r="X167" s="147"/>
      <c r="Y167" s="148"/>
    </row>
    <row r="168" spans="1:25">
      <c r="A168" s="27"/>
      <c r="B168" s="95"/>
      <c r="C168" s="96"/>
      <c r="D168" s="96"/>
      <c r="E168" s="81"/>
      <c r="F168" s="95"/>
      <c r="G168" s="96"/>
      <c r="H168" s="96"/>
      <c r="I168" s="81"/>
      <c r="J168" s="95"/>
      <c r="K168" s="96"/>
      <c r="L168" s="96"/>
      <c r="M168" s="81"/>
      <c r="N168" s="131"/>
      <c r="O168" s="95"/>
      <c r="P168" s="96"/>
      <c r="Q168" s="81"/>
      <c r="R168" s="132"/>
      <c r="S168" s="95"/>
      <c r="T168" s="96"/>
      <c r="U168" s="81"/>
      <c r="V168" s="132"/>
      <c r="W168" s="146"/>
      <c r="X168" s="147"/>
      <c r="Y168" s="148"/>
    </row>
    <row r="169" spans="1:25">
      <c r="A169" s="27"/>
      <c r="B169" s="95"/>
      <c r="C169" s="96"/>
      <c r="D169" s="96"/>
      <c r="E169" s="81"/>
      <c r="F169" s="95"/>
      <c r="G169" s="96"/>
      <c r="H169" s="96"/>
      <c r="I169" s="81"/>
      <c r="J169" s="95"/>
      <c r="K169" s="96"/>
      <c r="L169" s="96"/>
      <c r="M169" s="81"/>
      <c r="N169" s="131"/>
      <c r="O169" s="95"/>
      <c r="P169" s="96"/>
      <c r="Q169" s="81"/>
      <c r="R169" s="132"/>
      <c r="S169" s="95"/>
      <c r="T169" s="96"/>
      <c r="U169" s="81"/>
      <c r="V169" s="132"/>
      <c r="W169" s="146"/>
      <c r="X169" s="147"/>
      <c r="Y169" s="148"/>
    </row>
    <row r="170" spans="1:25">
      <c r="A170" s="27"/>
      <c r="B170" s="95"/>
      <c r="C170" s="96"/>
      <c r="D170" s="96"/>
      <c r="E170" s="81"/>
      <c r="F170" s="95"/>
      <c r="G170" s="96"/>
      <c r="H170" s="96"/>
      <c r="I170" s="81"/>
      <c r="J170" s="95"/>
      <c r="K170" s="96"/>
      <c r="L170" s="96"/>
      <c r="M170" s="81"/>
      <c r="N170" s="131"/>
      <c r="O170" s="95"/>
      <c r="P170" s="96"/>
      <c r="Q170" s="81"/>
      <c r="R170" s="132"/>
      <c r="S170" s="95"/>
      <c r="T170" s="96"/>
      <c r="U170" s="81"/>
      <c r="V170" s="132"/>
      <c r="W170" s="146"/>
      <c r="X170" s="147"/>
      <c r="Y170" s="148"/>
    </row>
    <row r="171" spans="1:25">
      <c r="A171" s="27"/>
      <c r="B171" s="95"/>
      <c r="C171" s="96"/>
      <c r="D171" s="96"/>
      <c r="E171" s="81"/>
      <c r="F171" s="95"/>
      <c r="G171" s="96"/>
      <c r="H171" s="96"/>
      <c r="I171" s="81"/>
      <c r="J171" s="95"/>
      <c r="K171" s="96"/>
      <c r="L171" s="96"/>
      <c r="M171" s="81"/>
      <c r="N171" s="131"/>
      <c r="O171" s="95"/>
      <c r="P171" s="96"/>
      <c r="Q171" s="81"/>
      <c r="R171" s="132"/>
      <c r="S171" s="95"/>
      <c r="T171" s="96"/>
      <c r="U171" s="81"/>
      <c r="V171" s="132"/>
      <c r="W171" s="146"/>
      <c r="X171" s="147"/>
      <c r="Y171" s="148"/>
    </row>
    <row r="172" spans="1:25">
      <c r="A172" s="27"/>
      <c r="B172" s="95"/>
      <c r="C172" s="96"/>
      <c r="D172" s="96"/>
      <c r="E172" s="81"/>
      <c r="F172" s="95"/>
      <c r="G172" s="96"/>
      <c r="H172" s="96"/>
      <c r="I172" s="81"/>
      <c r="J172" s="95"/>
      <c r="K172" s="96"/>
      <c r="L172" s="96"/>
      <c r="M172" s="81"/>
      <c r="N172" s="131"/>
      <c r="O172" s="95"/>
      <c r="P172" s="96"/>
      <c r="Q172" s="81"/>
      <c r="R172" s="132"/>
      <c r="S172" s="95"/>
      <c r="T172" s="96"/>
      <c r="U172" s="81"/>
      <c r="V172" s="132"/>
      <c r="W172" s="146"/>
      <c r="X172" s="147"/>
      <c r="Y172" s="148"/>
    </row>
    <row r="173" spans="1:25">
      <c r="A173" s="27"/>
      <c r="B173" s="95"/>
      <c r="C173" s="96"/>
      <c r="D173" s="96"/>
      <c r="E173" s="81"/>
      <c r="F173" s="95"/>
      <c r="G173" s="96"/>
      <c r="H173" s="96"/>
      <c r="I173" s="81"/>
      <c r="J173" s="95"/>
      <c r="K173" s="96"/>
      <c r="L173" s="96"/>
      <c r="M173" s="81"/>
      <c r="N173" s="131"/>
      <c r="O173" s="95"/>
      <c r="P173" s="96"/>
      <c r="Q173" s="81"/>
      <c r="R173" s="132"/>
      <c r="S173" s="95"/>
      <c r="T173" s="96"/>
      <c r="U173" s="81"/>
      <c r="V173" s="132"/>
      <c r="W173" s="146"/>
      <c r="X173" s="147"/>
      <c r="Y173" s="148"/>
    </row>
    <row r="174" spans="1:25">
      <c r="A174" s="27"/>
      <c r="B174" s="95"/>
      <c r="C174" s="96"/>
      <c r="D174" s="96"/>
      <c r="E174" s="81"/>
      <c r="F174" s="95"/>
      <c r="G174" s="96"/>
      <c r="H174" s="96"/>
      <c r="I174" s="81"/>
      <c r="J174" s="95"/>
      <c r="K174" s="96"/>
      <c r="L174" s="96"/>
      <c r="M174" s="81"/>
      <c r="N174" s="131"/>
      <c r="O174" s="95"/>
      <c r="P174" s="96"/>
      <c r="Q174" s="81"/>
      <c r="R174" s="132"/>
      <c r="S174" s="95"/>
      <c r="T174" s="96"/>
      <c r="U174" s="81"/>
      <c r="V174" s="132"/>
      <c r="W174" s="146"/>
      <c r="X174" s="147"/>
      <c r="Y174" s="148"/>
    </row>
    <row r="175" spans="1:25">
      <c r="A175" s="99"/>
      <c r="B175" s="100"/>
      <c r="C175" s="101"/>
      <c r="D175" s="101"/>
      <c r="E175" s="102"/>
      <c r="F175" s="100"/>
      <c r="G175" s="101"/>
      <c r="H175" s="101"/>
      <c r="I175" s="102"/>
      <c r="J175" s="100"/>
      <c r="K175" s="101"/>
      <c r="L175" s="101"/>
      <c r="M175" s="102"/>
      <c r="N175" s="149"/>
      <c r="O175" s="100"/>
      <c r="P175" s="101"/>
      <c r="Q175" s="102"/>
      <c r="R175" s="150"/>
      <c r="S175" s="100"/>
      <c r="T175" s="101"/>
      <c r="U175" s="102"/>
      <c r="V175" s="150"/>
      <c r="W175" s="151"/>
      <c r="X175" s="152"/>
      <c r="Y175" s="153"/>
    </row>
    <row r="176" spans="1:25">
      <c r="A176" s="27"/>
      <c r="B176" s="95"/>
      <c r="C176" s="96"/>
      <c r="D176" s="96"/>
      <c r="E176" s="81"/>
      <c r="F176" s="95"/>
      <c r="G176" s="96"/>
      <c r="H176" s="96"/>
      <c r="I176" s="81"/>
      <c r="J176" s="95"/>
      <c r="K176" s="96"/>
      <c r="L176" s="96"/>
      <c r="M176" s="81"/>
      <c r="N176" s="131"/>
      <c r="O176" s="95"/>
      <c r="P176" s="96"/>
      <c r="Q176" s="81"/>
      <c r="R176" s="132"/>
      <c r="S176" s="95"/>
      <c r="T176" s="96"/>
      <c r="U176" s="81"/>
      <c r="V176" s="132"/>
      <c r="W176" s="146"/>
      <c r="X176" s="147"/>
      <c r="Y176" s="148"/>
    </row>
    <row r="177" spans="1:25">
      <c r="A177" s="27"/>
      <c r="B177" s="95"/>
      <c r="C177" s="96"/>
      <c r="D177" s="96"/>
      <c r="E177" s="81"/>
      <c r="F177" s="95"/>
      <c r="G177" s="96"/>
      <c r="H177" s="96"/>
      <c r="I177" s="81"/>
      <c r="J177" s="95"/>
      <c r="K177" s="96"/>
      <c r="L177" s="96"/>
      <c r="M177" s="81"/>
      <c r="N177" s="131"/>
      <c r="O177" s="95"/>
      <c r="P177" s="96"/>
      <c r="Q177" s="81"/>
      <c r="R177" s="132"/>
      <c r="S177" s="95"/>
      <c r="T177" s="96"/>
      <c r="U177" s="81"/>
      <c r="V177" s="132"/>
      <c r="W177" s="146"/>
      <c r="X177" s="147"/>
      <c r="Y177" s="148"/>
    </row>
    <row r="178" spans="1:25">
      <c r="A178" s="27"/>
      <c r="B178" s="95"/>
      <c r="C178" s="96"/>
      <c r="D178" s="96"/>
      <c r="E178" s="81"/>
      <c r="F178" s="95"/>
      <c r="G178" s="96"/>
      <c r="H178" s="96"/>
      <c r="I178" s="81"/>
      <c r="J178" s="95"/>
      <c r="K178" s="96"/>
      <c r="L178" s="96"/>
      <c r="M178" s="81"/>
      <c r="N178" s="131"/>
      <c r="O178" s="95"/>
      <c r="P178" s="96"/>
      <c r="Q178" s="81"/>
      <c r="R178" s="132"/>
      <c r="S178" s="95"/>
      <c r="T178" s="96"/>
      <c r="U178" s="81"/>
      <c r="V178" s="132"/>
      <c r="W178" s="146"/>
      <c r="X178" s="147"/>
      <c r="Y178" s="148"/>
    </row>
    <row r="179" spans="1:25">
      <c r="A179" s="27"/>
      <c r="B179" s="95"/>
      <c r="C179" s="96"/>
      <c r="D179" s="96"/>
      <c r="E179" s="81"/>
      <c r="F179" s="95"/>
      <c r="G179" s="96"/>
      <c r="H179" s="96"/>
      <c r="I179" s="81"/>
      <c r="J179" s="95"/>
      <c r="K179" s="96"/>
      <c r="L179" s="96"/>
      <c r="M179" s="81"/>
      <c r="N179" s="131"/>
      <c r="O179" s="95"/>
      <c r="P179" s="96"/>
      <c r="Q179" s="81"/>
      <c r="R179" s="132"/>
      <c r="S179" s="95"/>
      <c r="T179" s="96"/>
      <c r="U179" s="81"/>
      <c r="V179" s="132"/>
      <c r="W179" s="146"/>
      <c r="X179" s="147"/>
      <c r="Y179" s="148"/>
    </row>
    <row r="180" spans="1:25">
      <c r="A180" s="27"/>
      <c r="B180" s="95"/>
      <c r="C180" s="96"/>
      <c r="D180" s="96"/>
      <c r="E180" s="81"/>
      <c r="F180" s="95"/>
      <c r="G180" s="96"/>
      <c r="H180" s="96"/>
      <c r="I180" s="81"/>
      <c r="J180" s="95"/>
      <c r="K180" s="96"/>
      <c r="L180" s="96"/>
      <c r="M180" s="81"/>
      <c r="N180" s="131"/>
      <c r="O180" s="95"/>
      <c r="P180" s="96"/>
      <c r="Q180" s="81"/>
      <c r="R180" s="132"/>
      <c r="S180" s="95"/>
      <c r="T180" s="96"/>
      <c r="U180" s="81"/>
      <c r="V180" s="132"/>
      <c r="W180" s="146"/>
      <c r="X180" s="147"/>
      <c r="Y180" s="148"/>
    </row>
    <row r="181" spans="1:25">
      <c r="A181" s="27"/>
      <c r="B181" s="95"/>
      <c r="C181" s="96"/>
      <c r="D181" s="96"/>
      <c r="E181" s="81"/>
      <c r="F181" s="95"/>
      <c r="G181" s="96"/>
      <c r="H181" s="96"/>
      <c r="I181" s="81"/>
      <c r="J181" s="95"/>
      <c r="K181" s="96"/>
      <c r="L181" s="96"/>
      <c r="M181" s="81"/>
      <c r="N181" s="131"/>
      <c r="O181" s="95"/>
      <c r="P181" s="96"/>
      <c r="Q181" s="81"/>
      <c r="R181" s="132"/>
      <c r="S181" s="95"/>
      <c r="T181" s="96"/>
      <c r="U181" s="81"/>
      <c r="V181" s="132"/>
      <c r="W181" s="146"/>
      <c r="X181" s="147"/>
      <c r="Y181" s="148"/>
    </row>
    <row r="182" spans="1:25">
      <c r="A182" s="27"/>
      <c r="B182" s="95"/>
      <c r="C182" s="96"/>
      <c r="D182" s="96"/>
      <c r="E182" s="81"/>
      <c r="F182" s="95"/>
      <c r="G182" s="96"/>
      <c r="H182" s="96"/>
      <c r="I182" s="81"/>
      <c r="J182" s="95"/>
      <c r="K182" s="96"/>
      <c r="L182" s="96"/>
      <c r="M182" s="81"/>
      <c r="N182" s="131"/>
      <c r="O182" s="95"/>
      <c r="P182" s="96"/>
      <c r="Q182" s="81"/>
      <c r="R182" s="132"/>
      <c r="S182" s="95"/>
      <c r="T182" s="96"/>
      <c r="U182" s="81"/>
      <c r="V182" s="132"/>
      <c r="W182" s="146"/>
      <c r="X182" s="147"/>
      <c r="Y182" s="148"/>
    </row>
    <row r="183" spans="1:25">
      <c r="A183" s="27"/>
      <c r="B183" s="95"/>
      <c r="C183" s="96"/>
      <c r="D183" s="96"/>
      <c r="E183" s="81"/>
      <c r="F183" s="95"/>
      <c r="G183" s="96"/>
      <c r="H183" s="96"/>
      <c r="I183" s="81"/>
      <c r="J183" s="95"/>
      <c r="K183" s="96"/>
      <c r="L183" s="96"/>
      <c r="M183" s="81"/>
      <c r="N183" s="131"/>
      <c r="O183" s="95"/>
      <c r="P183" s="96"/>
      <c r="Q183" s="81"/>
      <c r="R183" s="132"/>
      <c r="S183" s="95"/>
      <c r="T183" s="96"/>
      <c r="U183" s="81"/>
      <c r="V183" s="132"/>
      <c r="W183" s="146"/>
      <c r="X183" s="147"/>
      <c r="Y183" s="148"/>
    </row>
    <row r="184" spans="1:25">
      <c r="A184" s="27"/>
      <c r="B184" s="95"/>
      <c r="C184" s="96"/>
      <c r="D184" s="96"/>
      <c r="E184" s="81"/>
      <c r="F184" s="95"/>
      <c r="G184" s="96"/>
      <c r="H184" s="96"/>
      <c r="I184" s="81"/>
      <c r="J184" s="95"/>
      <c r="K184" s="96"/>
      <c r="L184" s="96"/>
      <c r="M184" s="81"/>
      <c r="N184" s="131"/>
      <c r="O184" s="95"/>
      <c r="P184" s="96"/>
      <c r="Q184" s="81"/>
      <c r="R184" s="132"/>
      <c r="S184" s="95"/>
      <c r="T184" s="96"/>
      <c r="U184" s="81"/>
      <c r="V184" s="132"/>
      <c r="W184" s="146"/>
      <c r="X184" s="147"/>
      <c r="Y184" s="148"/>
    </row>
    <row r="185" spans="1:25">
      <c r="A185" s="27"/>
      <c r="B185" s="95"/>
      <c r="C185" s="96"/>
      <c r="D185" s="96"/>
      <c r="E185" s="81"/>
      <c r="F185" s="95"/>
      <c r="G185" s="96"/>
      <c r="H185" s="96"/>
      <c r="I185" s="81"/>
      <c r="J185" s="95"/>
      <c r="K185" s="96"/>
      <c r="L185" s="96"/>
      <c r="M185" s="81"/>
      <c r="N185" s="131"/>
      <c r="O185" s="95"/>
      <c r="P185" s="96"/>
      <c r="Q185" s="81"/>
      <c r="R185" s="132"/>
      <c r="S185" s="95"/>
      <c r="T185" s="96"/>
      <c r="U185" s="81"/>
      <c r="V185" s="132"/>
      <c r="W185" s="146"/>
      <c r="X185" s="147"/>
      <c r="Y185" s="148"/>
    </row>
    <row r="186" spans="1:25">
      <c r="A186" s="27"/>
      <c r="B186" s="95"/>
      <c r="C186" s="96"/>
      <c r="D186" s="96"/>
      <c r="E186" s="81"/>
      <c r="F186" s="95"/>
      <c r="G186" s="96"/>
      <c r="H186" s="96"/>
      <c r="I186" s="81"/>
      <c r="J186" s="95"/>
      <c r="K186" s="96"/>
      <c r="L186" s="96"/>
      <c r="M186" s="81"/>
      <c r="N186" s="131"/>
      <c r="O186" s="95"/>
      <c r="P186" s="96"/>
      <c r="Q186" s="81"/>
      <c r="R186" s="132"/>
      <c r="S186" s="95"/>
      <c r="T186" s="96"/>
      <c r="U186" s="81"/>
      <c r="V186" s="132"/>
      <c r="W186" s="146"/>
      <c r="X186" s="147"/>
      <c r="Y186" s="148"/>
    </row>
    <row r="187" spans="1:25">
      <c r="A187" s="99"/>
      <c r="B187" s="100"/>
      <c r="C187" s="101"/>
      <c r="D187" s="101"/>
      <c r="E187" s="102"/>
      <c r="F187" s="100"/>
      <c r="G187" s="101"/>
      <c r="H187" s="101"/>
      <c r="I187" s="102"/>
      <c r="J187" s="100"/>
      <c r="K187" s="101"/>
      <c r="L187" s="101"/>
      <c r="M187" s="102"/>
      <c r="N187" s="149"/>
      <c r="O187" s="100"/>
      <c r="P187" s="101"/>
      <c r="Q187" s="102"/>
      <c r="R187" s="150"/>
      <c r="S187" s="100"/>
      <c r="T187" s="101"/>
      <c r="U187" s="102"/>
      <c r="V187" s="150"/>
      <c r="W187" s="151"/>
      <c r="X187" s="152"/>
      <c r="Y187" s="153"/>
    </row>
    <row r="188" spans="1:25">
      <c r="A188" s="27"/>
      <c r="B188" s="95"/>
      <c r="C188" s="96"/>
      <c r="D188" s="96"/>
      <c r="E188" s="81"/>
      <c r="F188" s="95"/>
      <c r="G188" s="96"/>
      <c r="H188" s="96"/>
      <c r="I188" s="81"/>
      <c r="J188" s="95"/>
      <c r="K188" s="96"/>
      <c r="L188" s="96"/>
      <c r="M188" s="81"/>
      <c r="N188" s="131"/>
      <c r="O188" s="95"/>
      <c r="P188" s="96"/>
      <c r="Q188" s="81"/>
      <c r="R188" s="132"/>
      <c r="S188" s="95"/>
      <c r="T188" s="96"/>
      <c r="U188" s="81"/>
      <c r="V188" s="132"/>
      <c r="W188" s="146"/>
      <c r="X188" s="147"/>
      <c r="Y188" s="148"/>
    </row>
    <row r="189" spans="1:25">
      <c r="A189" s="27"/>
      <c r="B189" s="95"/>
      <c r="C189" s="96"/>
      <c r="D189" s="96"/>
      <c r="E189" s="81"/>
      <c r="F189" s="95"/>
      <c r="G189" s="96"/>
      <c r="H189" s="96"/>
      <c r="I189" s="81"/>
      <c r="J189" s="95"/>
      <c r="K189" s="96"/>
      <c r="L189" s="96"/>
      <c r="M189" s="81"/>
      <c r="N189" s="131"/>
      <c r="O189" s="95"/>
      <c r="P189" s="96"/>
      <c r="Q189" s="81"/>
      <c r="R189" s="132"/>
      <c r="S189" s="95"/>
      <c r="T189" s="96"/>
      <c r="U189" s="81"/>
      <c r="V189" s="132"/>
      <c r="W189" s="146"/>
      <c r="X189" s="147"/>
      <c r="Y189" s="148"/>
    </row>
    <row r="190" spans="1:25">
      <c r="A190" s="27"/>
      <c r="B190" s="95"/>
      <c r="C190" s="96"/>
      <c r="D190" s="96"/>
      <c r="E190" s="81"/>
      <c r="F190" s="95"/>
      <c r="G190" s="96"/>
      <c r="H190" s="96"/>
      <c r="I190" s="81"/>
      <c r="J190" s="95"/>
      <c r="K190" s="96"/>
      <c r="L190" s="96"/>
      <c r="M190" s="81"/>
      <c r="N190" s="131"/>
      <c r="O190" s="95"/>
      <c r="P190" s="96"/>
      <c r="Q190" s="81"/>
      <c r="R190" s="132"/>
      <c r="S190" s="95"/>
      <c r="T190" s="96"/>
      <c r="U190" s="81"/>
      <c r="V190" s="132"/>
      <c r="W190" s="146"/>
      <c r="X190" s="147"/>
      <c r="Y190" s="148"/>
    </row>
    <row r="191" spans="1:25">
      <c r="A191" s="27"/>
      <c r="B191" s="95"/>
      <c r="C191" s="96"/>
      <c r="D191" s="96"/>
      <c r="E191" s="81"/>
      <c r="F191" s="95"/>
      <c r="G191" s="96"/>
      <c r="H191" s="96"/>
      <c r="I191" s="81"/>
      <c r="J191" s="95"/>
      <c r="K191" s="96"/>
      <c r="L191" s="96"/>
      <c r="M191" s="81"/>
      <c r="N191" s="131"/>
      <c r="O191" s="95"/>
      <c r="P191" s="96"/>
      <c r="Q191" s="81"/>
      <c r="R191" s="132"/>
      <c r="S191" s="95"/>
      <c r="T191" s="96"/>
      <c r="U191" s="81"/>
      <c r="V191" s="132"/>
      <c r="W191" s="146"/>
      <c r="X191" s="147"/>
      <c r="Y191" s="148"/>
    </row>
    <row r="192" spans="1:25">
      <c r="A192" s="27"/>
      <c r="B192" s="95"/>
      <c r="C192" s="96"/>
      <c r="D192" s="96"/>
      <c r="E192" s="81"/>
      <c r="F192" s="95"/>
      <c r="G192" s="96"/>
      <c r="H192" s="96"/>
      <c r="I192" s="81"/>
      <c r="J192" s="95"/>
      <c r="K192" s="96"/>
      <c r="L192" s="96"/>
      <c r="M192" s="81"/>
      <c r="N192" s="131"/>
      <c r="O192" s="95"/>
      <c r="P192" s="96"/>
      <c r="Q192" s="81"/>
      <c r="R192" s="132"/>
      <c r="S192" s="95"/>
      <c r="T192" s="96"/>
      <c r="U192" s="81"/>
      <c r="V192" s="132"/>
      <c r="W192" s="146"/>
      <c r="X192" s="147"/>
      <c r="Y192" s="148"/>
    </row>
    <row r="193" spans="1:25">
      <c r="A193" s="27"/>
      <c r="B193" s="95"/>
      <c r="C193" s="96"/>
      <c r="D193" s="96"/>
      <c r="E193" s="81"/>
      <c r="F193" s="95"/>
      <c r="G193" s="96"/>
      <c r="H193" s="96"/>
      <c r="I193" s="81"/>
      <c r="J193" s="95"/>
      <c r="K193" s="96"/>
      <c r="L193" s="96"/>
      <c r="M193" s="81"/>
      <c r="N193" s="131"/>
      <c r="O193" s="95"/>
      <c r="P193" s="96"/>
      <c r="Q193" s="81"/>
      <c r="R193" s="132"/>
      <c r="S193" s="95"/>
      <c r="T193" s="96"/>
      <c r="U193" s="81"/>
      <c r="V193" s="132"/>
      <c r="W193" s="146"/>
      <c r="X193" s="147"/>
      <c r="Y193" s="148"/>
    </row>
    <row r="194" spans="1:25">
      <c r="A194" s="27"/>
      <c r="B194" s="95"/>
      <c r="C194" s="96"/>
      <c r="D194" s="96"/>
      <c r="E194" s="81"/>
      <c r="F194" s="95"/>
      <c r="G194" s="96"/>
      <c r="H194" s="96"/>
      <c r="I194" s="81"/>
      <c r="J194" s="95"/>
      <c r="K194" s="96"/>
      <c r="L194" s="96"/>
      <c r="M194" s="81"/>
      <c r="N194" s="131"/>
      <c r="O194" s="95"/>
      <c r="P194" s="96"/>
      <c r="Q194" s="81"/>
      <c r="R194" s="132"/>
      <c r="S194" s="95"/>
      <c r="T194" s="96"/>
      <c r="U194" s="81"/>
      <c r="V194" s="132"/>
      <c r="W194" s="146"/>
      <c r="X194" s="147"/>
      <c r="Y194" s="148"/>
    </row>
    <row r="195" spans="1:25">
      <c r="A195" s="27"/>
      <c r="B195" s="95"/>
      <c r="C195" s="96"/>
      <c r="D195" s="96"/>
      <c r="E195" s="81"/>
      <c r="F195" s="95"/>
      <c r="G195" s="96"/>
      <c r="H195" s="96"/>
      <c r="I195" s="81"/>
      <c r="J195" s="95"/>
      <c r="K195" s="96"/>
      <c r="L195" s="96"/>
      <c r="M195" s="81"/>
      <c r="N195" s="131"/>
      <c r="O195" s="95"/>
      <c r="P195" s="96"/>
      <c r="Q195" s="81"/>
      <c r="R195" s="132"/>
      <c r="S195" s="95"/>
      <c r="T195" s="96"/>
      <c r="U195" s="81"/>
      <c r="V195" s="132"/>
      <c r="W195" s="146"/>
      <c r="X195" s="147"/>
      <c r="Y195" s="148"/>
    </row>
    <row r="196" spans="1:25">
      <c r="A196" s="27"/>
      <c r="B196" s="95"/>
      <c r="C196" s="96"/>
      <c r="D196" s="96"/>
      <c r="E196" s="81"/>
      <c r="F196" s="95"/>
      <c r="G196" s="96"/>
      <c r="H196" s="96"/>
      <c r="I196" s="81"/>
      <c r="J196" s="95"/>
      <c r="K196" s="96"/>
      <c r="L196" s="96"/>
      <c r="M196" s="81"/>
      <c r="N196" s="131"/>
      <c r="O196" s="95"/>
      <c r="P196" s="96"/>
      <c r="Q196" s="81"/>
      <c r="R196" s="132"/>
      <c r="S196" s="95"/>
      <c r="T196" s="96"/>
      <c r="U196" s="81"/>
      <c r="V196" s="132"/>
      <c r="W196" s="146"/>
      <c r="X196" s="147"/>
      <c r="Y196" s="148"/>
    </row>
    <row r="197" spans="1:25">
      <c r="A197" s="27"/>
      <c r="B197" s="95"/>
      <c r="C197" s="96"/>
      <c r="D197" s="96"/>
      <c r="E197" s="81"/>
      <c r="F197" s="95"/>
      <c r="G197" s="96"/>
      <c r="H197" s="96"/>
      <c r="I197" s="81"/>
      <c r="J197" s="95"/>
      <c r="K197" s="96"/>
      <c r="L197" s="96"/>
      <c r="M197" s="81"/>
      <c r="N197" s="131"/>
      <c r="O197" s="95"/>
      <c r="P197" s="96"/>
      <c r="Q197" s="81"/>
      <c r="R197" s="132"/>
      <c r="S197" s="95"/>
      <c r="T197" s="96"/>
      <c r="U197" s="81"/>
      <c r="V197" s="132"/>
      <c r="W197" s="146"/>
      <c r="X197" s="147"/>
      <c r="Y197" s="148"/>
    </row>
    <row r="198" spans="1:25">
      <c r="A198" s="27"/>
      <c r="B198" s="95"/>
      <c r="C198" s="96"/>
      <c r="D198" s="96"/>
      <c r="E198" s="81"/>
      <c r="F198" s="95"/>
      <c r="G198" s="96"/>
      <c r="H198" s="96"/>
      <c r="I198" s="81"/>
      <c r="J198" s="95"/>
      <c r="K198" s="96"/>
      <c r="L198" s="96"/>
      <c r="M198" s="81"/>
      <c r="N198" s="131"/>
      <c r="O198" s="95"/>
      <c r="P198" s="96"/>
      <c r="Q198" s="81"/>
      <c r="R198" s="132"/>
      <c r="S198" s="95"/>
      <c r="T198" s="96"/>
      <c r="U198" s="81"/>
      <c r="V198" s="132"/>
      <c r="W198" s="146"/>
      <c r="X198" s="147"/>
      <c r="Y198" s="148"/>
    </row>
    <row r="199" spans="1:25">
      <c r="A199" s="99"/>
      <c r="B199" s="100"/>
      <c r="C199" s="101"/>
      <c r="D199" s="101"/>
      <c r="E199" s="102"/>
      <c r="F199" s="100"/>
      <c r="G199" s="101"/>
      <c r="H199" s="101"/>
      <c r="I199" s="102"/>
      <c r="J199" s="100"/>
      <c r="K199" s="101"/>
      <c r="L199" s="101"/>
      <c r="M199" s="102"/>
      <c r="N199" s="149"/>
      <c r="O199" s="100"/>
      <c r="P199" s="101"/>
      <c r="Q199" s="102"/>
      <c r="R199" s="150"/>
      <c r="S199" s="100"/>
      <c r="T199" s="101"/>
      <c r="U199" s="102"/>
      <c r="V199" s="150"/>
      <c r="W199" s="151"/>
      <c r="X199" s="152"/>
      <c r="Y199" s="153"/>
    </row>
    <row r="200" spans="1:25">
      <c r="A200" s="27"/>
      <c r="B200" s="95"/>
      <c r="C200" s="96"/>
      <c r="D200" s="96"/>
      <c r="E200" s="81"/>
      <c r="F200" s="95"/>
      <c r="G200" s="96"/>
      <c r="H200" s="96"/>
      <c r="I200" s="81"/>
      <c r="J200" s="95"/>
      <c r="K200" s="96"/>
      <c r="L200" s="96"/>
      <c r="M200" s="81"/>
      <c r="N200" s="131"/>
      <c r="O200" s="95"/>
      <c r="P200" s="96"/>
      <c r="Q200" s="81"/>
      <c r="R200" s="132"/>
      <c r="S200" s="95"/>
      <c r="T200" s="96"/>
      <c r="U200" s="81"/>
      <c r="V200" s="132"/>
      <c r="W200" s="146"/>
      <c r="X200" s="147"/>
      <c r="Y200" s="148"/>
    </row>
    <row r="201" spans="1:25">
      <c r="A201" s="27"/>
      <c r="B201" s="95"/>
      <c r="C201" s="96"/>
      <c r="D201" s="96"/>
      <c r="E201" s="81"/>
      <c r="F201" s="95"/>
      <c r="G201" s="96"/>
      <c r="H201" s="96"/>
      <c r="I201" s="81"/>
      <c r="J201" s="95"/>
      <c r="K201" s="96"/>
      <c r="L201" s="96"/>
      <c r="M201" s="81"/>
      <c r="N201" s="131"/>
      <c r="O201" s="95"/>
      <c r="P201" s="96"/>
      <c r="Q201" s="81"/>
      <c r="R201" s="132"/>
      <c r="S201" s="95"/>
      <c r="T201" s="96"/>
      <c r="U201" s="81"/>
      <c r="V201" s="132"/>
      <c r="W201" s="146"/>
      <c r="X201" s="147"/>
      <c r="Y201" s="148"/>
    </row>
    <row r="202" spans="1:25">
      <c r="A202" s="27"/>
      <c r="B202" s="95"/>
      <c r="C202" s="96"/>
      <c r="D202" s="96"/>
      <c r="E202" s="81"/>
      <c r="F202" s="95"/>
      <c r="G202" s="96"/>
      <c r="H202" s="96"/>
      <c r="I202" s="81"/>
      <c r="J202" s="95"/>
      <c r="K202" s="96"/>
      <c r="L202" s="96"/>
      <c r="M202" s="81"/>
      <c r="N202" s="131"/>
      <c r="O202" s="95"/>
      <c r="P202" s="96"/>
      <c r="Q202" s="81"/>
      <c r="R202" s="132"/>
      <c r="S202" s="95"/>
      <c r="T202" s="96"/>
      <c r="U202" s="81"/>
      <c r="V202" s="132"/>
      <c r="W202" s="146"/>
      <c r="X202" s="147"/>
      <c r="Y202" s="148"/>
    </row>
    <row r="203" spans="1:25">
      <c r="A203" s="27"/>
      <c r="B203" s="95"/>
      <c r="C203" s="96"/>
      <c r="D203" s="96"/>
      <c r="E203" s="81"/>
      <c r="F203" s="95"/>
      <c r="G203" s="96"/>
      <c r="H203" s="96"/>
      <c r="I203" s="81"/>
      <c r="J203" s="95"/>
      <c r="K203" s="96"/>
      <c r="L203" s="96"/>
      <c r="M203" s="81"/>
      <c r="N203" s="131"/>
      <c r="O203" s="95"/>
      <c r="P203" s="96"/>
      <c r="Q203" s="81"/>
      <c r="R203" s="132"/>
      <c r="S203" s="95"/>
      <c r="T203" s="96"/>
      <c r="U203" s="81"/>
      <c r="V203" s="132"/>
      <c r="W203" s="146"/>
      <c r="X203" s="147"/>
      <c r="Y203" s="148"/>
    </row>
    <row r="204" spans="1:25">
      <c r="A204" s="27"/>
      <c r="B204" s="95"/>
      <c r="C204" s="96"/>
      <c r="D204" s="96"/>
      <c r="E204" s="81"/>
      <c r="F204" s="95"/>
      <c r="G204" s="96"/>
      <c r="H204" s="96"/>
      <c r="I204" s="81"/>
      <c r="J204" s="95"/>
      <c r="K204" s="96"/>
      <c r="L204" s="96"/>
      <c r="M204" s="81"/>
      <c r="N204" s="131"/>
      <c r="O204" s="95"/>
      <c r="P204" s="96"/>
      <c r="Q204" s="81"/>
      <c r="R204" s="132"/>
      <c r="S204" s="95"/>
      <c r="T204" s="96"/>
      <c r="U204" s="81"/>
      <c r="V204" s="132"/>
      <c r="W204" s="146"/>
      <c r="X204" s="147"/>
      <c r="Y204" s="148"/>
    </row>
    <row r="205" spans="1:25">
      <c r="A205" s="27"/>
      <c r="B205" s="95"/>
      <c r="C205" s="96"/>
      <c r="D205" s="96"/>
      <c r="E205" s="81"/>
      <c r="F205" s="95"/>
      <c r="G205" s="96"/>
      <c r="H205" s="96"/>
      <c r="I205" s="81"/>
      <c r="J205" s="95"/>
      <c r="K205" s="96"/>
      <c r="L205" s="96"/>
      <c r="M205" s="81"/>
      <c r="N205" s="131"/>
      <c r="O205" s="95"/>
      <c r="P205" s="96"/>
      <c r="Q205" s="81"/>
      <c r="R205" s="132"/>
      <c r="S205" s="95"/>
      <c r="T205" s="96"/>
      <c r="U205" s="81"/>
      <c r="V205" s="132"/>
      <c r="W205" s="146"/>
      <c r="X205" s="147"/>
      <c r="Y205" s="148"/>
    </row>
    <row r="206" spans="1:25">
      <c r="A206" s="27"/>
      <c r="B206" s="95"/>
      <c r="C206" s="96"/>
      <c r="D206" s="96"/>
      <c r="E206" s="81"/>
      <c r="F206" s="95"/>
      <c r="G206" s="96"/>
      <c r="H206" s="96"/>
      <c r="I206" s="81"/>
      <c r="J206" s="95"/>
      <c r="K206" s="96"/>
      <c r="L206" s="96"/>
      <c r="M206" s="81"/>
      <c r="N206" s="131"/>
      <c r="O206" s="95"/>
      <c r="P206" s="96"/>
      <c r="Q206" s="81"/>
      <c r="R206" s="132"/>
      <c r="S206" s="95"/>
      <c r="T206" s="96"/>
      <c r="U206" s="81"/>
      <c r="V206" s="132"/>
      <c r="W206" s="146"/>
      <c r="X206" s="147"/>
      <c r="Y206" s="148"/>
    </row>
    <row r="207" spans="1:25">
      <c r="A207" s="27"/>
      <c r="B207" s="95"/>
      <c r="C207" s="96"/>
      <c r="D207" s="96"/>
      <c r="E207" s="81"/>
      <c r="F207" s="95"/>
      <c r="G207" s="96"/>
      <c r="H207" s="96"/>
      <c r="I207" s="81"/>
      <c r="J207" s="95"/>
      <c r="K207" s="96"/>
      <c r="L207" s="96"/>
      <c r="M207" s="81"/>
      <c r="N207" s="131"/>
      <c r="O207" s="95"/>
      <c r="P207" s="96"/>
      <c r="Q207" s="81"/>
      <c r="R207" s="132"/>
      <c r="S207" s="95"/>
      <c r="T207" s="96"/>
      <c r="U207" s="81"/>
      <c r="V207" s="132"/>
      <c r="W207" s="146"/>
      <c r="X207" s="147"/>
      <c r="Y207" s="148"/>
    </row>
    <row r="208" spans="1:25">
      <c r="A208" s="27"/>
      <c r="B208" s="95"/>
      <c r="C208" s="96"/>
      <c r="D208" s="96"/>
      <c r="E208" s="81"/>
      <c r="F208" s="95"/>
      <c r="G208" s="96"/>
      <c r="H208" s="96"/>
      <c r="I208" s="81"/>
      <c r="J208" s="95"/>
      <c r="K208" s="96"/>
      <c r="L208" s="96"/>
      <c r="M208" s="81"/>
      <c r="N208" s="131"/>
      <c r="O208" s="95"/>
      <c r="P208" s="96"/>
      <c r="Q208" s="81"/>
      <c r="R208" s="132"/>
      <c r="S208" s="95"/>
      <c r="T208" s="96"/>
      <c r="U208" s="81"/>
      <c r="V208" s="132"/>
      <c r="W208" s="146"/>
      <c r="X208" s="147"/>
      <c r="Y208" s="148"/>
    </row>
    <row r="209" spans="1:25">
      <c r="A209" s="27"/>
      <c r="B209" s="95"/>
      <c r="C209" s="96"/>
      <c r="D209" s="96"/>
      <c r="E209" s="81"/>
      <c r="F209" s="95"/>
      <c r="G209" s="96"/>
      <c r="H209" s="96"/>
      <c r="I209" s="81"/>
      <c r="J209" s="95"/>
      <c r="K209" s="96"/>
      <c r="L209" s="96"/>
      <c r="M209" s="81"/>
      <c r="N209" s="131"/>
      <c r="O209" s="95"/>
      <c r="P209" s="96"/>
      <c r="Q209" s="81"/>
      <c r="R209" s="132"/>
      <c r="S209" s="95"/>
      <c r="T209" s="96"/>
      <c r="U209" s="81"/>
      <c r="V209" s="132"/>
      <c r="W209" s="146"/>
      <c r="X209" s="147"/>
      <c r="Y209" s="148"/>
    </row>
    <row r="210" spans="1:25">
      <c r="A210" s="27"/>
      <c r="B210" s="95"/>
      <c r="C210" s="96"/>
      <c r="D210" s="96"/>
      <c r="E210" s="81"/>
      <c r="F210" s="95"/>
      <c r="G210" s="96"/>
      <c r="H210" s="96"/>
      <c r="I210" s="81"/>
      <c r="J210" s="95"/>
      <c r="K210" s="96"/>
      <c r="L210" s="96"/>
      <c r="M210" s="81"/>
      <c r="N210" s="131"/>
      <c r="O210" s="95"/>
      <c r="P210" s="96"/>
      <c r="Q210" s="81"/>
      <c r="R210" s="132"/>
      <c r="S210" s="95"/>
      <c r="T210" s="96"/>
      <c r="U210" s="81"/>
      <c r="V210" s="132"/>
      <c r="W210" s="146"/>
      <c r="X210" s="147"/>
      <c r="Y210" s="148"/>
    </row>
    <row r="211" spans="1:25">
      <c r="A211" s="99"/>
      <c r="B211" s="100"/>
      <c r="C211" s="101"/>
      <c r="D211" s="101"/>
      <c r="E211" s="102"/>
      <c r="F211" s="100"/>
      <c r="G211" s="101"/>
      <c r="H211" s="101"/>
      <c r="I211" s="102"/>
      <c r="J211" s="100"/>
      <c r="K211" s="101"/>
      <c r="L211" s="101"/>
      <c r="M211" s="102"/>
      <c r="N211" s="149"/>
      <c r="O211" s="100"/>
      <c r="P211" s="101"/>
      <c r="Q211" s="102"/>
      <c r="R211" s="150"/>
      <c r="S211" s="100"/>
      <c r="T211" s="101"/>
      <c r="U211" s="102"/>
      <c r="V211" s="150"/>
      <c r="W211" s="151"/>
      <c r="X211" s="152"/>
      <c r="Y211" s="153"/>
    </row>
    <row r="212" spans="1:25">
      <c r="A212" s="27"/>
      <c r="B212" s="95"/>
      <c r="C212" s="96"/>
      <c r="D212" s="96"/>
      <c r="E212" s="81"/>
      <c r="F212" s="95"/>
      <c r="G212" s="96"/>
      <c r="H212" s="96"/>
      <c r="I212" s="81"/>
      <c r="J212" s="95"/>
      <c r="K212" s="96"/>
      <c r="L212" s="96"/>
      <c r="M212" s="81"/>
      <c r="N212" s="131"/>
      <c r="O212" s="95"/>
      <c r="P212" s="96"/>
      <c r="Q212" s="81"/>
      <c r="R212" s="132"/>
      <c r="S212" s="95"/>
      <c r="T212" s="96"/>
      <c r="U212" s="81"/>
      <c r="V212" s="132"/>
      <c r="W212" s="146"/>
      <c r="X212" s="147"/>
      <c r="Y212" s="148"/>
    </row>
    <row r="213" spans="1:25">
      <c r="A213" s="27"/>
      <c r="B213" s="95"/>
      <c r="C213" s="96"/>
      <c r="D213" s="96"/>
      <c r="E213" s="81"/>
      <c r="F213" s="95"/>
      <c r="G213" s="96"/>
      <c r="H213" s="96"/>
      <c r="I213" s="81"/>
      <c r="J213" s="95"/>
      <c r="K213" s="96"/>
      <c r="L213" s="96"/>
      <c r="M213" s="81"/>
      <c r="N213" s="131"/>
      <c r="O213" s="95"/>
      <c r="P213" s="96"/>
      <c r="Q213" s="81"/>
      <c r="R213" s="132"/>
      <c r="S213" s="95"/>
      <c r="T213" s="96"/>
      <c r="U213" s="81"/>
      <c r="V213" s="132"/>
      <c r="W213" s="146"/>
      <c r="X213" s="147"/>
      <c r="Y213" s="148"/>
    </row>
    <row r="214" spans="1:25">
      <c r="A214" s="27"/>
      <c r="B214" s="95"/>
      <c r="C214" s="96"/>
      <c r="D214" s="96"/>
      <c r="E214" s="81"/>
      <c r="F214" s="95"/>
      <c r="G214" s="96"/>
      <c r="H214" s="96"/>
      <c r="I214" s="81"/>
      <c r="J214" s="95"/>
      <c r="K214" s="96"/>
      <c r="L214" s="96"/>
      <c r="M214" s="81"/>
      <c r="N214" s="131"/>
      <c r="O214" s="95"/>
      <c r="P214" s="96"/>
      <c r="Q214" s="81"/>
      <c r="R214" s="132"/>
      <c r="S214" s="95"/>
      <c r="T214" s="96"/>
      <c r="U214" s="81"/>
      <c r="V214" s="132"/>
      <c r="W214" s="146"/>
      <c r="X214" s="147"/>
      <c r="Y214" s="148"/>
    </row>
    <row r="215" spans="1:25">
      <c r="A215" s="27"/>
      <c r="B215" s="95"/>
      <c r="C215" s="96"/>
      <c r="D215" s="96"/>
      <c r="E215" s="81"/>
      <c r="F215" s="95"/>
      <c r="G215" s="96"/>
      <c r="H215" s="96"/>
      <c r="I215" s="81"/>
      <c r="J215" s="95"/>
      <c r="K215" s="96"/>
      <c r="L215" s="96"/>
      <c r="M215" s="81"/>
      <c r="N215" s="131"/>
      <c r="O215" s="95"/>
      <c r="P215" s="96"/>
      <c r="Q215" s="81"/>
      <c r="R215" s="132"/>
      <c r="S215" s="95"/>
      <c r="T215" s="96"/>
      <c r="U215" s="81"/>
      <c r="V215" s="132"/>
      <c r="W215" s="146"/>
      <c r="X215" s="147"/>
      <c r="Y215" s="148"/>
    </row>
    <row r="216" spans="1:25">
      <c r="A216" s="27"/>
      <c r="B216" s="95"/>
      <c r="C216" s="96"/>
      <c r="D216" s="96"/>
      <c r="E216" s="81"/>
      <c r="F216" s="95"/>
      <c r="G216" s="96"/>
      <c r="H216" s="96"/>
      <c r="I216" s="81"/>
      <c r="J216" s="95"/>
      <c r="K216" s="96"/>
      <c r="L216" s="96"/>
      <c r="M216" s="81"/>
      <c r="N216" s="131"/>
      <c r="O216" s="95"/>
      <c r="P216" s="96"/>
      <c r="Q216" s="81"/>
      <c r="R216" s="132"/>
      <c r="S216" s="95"/>
      <c r="T216" s="96"/>
      <c r="U216" s="81"/>
      <c r="V216" s="132"/>
      <c r="W216" s="146"/>
      <c r="X216" s="147"/>
      <c r="Y216" s="148"/>
    </row>
    <row r="217" spans="1:25">
      <c r="A217" s="27"/>
      <c r="B217" s="95"/>
      <c r="C217" s="96"/>
      <c r="D217" s="96"/>
      <c r="E217" s="81"/>
      <c r="F217" s="95"/>
      <c r="G217" s="96"/>
      <c r="H217" s="96"/>
      <c r="I217" s="81"/>
      <c r="J217" s="95"/>
      <c r="K217" s="96"/>
      <c r="L217" s="96"/>
      <c r="M217" s="81"/>
      <c r="N217" s="131"/>
      <c r="O217" s="95"/>
      <c r="P217" s="96"/>
      <c r="Q217" s="81"/>
      <c r="R217" s="132"/>
      <c r="S217" s="95"/>
      <c r="T217" s="96"/>
      <c r="U217" s="81"/>
      <c r="V217" s="132"/>
      <c r="W217" s="146"/>
      <c r="X217" s="147"/>
      <c r="Y217" s="148"/>
    </row>
    <row r="218" spans="1:25">
      <c r="A218" s="27"/>
      <c r="B218" s="95"/>
      <c r="C218" s="96"/>
      <c r="D218" s="96"/>
      <c r="E218" s="81"/>
      <c r="F218" s="95"/>
      <c r="G218" s="96"/>
      <c r="H218" s="96"/>
      <c r="I218" s="81"/>
      <c r="J218" s="95"/>
      <c r="K218" s="96"/>
      <c r="L218" s="96"/>
      <c r="M218" s="81"/>
      <c r="N218" s="131"/>
      <c r="O218" s="95"/>
      <c r="P218" s="96"/>
      <c r="Q218" s="81"/>
      <c r="R218" s="132"/>
      <c r="S218" s="95"/>
      <c r="T218" s="96"/>
      <c r="U218" s="81"/>
      <c r="V218" s="132"/>
      <c r="W218" s="146"/>
      <c r="X218" s="147"/>
      <c r="Y218" s="148"/>
    </row>
    <row r="219" spans="1:25">
      <c r="A219" s="27"/>
      <c r="B219" s="95"/>
      <c r="C219" s="96"/>
      <c r="D219" s="96"/>
      <c r="E219" s="81"/>
      <c r="F219" s="95"/>
      <c r="G219" s="96"/>
      <c r="H219" s="96"/>
      <c r="I219" s="81"/>
      <c r="J219" s="95"/>
      <c r="K219" s="96"/>
      <c r="L219" s="96"/>
      <c r="M219" s="81"/>
      <c r="N219" s="131"/>
      <c r="O219" s="95"/>
      <c r="P219" s="96"/>
      <c r="Q219" s="81"/>
      <c r="R219" s="132"/>
      <c r="S219" s="95"/>
      <c r="T219" s="96"/>
      <c r="U219" s="81"/>
      <c r="V219" s="132"/>
      <c r="W219" s="146"/>
      <c r="X219" s="147"/>
      <c r="Y219" s="148"/>
    </row>
    <row r="220" spans="1:25">
      <c r="A220" s="27"/>
      <c r="B220" s="95"/>
      <c r="C220" s="96"/>
      <c r="D220" s="96"/>
      <c r="E220" s="81"/>
      <c r="F220" s="95"/>
      <c r="G220" s="96"/>
      <c r="H220" s="96"/>
      <c r="I220" s="81"/>
      <c r="J220" s="95"/>
      <c r="K220" s="96"/>
      <c r="L220" s="96"/>
      <c r="M220" s="81"/>
      <c r="N220" s="131"/>
      <c r="O220" s="95"/>
      <c r="P220" s="96"/>
      <c r="Q220" s="81"/>
      <c r="R220" s="132"/>
      <c r="S220" s="95"/>
      <c r="T220" s="96"/>
      <c r="U220" s="81"/>
      <c r="V220" s="132"/>
      <c r="W220" s="146"/>
      <c r="X220" s="147"/>
      <c r="Y220" s="148"/>
    </row>
    <row r="221" spans="1:25">
      <c r="A221" s="27"/>
      <c r="B221" s="95"/>
      <c r="C221" s="96"/>
      <c r="D221" s="96"/>
      <c r="E221" s="81"/>
      <c r="F221" s="95"/>
      <c r="G221" s="96"/>
      <c r="H221" s="96"/>
      <c r="I221" s="81"/>
      <c r="J221" s="95"/>
      <c r="K221" s="96"/>
      <c r="L221" s="96"/>
      <c r="M221" s="81"/>
      <c r="N221" s="131"/>
      <c r="O221" s="95"/>
      <c r="P221" s="96"/>
      <c r="Q221" s="81"/>
      <c r="R221" s="132"/>
      <c r="S221" s="95"/>
      <c r="T221" s="96"/>
      <c r="U221" s="81"/>
      <c r="V221" s="132"/>
      <c r="W221" s="146"/>
      <c r="X221" s="147"/>
      <c r="Y221" s="148"/>
    </row>
    <row r="222" spans="1:25">
      <c r="A222" s="27"/>
      <c r="B222" s="95"/>
      <c r="C222" s="96"/>
      <c r="D222" s="96"/>
      <c r="E222" s="81"/>
      <c r="F222" s="95"/>
      <c r="G222" s="96"/>
      <c r="H222" s="96"/>
      <c r="I222" s="81"/>
      <c r="J222" s="95"/>
      <c r="K222" s="96"/>
      <c r="L222" s="96"/>
      <c r="M222" s="81"/>
      <c r="N222" s="131"/>
      <c r="O222" s="95"/>
      <c r="P222" s="96"/>
      <c r="Q222" s="81"/>
      <c r="R222" s="132"/>
      <c r="S222" s="95"/>
      <c r="T222" s="96"/>
      <c r="U222" s="81"/>
      <c r="V222" s="132"/>
      <c r="W222" s="146"/>
      <c r="X222" s="147"/>
      <c r="Y222" s="148"/>
    </row>
    <row r="223" spans="1:25">
      <c r="A223" s="99"/>
      <c r="B223" s="100"/>
      <c r="C223" s="101"/>
      <c r="D223" s="101"/>
      <c r="E223" s="102"/>
      <c r="F223" s="100"/>
      <c r="G223" s="101"/>
      <c r="H223" s="101"/>
      <c r="I223" s="102"/>
      <c r="J223" s="100"/>
      <c r="K223" s="101"/>
      <c r="L223" s="101"/>
      <c r="M223" s="102"/>
      <c r="N223" s="149"/>
      <c r="O223" s="95"/>
      <c r="P223" s="96"/>
      <c r="Q223" s="81"/>
      <c r="R223" s="132"/>
      <c r="S223" s="95"/>
      <c r="T223" s="96"/>
      <c r="U223" s="81"/>
      <c r="V223" s="132"/>
      <c r="W223" s="146"/>
      <c r="X223" s="147"/>
      <c r="Y223" s="148"/>
    </row>
    <row r="224" spans="1:25">
      <c r="A224" s="27"/>
      <c r="B224" s="95"/>
      <c r="C224" s="96"/>
      <c r="D224" s="96"/>
      <c r="E224" s="81"/>
      <c r="F224" s="95"/>
      <c r="G224" s="96"/>
      <c r="H224" s="96"/>
      <c r="I224" s="81"/>
      <c r="J224" s="95"/>
      <c r="K224" s="96"/>
      <c r="L224" s="96"/>
      <c r="M224" s="81"/>
      <c r="N224" s="131"/>
      <c r="O224" s="95"/>
      <c r="P224" s="96"/>
      <c r="Q224" s="81"/>
      <c r="R224" s="132"/>
      <c r="S224" s="95"/>
      <c r="T224" s="96"/>
      <c r="U224" s="81"/>
      <c r="V224" s="132"/>
      <c r="W224" s="146"/>
      <c r="X224" s="147"/>
      <c r="Y224" s="148"/>
    </row>
    <row r="225" spans="1:14">
      <c r="A225" s="27"/>
      <c r="B225" s="95"/>
      <c r="C225" s="96"/>
      <c r="D225" s="96"/>
      <c r="E225" s="81"/>
      <c r="F225" s="95"/>
      <c r="G225" s="96"/>
      <c r="H225" s="96"/>
      <c r="I225" s="81"/>
      <c r="J225" s="95"/>
      <c r="K225" s="96"/>
      <c r="L225" s="96"/>
      <c r="M225" s="81"/>
      <c r="N225" s="131"/>
    </row>
    <row r="226" spans="1:14">
      <c r="A226" s="27"/>
      <c r="B226" s="95"/>
      <c r="C226" s="96"/>
      <c r="D226" s="96"/>
      <c r="E226" s="81"/>
      <c r="F226" s="95"/>
      <c r="G226" s="96"/>
      <c r="H226" s="96"/>
      <c r="I226" s="81"/>
      <c r="J226" s="95"/>
      <c r="K226" s="96"/>
      <c r="L226" s="96"/>
      <c r="M226" s="81"/>
      <c r="N226" s="131"/>
    </row>
    <row r="227" spans="1:14">
      <c r="A227" s="27"/>
      <c r="B227" s="95"/>
      <c r="C227" s="96"/>
      <c r="D227" s="96"/>
      <c r="E227" s="81"/>
      <c r="F227" s="95"/>
      <c r="G227" s="96"/>
      <c r="H227" s="96"/>
      <c r="I227" s="81"/>
      <c r="J227" s="95"/>
      <c r="K227" s="96"/>
      <c r="L227" s="96"/>
      <c r="M227" s="81"/>
      <c r="N227" s="131"/>
    </row>
    <row r="228" spans="1:14">
      <c r="A228" s="27"/>
      <c r="B228" s="95"/>
      <c r="C228" s="96"/>
      <c r="D228" s="96"/>
      <c r="E228" s="81"/>
      <c r="F228" s="95"/>
      <c r="G228" s="96"/>
      <c r="H228" s="96"/>
      <c r="I228" s="81"/>
      <c r="J228" s="95"/>
      <c r="K228" s="96"/>
      <c r="L228" s="96"/>
      <c r="M228" s="81"/>
      <c r="N228" s="131"/>
    </row>
    <row r="229" spans="1:14">
      <c r="A229" s="27"/>
      <c r="B229" s="95"/>
      <c r="C229" s="96"/>
      <c r="D229" s="96"/>
      <c r="E229" s="81"/>
      <c r="F229" s="95"/>
      <c r="G229" s="96"/>
      <c r="H229" s="96"/>
      <c r="I229" s="81"/>
      <c r="J229" s="95"/>
      <c r="K229" s="96"/>
      <c r="L229" s="96"/>
      <c r="M229" s="81"/>
      <c r="N229" s="131"/>
    </row>
    <row r="230" spans="1:14">
      <c r="A230" s="27"/>
      <c r="B230" s="95"/>
      <c r="C230" s="96"/>
      <c r="D230" s="96"/>
      <c r="E230" s="81"/>
      <c r="F230" s="95"/>
      <c r="G230" s="96"/>
      <c r="H230" s="96"/>
      <c r="I230" s="81"/>
      <c r="J230" s="95"/>
      <c r="K230" s="96"/>
      <c r="L230" s="96"/>
      <c r="M230" s="81"/>
      <c r="N230" s="131"/>
    </row>
    <row r="231" spans="1:14">
      <c r="A231" s="27"/>
      <c r="B231" s="95"/>
      <c r="C231" s="96"/>
      <c r="D231" s="96"/>
      <c r="E231" s="81"/>
      <c r="F231" s="95"/>
      <c r="G231" s="96"/>
      <c r="H231" s="96"/>
      <c r="I231" s="81"/>
      <c r="J231" s="95"/>
      <c r="K231" s="96"/>
      <c r="L231" s="96"/>
      <c r="M231" s="81"/>
      <c r="N231" s="131"/>
    </row>
    <row r="232" spans="1:14">
      <c r="A232" s="27"/>
      <c r="B232" s="95"/>
      <c r="C232" s="96"/>
      <c r="D232" s="96"/>
      <c r="E232" s="81"/>
      <c r="F232" s="95"/>
      <c r="G232" s="96"/>
      <c r="H232" s="96"/>
      <c r="I232" s="81"/>
      <c r="J232" s="95"/>
      <c r="K232" s="96"/>
      <c r="L232" s="96"/>
      <c r="M232" s="81"/>
      <c r="N232" s="131"/>
    </row>
    <row r="233" spans="1:14">
      <c r="A233" s="27"/>
      <c r="B233" s="95"/>
      <c r="C233" s="96"/>
      <c r="D233" s="96"/>
      <c r="E233" s="81"/>
      <c r="F233" s="95"/>
      <c r="G233" s="96"/>
      <c r="H233" s="96"/>
      <c r="I233" s="81"/>
      <c r="J233" s="95"/>
      <c r="K233" s="96"/>
      <c r="L233" s="96"/>
      <c r="M233" s="81"/>
      <c r="N233" s="131"/>
    </row>
    <row r="234" spans="1:14">
      <c r="A234" s="27"/>
      <c r="B234" s="95"/>
      <c r="C234" s="96"/>
      <c r="D234" s="96"/>
      <c r="E234" s="81"/>
      <c r="F234" s="95"/>
      <c r="G234" s="96"/>
      <c r="H234" s="96"/>
      <c r="I234" s="81"/>
      <c r="J234" s="95"/>
      <c r="K234" s="96"/>
      <c r="L234" s="96"/>
      <c r="M234" s="81"/>
      <c r="N234" s="131"/>
    </row>
    <row r="235" spans="1:14">
      <c r="A235" s="99"/>
      <c r="B235" s="100"/>
      <c r="C235" s="101"/>
      <c r="D235" s="101"/>
      <c r="E235" s="102"/>
      <c r="F235" s="100"/>
      <c r="G235" s="101"/>
      <c r="H235" s="101"/>
      <c r="I235" s="102"/>
      <c r="J235" s="100"/>
      <c r="K235" s="101"/>
      <c r="L235" s="101"/>
      <c r="M235" s="102"/>
      <c r="N235" s="149"/>
    </row>
    <row r="236" spans="1:14">
      <c r="A236" s="27"/>
      <c r="B236" s="95"/>
      <c r="C236" s="96"/>
      <c r="D236" s="96"/>
      <c r="E236" s="81"/>
      <c r="F236" s="95"/>
      <c r="G236" s="96"/>
      <c r="H236" s="96"/>
      <c r="I236" s="81"/>
      <c r="J236" s="95"/>
      <c r="K236" s="96"/>
      <c r="L236" s="96"/>
      <c r="M236" s="81"/>
      <c r="N236" s="131"/>
    </row>
    <row r="237" spans="1:14">
      <c r="A237" s="27"/>
      <c r="B237" s="95"/>
      <c r="C237" s="96"/>
      <c r="D237" s="96"/>
      <c r="E237" s="81"/>
      <c r="F237" s="95"/>
      <c r="G237" s="96"/>
      <c r="H237" s="96"/>
      <c r="I237" s="81"/>
      <c r="J237" s="95"/>
      <c r="K237" s="96"/>
      <c r="L237" s="96"/>
      <c r="M237" s="81"/>
      <c r="N237" s="131"/>
    </row>
    <row r="238" spans="1:14">
      <c r="A238" s="27"/>
      <c r="B238" s="95"/>
      <c r="C238" s="96"/>
      <c r="D238" s="96"/>
      <c r="E238" s="81"/>
      <c r="F238" s="95"/>
      <c r="G238" s="96"/>
      <c r="H238" s="96"/>
      <c r="I238" s="81"/>
      <c r="J238" s="95"/>
      <c r="K238" s="96"/>
      <c r="L238" s="96"/>
      <c r="M238" s="81"/>
      <c r="N238" s="131"/>
    </row>
    <row r="239" spans="1:14">
      <c r="A239" s="27"/>
      <c r="B239" s="95"/>
      <c r="C239" s="96"/>
      <c r="D239" s="96"/>
      <c r="E239" s="81"/>
      <c r="F239" s="95"/>
      <c r="G239" s="96"/>
      <c r="H239" s="96"/>
      <c r="I239" s="81"/>
      <c r="J239" s="95"/>
      <c r="K239" s="96"/>
      <c r="L239" s="96"/>
      <c r="M239" s="81"/>
      <c r="N239" s="131"/>
    </row>
    <row r="240" spans="1:14">
      <c r="A240" s="27"/>
      <c r="B240" s="95"/>
      <c r="C240" s="96"/>
      <c r="D240" s="96"/>
      <c r="E240" s="81"/>
      <c r="F240" s="95"/>
      <c r="G240" s="96"/>
      <c r="H240" s="96"/>
      <c r="I240" s="81"/>
      <c r="J240" s="95"/>
      <c r="K240" s="96"/>
      <c r="L240" s="96"/>
      <c r="M240" s="81"/>
      <c r="N240" s="131"/>
    </row>
    <row r="241" spans="1:14">
      <c r="A241" s="27"/>
      <c r="B241" s="95"/>
      <c r="C241" s="96"/>
      <c r="D241" s="96"/>
      <c r="E241" s="81"/>
      <c r="F241" s="95"/>
      <c r="G241" s="96"/>
      <c r="H241" s="96"/>
      <c r="I241" s="81"/>
      <c r="J241" s="95"/>
      <c r="K241" s="96"/>
      <c r="L241" s="96"/>
      <c r="M241" s="81"/>
      <c r="N241" s="131"/>
    </row>
    <row r="242" spans="1:14">
      <c r="A242" s="27"/>
      <c r="B242" s="95"/>
      <c r="C242" s="96"/>
      <c r="D242" s="96"/>
      <c r="E242" s="81"/>
      <c r="F242" s="95"/>
      <c r="G242" s="96"/>
      <c r="H242" s="96"/>
      <c r="I242" s="81"/>
      <c r="J242" s="95"/>
      <c r="K242" s="96"/>
      <c r="L242" s="96"/>
      <c r="M242" s="81"/>
      <c r="N242" s="131"/>
    </row>
    <row r="243" spans="1:14">
      <c r="A243" s="27"/>
      <c r="B243" s="95"/>
      <c r="C243" s="96"/>
      <c r="D243" s="96"/>
      <c r="E243" s="81"/>
      <c r="F243" s="95"/>
      <c r="G243" s="96"/>
      <c r="H243" s="96"/>
      <c r="I243" s="81"/>
      <c r="J243" s="95"/>
      <c r="K243" s="96"/>
      <c r="L243" s="96"/>
      <c r="M243" s="81"/>
      <c r="N243" s="131"/>
    </row>
    <row r="244" spans="1:14">
      <c r="A244" s="27"/>
      <c r="B244" s="95"/>
      <c r="C244" s="96"/>
      <c r="D244" s="96"/>
      <c r="E244" s="81"/>
      <c r="F244" s="95"/>
      <c r="G244" s="96"/>
      <c r="H244" s="96"/>
      <c r="I244" s="81"/>
      <c r="J244" s="95"/>
      <c r="K244" s="96"/>
      <c r="L244" s="96"/>
      <c r="M244" s="81"/>
      <c r="N244" s="131"/>
    </row>
    <row r="245" spans="1:14">
      <c r="A245" s="27"/>
      <c r="B245" s="95"/>
      <c r="C245" s="96"/>
      <c r="D245" s="96"/>
      <c r="E245" s="81"/>
      <c r="F245" s="95"/>
      <c r="G245" s="96"/>
      <c r="H245" s="96"/>
      <c r="I245" s="81"/>
      <c r="J245" s="95"/>
      <c r="K245" s="96"/>
      <c r="L245" s="96"/>
      <c r="M245" s="81"/>
      <c r="N245" s="131"/>
    </row>
    <row r="246" spans="1:14">
      <c r="A246" s="27"/>
      <c r="B246" s="95"/>
      <c r="C246" s="96"/>
      <c r="D246" s="96"/>
      <c r="E246" s="81"/>
      <c r="F246" s="95"/>
      <c r="G246" s="96"/>
      <c r="H246" s="96"/>
      <c r="I246" s="81"/>
      <c r="J246" s="95"/>
      <c r="K246" s="96"/>
      <c r="L246" s="96"/>
      <c r="M246" s="81"/>
      <c r="N246" s="131"/>
    </row>
    <row r="247" spans="1:14">
      <c r="A247" s="99"/>
      <c r="B247" s="100"/>
      <c r="C247" s="101"/>
      <c r="D247" s="101"/>
      <c r="E247" s="102"/>
      <c r="F247" s="100"/>
      <c r="G247" s="101"/>
      <c r="H247" s="101"/>
      <c r="I247" s="102"/>
      <c r="J247" s="100"/>
      <c r="K247" s="101"/>
      <c r="L247" s="101"/>
      <c r="M247" s="102"/>
      <c r="N247" s="149"/>
    </row>
    <row r="248" spans="1:14">
      <c r="A248" s="27"/>
      <c r="B248" s="95"/>
      <c r="C248" s="96"/>
      <c r="D248" s="96"/>
      <c r="E248" s="81"/>
      <c r="F248" s="95"/>
      <c r="G248" s="96"/>
      <c r="H248" s="96"/>
      <c r="I248" s="81"/>
      <c r="J248" s="95"/>
      <c r="K248" s="96"/>
      <c r="L248" s="96"/>
      <c r="M248" s="81"/>
      <c r="N248" s="131"/>
    </row>
    <row r="249" spans="1:14">
      <c r="A249" s="27"/>
      <c r="B249" s="95"/>
      <c r="C249" s="96"/>
      <c r="D249" s="96"/>
      <c r="E249" s="81"/>
      <c r="F249" s="95"/>
      <c r="G249" s="96"/>
      <c r="H249" s="96"/>
      <c r="I249" s="81"/>
      <c r="J249" s="95"/>
      <c r="K249" s="96"/>
      <c r="L249" s="96"/>
      <c r="M249" s="81"/>
      <c r="N249" s="131"/>
    </row>
    <row r="250" spans="1:14">
      <c r="A250" s="27"/>
      <c r="B250" s="95"/>
      <c r="C250" s="96"/>
      <c r="D250" s="96"/>
      <c r="E250" s="81"/>
      <c r="F250" s="95"/>
      <c r="G250" s="96"/>
      <c r="H250" s="96"/>
      <c r="I250" s="81"/>
      <c r="J250" s="95"/>
      <c r="K250" s="96"/>
      <c r="L250" s="96"/>
      <c r="M250" s="81"/>
      <c r="N250" s="131"/>
    </row>
    <row r="251" spans="1:14">
      <c r="A251" s="27"/>
      <c r="B251" s="95"/>
      <c r="C251" s="96"/>
      <c r="D251" s="96"/>
      <c r="E251" s="81"/>
      <c r="F251" s="95"/>
      <c r="G251" s="96"/>
      <c r="H251" s="96"/>
      <c r="I251" s="81"/>
      <c r="J251" s="95"/>
      <c r="K251" s="96"/>
      <c r="L251" s="96"/>
      <c r="M251" s="81"/>
      <c r="N251" s="131"/>
    </row>
    <row r="252" spans="1:14">
      <c r="A252" s="104"/>
      <c r="B252" s="95"/>
      <c r="C252" s="96"/>
      <c r="D252" s="96"/>
      <c r="E252" s="81"/>
      <c r="F252" s="95"/>
      <c r="G252" s="96"/>
      <c r="H252" s="96"/>
      <c r="I252" s="81"/>
      <c r="J252" s="95"/>
      <c r="K252" s="96"/>
      <c r="L252" s="96"/>
      <c r="M252" s="81"/>
      <c r="N252" s="131"/>
    </row>
    <row r="253" spans="1:14">
      <c r="A253" s="104"/>
      <c r="B253" s="95"/>
      <c r="C253" s="96"/>
      <c r="D253" s="96"/>
      <c r="E253" s="81"/>
      <c r="F253" s="95"/>
      <c r="G253" s="96"/>
      <c r="H253" s="96"/>
      <c r="I253" s="81"/>
      <c r="J253" s="95"/>
      <c r="K253" s="96"/>
      <c r="L253" s="96"/>
      <c r="M253" s="81"/>
      <c r="N253" s="131"/>
    </row>
    <row r="254" spans="1:14">
      <c r="A254" s="104"/>
      <c r="B254" s="95"/>
      <c r="C254" s="96"/>
      <c r="D254" s="96"/>
      <c r="E254" s="81"/>
      <c r="F254" s="95"/>
      <c r="G254" s="96"/>
      <c r="H254" s="96"/>
      <c r="I254" s="81"/>
      <c r="J254" s="95"/>
      <c r="K254" s="96"/>
      <c r="L254" s="96"/>
      <c r="M254" s="81"/>
      <c r="N254" s="131"/>
    </row>
    <row r="255" spans="1:14">
      <c r="A255" s="104"/>
      <c r="B255" s="95"/>
      <c r="C255" s="96"/>
      <c r="D255" s="96"/>
      <c r="E255" s="81"/>
      <c r="F255" s="95"/>
      <c r="G255" s="96"/>
      <c r="H255" s="96"/>
      <c r="I255" s="81"/>
      <c r="J255" s="95"/>
      <c r="K255" s="96"/>
      <c r="L255" s="96"/>
      <c r="M255" s="81"/>
      <c r="N255" s="131"/>
    </row>
    <row r="256" spans="1:14">
      <c r="A256" s="104"/>
      <c r="B256" s="95"/>
      <c r="C256" s="96"/>
      <c r="D256" s="96"/>
      <c r="E256" s="81"/>
      <c r="F256" s="95"/>
      <c r="G256" s="96"/>
      <c r="H256" s="96"/>
      <c r="I256" s="81"/>
      <c r="J256" s="95"/>
      <c r="K256" s="96"/>
      <c r="L256" s="96"/>
      <c r="M256" s="81"/>
      <c r="N256" s="131"/>
    </row>
    <row r="257" spans="1:13">
      <c r="A257" s="104"/>
      <c r="B257" s="95"/>
      <c r="C257" s="96"/>
      <c r="D257" s="96"/>
      <c r="E257" s="81"/>
      <c r="F257" s="95"/>
      <c r="G257" s="96"/>
      <c r="H257" s="96"/>
      <c r="I257" s="81"/>
      <c r="J257" s="95"/>
      <c r="K257" s="96"/>
      <c r="L257" s="96"/>
      <c r="M257" s="81"/>
    </row>
    <row r="258" spans="1:13">
      <c r="A258" s="104"/>
      <c r="B258" s="95"/>
      <c r="C258" s="96"/>
      <c r="D258" s="96"/>
      <c r="E258" s="81"/>
      <c r="F258" s="95"/>
      <c r="G258" s="96"/>
      <c r="H258" s="96"/>
      <c r="I258" s="81"/>
      <c r="J258" s="95"/>
      <c r="K258" s="96"/>
      <c r="L258" s="96"/>
      <c r="M258" s="81"/>
    </row>
    <row r="259" spans="1:13">
      <c r="A259" s="99"/>
      <c r="B259" s="100"/>
      <c r="C259" s="101"/>
      <c r="D259" s="101"/>
      <c r="E259" s="102"/>
      <c r="F259" s="100"/>
      <c r="G259" s="101"/>
      <c r="H259" s="101"/>
      <c r="I259" s="102"/>
      <c r="J259" s="100"/>
      <c r="K259" s="101"/>
      <c r="L259" s="101"/>
      <c r="M259" s="102"/>
    </row>
    <row r="260" spans="1:13">
      <c r="A260" s="104"/>
      <c r="B260" s="95"/>
      <c r="C260" s="96"/>
      <c r="D260" s="96"/>
      <c r="E260" s="81"/>
      <c r="F260" s="95"/>
      <c r="G260" s="96"/>
      <c r="H260" s="96"/>
      <c r="I260" s="81"/>
      <c r="J260" s="95"/>
      <c r="K260" s="96"/>
      <c r="L260" s="96"/>
      <c r="M260" s="81"/>
    </row>
    <row r="261" spans="1:13">
      <c r="A261" s="104"/>
      <c r="B261" s="95"/>
      <c r="C261" s="96"/>
      <c r="D261" s="96"/>
      <c r="E261" s="81"/>
      <c r="F261" s="95"/>
      <c r="G261" s="96"/>
      <c r="H261" s="96"/>
      <c r="I261" s="81"/>
      <c r="J261" s="95"/>
      <c r="K261" s="96"/>
      <c r="L261" s="96"/>
      <c r="M261" s="81"/>
    </row>
    <row r="262" spans="1:13">
      <c r="A262" s="104"/>
      <c r="B262" s="95"/>
      <c r="C262" s="96"/>
      <c r="D262" s="96"/>
      <c r="E262" s="81"/>
      <c r="F262" s="95"/>
      <c r="G262" s="96"/>
      <c r="H262" s="96"/>
      <c r="I262" s="81"/>
      <c r="J262" s="95"/>
      <c r="K262" s="96"/>
      <c r="L262" s="96"/>
      <c r="M262" s="81"/>
    </row>
    <row r="263" spans="1:13">
      <c r="A263" s="104"/>
      <c r="B263" s="95"/>
      <c r="C263" s="96"/>
      <c r="D263" s="96"/>
      <c r="E263" s="81"/>
      <c r="F263" s="95"/>
      <c r="G263" s="96"/>
      <c r="H263" s="96"/>
      <c r="I263" s="81"/>
      <c r="J263" s="95"/>
      <c r="K263" s="96"/>
      <c r="L263" s="96"/>
      <c r="M263" s="81"/>
    </row>
    <row r="264" spans="1:13">
      <c r="A264" s="104"/>
      <c r="B264" s="95"/>
      <c r="C264" s="96"/>
      <c r="D264" s="96"/>
      <c r="E264" s="81"/>
      <c r="F264" s="95"/>
      <c r="G264" s="96"/>
      <c r="H264" s="96"/>
      <c r="I264" s="81"/>
      <c r="J264" s="95"/>
      <c r="K264" s="96"/>
      <c r="L264" s="96"/>
      <c r="M264" s="81"/>
    </row>
    <row r="265" spans="1:13">
      <c r="A265" s="104"/>
      <c r="B265" s="95"/>
      <c r="C265" s="96"/>
      <c r="D265" s="96"/>
      <c r="E265" s="81"/>
      <c r="F265" s="95"/>
      <c r="G265" s="96"/>
      <c r="H265" s="96"/>
      <c r="I265" s="81"/>
      <c r="J265" s="95"/>
      <c r="K265" s="96"/>
      <c r="L265" s="96"/>
      <c r="M265" s="81"/>
    </row>
    <row r="266" spans="1:13">
      <c r="A266" s="104"/>
      <c r="B266" s="95"/>
      <c r="C266" s="96"/>
      <c r="D266" s="96"/>
      <c r="E266" s="81"/>
      <c r="F266" s="95"/>
      <c r="G266" s="96"/>
      <c r="H266" s="96"/>
      <c r="I266" s="81"/>
      <c r="J266" s="95"/>
      <c r="K266" s="96"/>
      <c r="L266" s="96"/>
      <c r="M266" s="81"/>
    </row>
    <row r="267" spans="1:13">
      <c r="A267" s="104"/>
      <c r="B267" s="95"/>
      <c r="C267" s="96"/>
      <c r="D267" s="96"/>
      <c r="E267" s="81"/>
      <c r="F267" s="95"/>
      <c r="G267" s="96"/>
      <c r="H267" s="96"/>
      <c r="I267" s="81"/>
      <c r="J267" s="95"/>
      <c r="K267" s="96"/>
      <c r="L267" s="96"/>
      <c r="M267" s="81"/>
    </row>
    <row r="268" spans="1:13">
      <c r="A268" s="104"/>
      <c r="B268" s="95"/>
      <c r="C268" s="96"/>
      <c r="D268" s="96"/>
      <c r="E268" s="81"/>
      <c r="F268" s="95"/>
      <c r="G268" s="96"/>
      <c r="H268" s="96"/>
      <c r="I268" s="81"/>
      <c r="J268" s="95"/>
      <c r="K268" s="96"/>
      <c r="L268" s="96"/>
      <c r="M268" s="81"/>
    </row>
    <row r="269" spans="1:13">
      <c r="A269" s="104"/>
      <c r="B269" s="95"/>
      <c r="C269" s="96"/>
      <c r="D269" s="96"/>
      <c r="E269" s="81"/>
      <c r="F269" s="95"/>
      <c r="G269" s="96"/>
      <c r="H269" s="96"/>
      <c r="I269" s="81"/>
      <c r="J269" s="95"/>
      <c r="K269" s="96"/>
      <c r="L269" s="96"/>
      <c r="M269" s="81"/>
    </row>
    <row r="270" spans="1:13">
      <c r="A270" s="104"/>
      <c r="B270" s="95"/>
      <c r="C270" s="96"/>
      <c r="D270" s="96"/>
      <c r="E270" s="81"/>
      <c r="F270" s="95"/>
      <c r="G270" s="96"/>
      <c r="H270" s="96"/>
      <c r="I270" s="81"/>
      <c r="J270" s="95"/>
      <c r="K270" s="96"/>
      <c r="L270" s="96"/>
      <c r="M270" s="81"/>
    </row>
    <row r="271" spans="1:13">
      <c r="A271" s="99"/>
      <c r="B271" s="100"/>
      <c r="C271" s="101"/>
      <c r="D271" s="101"/>
      <c r="E271" s="102"/>
      <c r="F271" s="100"/>
      <c r="G271" s="101"/>
      <c r="H271" s="101"/>
      <c r="I271" s="102"/>
      <c r="J271" s="100"/>
      <c r="K271" s="101"/>
      <c r="L271" s="101"/>
      <c r="M271" s="102"/>
    </row>
    <row r="272" spans="1:13">
      <c r="A272" s="104"/>
      <c r="B272" s="95"/>
      <c r="C272" s="96"/>
      <c r="D272" s="96"/>
      <c r="E272" s="81"/>
      <c r="F272" s="95"/>
      <c r="G272" s="96"/>
      <c r="H272" s="96"/>
      <c r="I272" s="81"/>
      <c r="J272" s="95"/>
      <c r="K272" s="96"/>
      <c r="L272" s="96"/>
      <c r="M272" s="81"/>
    </row>
    <row r="273" spans="1:1">
      <c r="A273" s="104"/>
    </row>
  </sheetData>
  <mergeCells count="7">
    <mergeCell ref="A6:A7"/>
    <mergeCell ref="O6:R6"/>
    <mergeCell ref="S6:V6"/>
    <mergeCell ref="W6:Y6"/>
    <mergeCell ref="B6:E6"/>
    <mergeCell ref="F6:I6"/>
    <mergeCell ref="J6:M6"/>
  </mergeCells>
  <phoneticPr fontId="2" type="noConversion"/>
  <pageMargins left="0.78740157499999996" right="0.78740157499999996" top="0.984251969" bottom="0.984251969" header="0.4921259845" footer="0.492125984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T498"/>
  <sheetViews>
    <sheetView zoomScaleNormal="100" workbookViewId="0">
      <selection activeCell="A121" sqref="A121"/>
    </sheetView>
  </sheetViews>
  <sheetFormatPr defaultColWidth="11.42578125" defaultRowHeight="10.15"/>
  <cols>
    <col min="1" max="1" width="15.5703125" style="34" bestFit="1" customWidth="1"/>
    <col min="2" max="8" width="12.5703125" style="38" customWidth="1"/>
    <col min="9" max="9" width="12.5703125" style="39" customWidth="1"/>
    <col min="10" max="18" width="12.5703125" style="38" customWidth="1"/>
    <col min="19" max="19" width="15.28515625" style="37" customWidth="1"/>
    <col min="20" max="20" width="12.42578125" style="37" bestFit="1" customWidth="1"/>
    <col min="21" max="16384" width="11.42578125" style="34"/>
  </cols>
  <sheetData>
    <row r="1" spans="1:20" s="1" customFormat="1">
      <c r="A1" s="23" t="s">
        <v>44</v>
      </c>
      <c r="B1" s="42" t="s">
        <v>220</v>
      </c>
      <c r="C1" s="111"/>
      <c r="D1" s="111"/>
      <c r="E1" s="111"/>
      <c r="F1" s="111"/>
      <c r="G1" s="111"/>
      <c r="H1" s="111"/>
      <c r="I1" s="111"/>
      <c r="J1" s="111"/>
      <c r="K1" s="111"/>
      <c r="L1" s="111"/>
      <c r="M1" s="111"/>
      <c r="N1" s="111"/>
      <c r="O1" s="111"/>
      <c r="P1" s="111"/>
      <c r="Q1" s="111"/>
      <c r="R1" s="111"/>
      <c r="S1" s="112"/>
      <c r="T1" s="112"/>
    </row>
    <row r="2" spans="1:20" s="1" customFormat="1">
      <c r="A2" s="23" t="s">
        <v>46</v>
      </c>
      <c r="B2" s="42" t="s">
        <v>47</v>
      </c>
      <c r="C2" s="111"/>
      <c r="D2" s="111"/>
      <c r="E2" s="111"/>
      <c r="F2" s="111"/>
      <c r="G2" s="111"/>
      <c r="H2" s="111"/>
      <c r="I2" s="111"/>
      <c r="J2" s="111"/>
      <c r="K2" s="111"/>
      <c r="L2" s="111"/>
      <c r="M2" s="111"/>
      <c r="N2" s="111"/>
      <c r="O2" s="111"/>
      <c r="P2" s="111"/>
      <c r="Q2" s="111"/>
      <c r="R2" s="111"/>
      <c r="S2" s="112"/>
      <c r="T2" s="112"/>
    </row>
    <row r="3" spans="1:20" s="1" customFormat="1">
      <c r="A3" s="23" t="s">
        <v>48</v>
      </c>
      <c r="B3" s="42" t="s">
        <v>188</v>
      </c>
      <c r="C3" s="111"/>
      <c r="D3" s="111"/>
      <c r="E3" s="111"/>
      <c r="F3" s="111"/>
      <c r="G3" s="111"/>
      <c r="H3" s="111"/>
      <c r="I3" s="111"/>
      <c r="J3" s="111"/>
      <c r="K3" s="111"/>
      <c r="L3" s="111"/>
      <c r="M3" s="111"/>
      <c r="N3" s="111"/>
      <c r="O3" s="111"/>
      <c r="P3" s="111"/>
      <c r="Q3" s="111"/>
      <c r="R3" s="111"/>
      <c r="S3" s="112"/>
      <c r="T3" s="112"/>
    </row>
    <row r="4" spans="1:20" s="1" customFormat="1">
      <c r="A4" s="23" t="s">
        <v>50</v>
      </c>
      <c r="B4" s="42" t="s">
        <v>51</v>
      </c>
      <c r="C4" s="111"/>
      <c r="D4" s="111"/>
      <c r="E4" s="111"/>
      <c r="F4" s="111"/>
      <c r="G4" s="111"/>
      <c r="H4" s="111"/>
      <c r="I4" s="111"/>
      <c r="J4" s="111"/>
      <c r="K4" s="111"/>
      <c r="L4" s="111"/>
      <c r="M4" s="111"/>
      <c r="N4" s="111"/>
      <c r="O4" s="111"/>
      <c r="P4" s="111"/>
      <c r="Q4" s="111"/>
      <c r="R4" s="111"/>
      <c r="S4" s="112"/>
      <c r="T4" s="112"/>
    </row>
    <row r="5" spans="1:20" s="1" customFormat="1">
      <c r="A5" s="19" t="s">
        <v>189</v>
      </c>
      <c r="B5" s="111"/>
      <c r="C5" s="111"/>
      <c r="D5" s="111"/>
      <c r="E5" s="111"/>
      <c r="F5" s="111"/>
      <c r="G5" s="111"/>
      <c r="H5" s="111"/>
      <c r="I5" s="111"/>
      <c r="J5" s="111"/>
      <c r="K5" s="111"/>
      <c r="L5" s="111"/>
      <c r="M5" s="111"/>
      <c r="N5" s="111"/>
      <c r="O5" s="111"/>
      <c r="P5" s="111"/>
      <c r="Q5" s="111"/>
      <c r="R5" s="111"/>
      <c r="S5" s="112"/>
      <c r="T5" s="112"/>
    </row>
    <row r="6" spans="1:20" s="1" customFormat="1" ht="11.45">
      <c r="A6" s="36"/>
      <c r="B6" s="259" t="s">
        <v>216</v>
      </c>
      <c r="C6" s="259"/>
      <c r="D6" s="259"/>
      <c r="E6" s="259"/>
      <c r="F6" s="259"/>
      <c r="G6" s="259"/>
      <c r="H6" s="259"/>
      <c r="I6" s="259"/>
      <c r="J6" s="259"/>
      <c r="K6" s="259"/>
      <c r="L6" s="259"/>
      <c r="M6" s="259"/>
      <c r="N6" s="259"/>
      <c r="O6" s="259"/>
      <c r="P6" s="259"/>
      <c r="Q6" s="259"/>
      <c r="R6" s="259"/>
      <c r="S6" s="259"/>
      <c r="T6" s="259"/>
    </row>
    <row r="7" spans="1:20" s="1" customFormat="1" ht="43.5" customHeight="1">
      <c r="A7" s="113" t="s">
        <v>53</v>
      </c>
      <c r="B7" s="40" t="s">
        <v>191</v>
      </c>
      <c r="C7" s="41" t="s">
        <v>192</v>
      </c>
      <c r="D7" s="41" t="s">
        <v>193</v>
      </c>
      <c r="E7" s="41" t="s">
        <v>194</v>
      </c>
      <c r="F7" s="41" t="s">
        <v>195</v>
      </c>
      <c r="G7" s="41" t="s">
        <v>196</v>
      </c>
      <c r="H7" s="41" t="s">
        <v>197</v>
      </c>
      <c r="I7" s="41" t="s">
        <v>198</v>
      </c>
      <c r="J7" s="41" t="s">
        <v>199</v>
      </c>
      <c r="K7" s="41" t="s">
        <v>200</v>
      </c>
      <c r="L7" s="41" t="s">
        <v>201</v>
      </c>
      <c r="M7" s="41" t="s">
        <v>202</v>
      </c>
      <c r="N7" s="41" t="s">
        <v>203</v>
      </c>
      <c r="O7" s="41" t="s">
        <v>204</v>
      </c>
      <c r="P7" s="41" t="s">
        <v>205</v>
      </c>
      <c r="Q7" s="41" t="s">
        <v>206</v>
      </c>
      <c r="R7" s="41" t="s">
        <v>207</v>
      </c>
      <c r="S7" s="43" t="str">
        <f>UPPER("France METROPOLITAINE")</f>
        <v>FRANCE METROPOLITAINE</v>
      </c>
      <c r="T7" s="43" t="str">
        <f>UPPER("France ENTIERE")</f>
        <v>FRANCE ENTIERE</v>
      </c>
    </row>
    <row r="8" spans="1:20" s="1" customFormat="1">
      <c r="A8" s="27" t="s">
        <v>61</v>
      </c>
      <c r="B8" s="35">
        <v>46810</v>
      </c>
      <c r="C8" s="35">
        <v>46330</v>
      </c>
      <c r="D8" s="35">
        <v>10040</v>
      </c>
      <c r="E8" s="35">
        <v>97300</v>
      </c>
      <c r="F8" s="35">
        <v>695570</v>
      </c>
      <c r="G8" s="35">
        <v>144240</v>
      </c>
      <c r="H8" s="35">
        <v>152780</v>
      </c>
      <c r="I8" s="35">
        <v>221880</v>
      </c>
      <c r="J8" s="35">
        <v>424450</v>
      </c>
      <c r="K8" s="35">
        <v>288870</v>
      </c>
      <c r="L8" s="35">
        <v>208900</v>
      </c>
      <c r="M8" s="35">
        <v>165040</v>
      </c>
      <c r="N8" s="35">
        <v>339390</v>
      </c>
      <c r="O8" s="35">
        <v>339930</v>
      </c>
      <c r="P8" s="35">
        <v>422050</v>
      </c>
      <c r="Q8" s="35">
        <v>342270</v>
      </c>
      <c r="R8" s="35">
        <v>15300</v>
      </c>
      <c r="S8" s="114">
        <v>3760700</v>
      </c>
      <c r="T8" s="114">
        <v>3961200</v>
      </c>
    </row>
    <row r="9" spans="1:20" s="1" customFormat="1">
      <c r="A9" s="27" t="s">
        <v>62</v>
      </c>
      <c r="B9" s="35">
        <v>44700</v>
      </c>
      <c r="C9" s="35">
        <v>46370</v>
      </c>
      <c r="D9" s="35">
        <v>10660</v>
      </c>
      <c r="E9" s="35">
        <v>99580</v>
      </c>
      <c r="F9" s="35">
        <v>693490</v>
      </c>
      <c r="G9" s="35">
        <v>147130</v>
      </c>
      <c r="H9" s="35">
        <v>155330</v>
      </c>
      <c r="I9" s="35">
        <v>226680</v>
      </c>
      <c r="J9" s="35">
        <v>428940</v>
      </c>
      <c r="K9" s="35">
        <v>295600</v>
      </c>
      <c r="L9" s="35">
        <v>211010</v>
      </c>
      <c r="M9" s="35">
        <v>166270</v>
      </c>
      <c r="N9" s="35">
        <v>343400</v>
      </c>
      <c r="O9" s="35">
        <v>344300</v>
      </c>
      <c r="P9" s="35">
        <v>423670</v>
      </c>
      <c r="Q9" s="35">
        <v>343970</v>
      </c>
      <c r="R9" s="35">
        <v>15980</v>
      </c>
      <c r="S9" s="115">
        <v>3795800</v>
      </c>
      <c r="T9" s="115">
        <v>3997100</v>
      </c>
    </row>
    <row r="10" spans="1:20" s="1" customFormat="1">
      <c r="A10" s="27" t="s">
        <v>63</v>
      </c>
      <c r="B10" s="35">
        <v>46100</v>
      </c>
      <c r="C10" s="35">
        <v>46330</v>
      </c>
      <c r="D10" s="35">
        <v>10930</v>
      </c>
      <c r="E10" s="35">
        <v>101850</v>
      </c>
      <c r="F10" s="35">
        <v>701900</v>
      </c>
      <c r="G10" s="35">
        <v>150880</v>
      </c>
      <c r="H10" s="35">
        <v>158090</v>
      </c>
      <c r="I10" s="35">
        <v>229330</v>
      </c>
      <c r="J10" s="35">
        <v>440750</v>
      </c>
      <c r="K10" s="35">
        <v>302200</v>
      </c>
      <c r="L10" s="35">
        <v>212420</v>
      </c>
      <c r="M10" s="35">
        <v>167880</v>
      </c>
      <c r="N10" s="35">
        <v>348100</v>
      </c>
      <c r="O10" s="35">
        <v>350850</v>
      </c>
      <c r="P10" s="35">
        <v>424710</v>
      </c>
      <c r="Q10" s="35">
        <v>348220</v>
      </c>
      <c r="R10" s="35">
        <v>16790</v>
      </c>
      <c r="S10" s="115">
        <v>3852100</v>
      </c>
      <c r="T10" s="115">
        <v>4057400</v>
      </c>
    </row>
    <row r="11" spans="1:20" s="1" customFormat="1">
      <c r="A11" s="60" t="s">
        <v>64</v>
      </c>
      <c r="B11" s="87">
        <v>48570</v>
      </c>
      <c r="C11" s="87">
        <v>45410</v>
      </c>
      <c r="D11" s="87">
        <v>11370</v>
      </c>
      <c r="E11" s="87">
        <v>104890</v>
      </c>
      <c r="F11" s="87">
        <v>707620</v>
      </c>
      <c r="G11" s="87">
        <v>153160</v>
      </c>
      <c r="H11" s="87">
        <v>161080</v>
      </c>
      <c r="I11" s="87">
        <v>232360</v>
      </c>
      <c r="J11" s="87">
        <v>444260</v>
      </c>
      <c r="K11" s="87">
        <v>306750</v>
      </c>
      <c r="L11" s="87">
        <v>216330</v>
      </c>
      <c r="M11" s="87">
        <v>170230</v>
      </c>
      <c r="N11" s="87">
        <v>349340</v>
      </c>
      <c r="O11" s="87">
        <v>352960</v>
      </c>
      <c r="P11" s="87">
        <v>430990</v>
      </c>
      <c r="Q11" s="87">
        <v>352320</v>
      </c>
      <c r="R11" s="87">
        <v>15850</v>
      </c>
      <c r="S11" s="116">
        <v>3893200</v>
      </c>
      <c r="T11" s="116">
        <v>4103500</v>
      </c>
    </row>
    <row r="12" spans="1:20" s="1" customFormat="1">
      <c r="A12" s="27" t="s">
        <v>65</v>
      </c>
      <c r="B12" s="35">
        <v>47060</v>
      </c>
      <c r="C12" s="35">
        <v>47030</v>
      </c>
      <c r="D12" s="35">
        <v>12220</v>
      </c>
      <c r="E12" s="35">
        <v>106240</v>
      </c>
      <c r="F12" s="35">
        <v>716720</v>
      </c>
      <c r="G12" s="35">
        <v>154250</v>
      </c>
      <c r="H12" s="35">
        <v>163600</v>
      </c>
      <c r="I12" s="35">
        <v>234800</v>
      </c>
      <c r="J12" s="35">
        <v>449010</v>
      </c>
      <c r="K12" s="35">
        <v>310840</v>
      </c>
      <c r="L12" s="35">
        <v>218720</v>
      </c>
      <c r="M12" s="35">
        <v>172160</v>
      </c>
      <c r="N12" s="35">
        <v>354480</v>
      </c>
      <c r="O12" s="35">
        <v>357040</v>
      </c>
      <c r="P12" s="35">
        <v>436130</v>
      </c>
      <c r="Q12" s="35">
        <v>358370</v>
      </c>
      <c r="R12" s="35">
        <v>16040</v>
      </c>
      <c r="S12" s="115">
        <v>3942200</v>
      </c>
      <c r="T12" s="115">
        <v>4154700</v>
      </c>
    </row>
    <row r="13" spans="1:20" s="1" customFormat="1">
      <c r="A13" s="27" t="s">
        <v>66</v>
      </c>
      <c r="B13" s="35">
        <v>48600</v>
      </c>
      <c r="C13" s="35">
        <v>45840</v>
      </c>
      <c r="D13" s="35">
        <v>12730</v>
      </c>
      <c r="E13" s="35">
        <v>108280</v>
      </c>
      <c r="F13" s="35">
        <v>721630</v>
      </c>
      <c r="G13" s="35">
        <v>155270</v>
      </c>
      <c r="H13" s="35">
        <v>166230</v>
      </c>
      <c r="I13" s="35">
        <v>238250</v>
      </c>
      <c r="J13" s="35">
        <v>455450</v>
      </c>
      <c r="K13" s="35">
        <v>314880</v>
      </c>
      <c r="L13" s="35">
        <v>221290</v>
      </c>
      <c r="M13" s="35">
        <v>173810</v>
      </c>
      <c r="N13" s="35">
        <v>358170</v>
      </c>
      <c r="O13" s="35">
        <v>364320</v>
      </c>
      <c r="P13" s="35">
        <v>436860</v>
      </c>
      <c r="Q13" s="35">
        <v>362650</v>
      </c>
      <c r="R13" s="35">
        <v>16990</v>
      </c>
      <c r="S13" s="115">
        <v>3985800</v>
      </c>
      <c r="T13" s="115">
        <v>4201300</v>
      </c>
    </row>
    <row r="14" spans="1:20" s="1" customFormat="1">
      <c r="A14" s="27" t="s">
        <v>67</v>
      </c>
      <c r="B14" s="35">
        <v>50070</v>
      </c>
      <c r="C14" s="35">
        <v>47060</v>
      </c>
      <c r="D14" s="35">
        <v>12920</v>
      </c>
      <c r="E14" s="35">
        <v>110710</v>
      </c>
      <c r="F14" s="35">
        <v>724790</v>
      </c>
      <c r="G14" s="35">
        <v>154490</v>
      </c>
      <c r="H14" s="35">
        <v>166950</v>
      </c>
      <c r="I14" s="35">
        <v>240180</v>
      </c>
      <c r="J14" s="35">
        <v>458970</v>
      </c>
      <c r="K14" s="35">
        <v>317090</v>
      </c>
      <c r="L14" s="35">
        <v>219770</v>
      </c>
      <c r="M14" s="35">
        <v>175340</v>
      </c>
      <c r="N14" s="35">
        <v>361670</v>
      </c>
      <c r="O14" s="35">
        <v>369050</v>
      </c>
      <c r="P14" s="35">
        <v>438300</v>
      </c>
      <c r="Q14" s="35">
        <v>367100</v>
      </c>
      <c r="R14" s="35">
        <v>17100</v>
      </c>
      <c r="S14" s="115">
        <v>4010800</v>
      </c>
      <c r="T14" s="115">
        <v>4231600</v>
      </c>
    </row>
    <row r="15" spans="1:20" s="1" customFormat="1">
      <c r="A15" s="60" t="s">
        <v>68</v>
      </c>
      <c r="B15" s="87">
        <v>47250</v>
      </c>
      <c r="C15" s="87">
        <v>47010</v>
      </c>
      <c r="D15" s="87">
        <v>13260</v>
      </c>
      <c r="E15" s="87">
        <v>113380</v>
      </c>
      <c r="F15" s="87">
        <v>726140</v>
      </c>
      <c r="G15" s="87">
        <v>154030</v>
      </c>
      <c r="H15" s="87">
        <v>167140</v>
      </c>
      <c r="I15" s="87">
        <v>240620</v>
      </c>
      <c r="J15" s="87">
        <v>461120</v>
      </c>
      <c r="K15" s="87">
        <v>316340</v>
      </c>
      <c r="L15" s="87">
        <v>221590</v>
      </c>
      <c r="M15" s="87">
        <v>176690</v>
      </c>
      <c r="N15" s="87">
        <v>365940</v>
      </c>
      <c r="O15" s="87">
        <v>372160</v>
      </c>
      <c r="P15" s="87">
        <v>439470</v>
      </c>
      <c r="Q15" s="87">
        <v>366580</v>
      </c>
      <c r="R15" s="87">
        <v>16300</v>
      </c>
      <c r="S15" s="116">
        <v>4024100</v>
      </c>
      <c r="T15" s="116">
        <v>4245000</v>
      </c>
    </row>
    <row r="16" spans="1:20" s="1" customFormat="1">
      <c r="A16" s="27" t="s">
        <v>69</v>
      </c>
      <c r="B16" s="35">
        <v>50270</v>
      </c>
      <c r="C16" s="35">
        <v>47620</v>
      </c>
      <c r="D16" s="35">
        <v>13420</v>
      </c>
      <c r="E16" s="35">
        <v>113570</v>
      </c>
      <c r="F16" s="35">
        <v>727540</v>
      </c>
      <c r="G16" s="35">
        <v>154430</v>
      </c>
      <c r="H16" s="35">
        <v>166720</v>
      </c>
      <c r="I16" s="35">
        <v>240560</v>
      </c>
      <c r="J16" s="35">
        <v>461520</v>
      </c>
      <c r="K16" s="35">
        <v>315100</v>
      </c>
      <c r="L16" s="35">
        <v>221140</v>
      </c>
      <c r="M16" s="35">
        <v>177270</v>
      </c>
      <c r="N16" s="35">
        <v>365840</v>
      </c>
      <c r="O16" s="35">
        <v>375820</v>
      </c>
      <c r="P16" s="35">
        <v>438830</v>
      </c>
      <c r="Q16" s="35">
        <v>367210</v>
      </c>
      <c r="R16" s="35">
        <v>16180</v>
      </c>
      <c r="S16" s="115">
        <v>4028200</v>
      </c>
      <c r="T16" s="115">
        <v>4253000</v>
      </c>
    </row>
    <row r="17" spans="1:20" s="1" customFormat="1">
      <c r="A17" s="27" t="s">
        <v>70</v>
      </c>
      <c r="B17" s="35">
        <v>52180</v>
      </c>
      <c r="C17" s="35">
        <v>48590</v>
      </c>
      <c r="D17" s="35">
        <v>13190</v>
      </c>
      <c r="E17" s="35">
        <v>111930</v>
      </c>
      <c r="F17" s="35">
        <v>727020</v>
      </c>
      <c r="G17" s="35">
        <v>153790</v>
      </c>
      <c r="H17" s="35">
        <v>164620</v>
      </c>
      <c r="I17" s="35">
        <v>239780</v>
      </c>
      <c r="J17" s="35">
        <v>460510</v>
      </c>
      <c r="K17" s="35">
        <v>311600</v>
      </c>
      <c r="L17" s="35">
        <v>221270</v>
      </c>
      <c r="M17" s="35">
        <v>178020</v>
      </c>
      <c r="N17" s="35">
        <v>367670</v>
      </c>
      <c r="O17" s="35">
        <v>378620</v>
      </c>
      <c r="P17" s="35">
        <v>437950</v>
      </c>
      <c r="Q17" s="35">
        <v>367610</v>
      </c>
      <c r="R17" s="35">
        <v>16300</v>
      </c>
      <c r="S17" s="115">
        <v>4024800</v>
      </c>
      <c r="T17" s="115">
        <v>4250700</v>
      </c>
    </row>
    <row r="18" spans="1:20" s="1" customFormat="1">
      <c r="A18" s="27" t="s">
        <v>71</v>
      </c>
      <c r="B18" s="35">
        <v>51420</v>
      </c>
      <c r="C18" s="35">
        <v>49710</v>
      </c>
      <c r="D18" s="35">
        <v>13870</v>
      </c>
      <c r="E18" s="35">
        <v>111990</v>
      </c>
      <c r="F18" s="35">
        <v>726800</v>
      </c>
      <c r="G18" s="35">
        <v>152570</v>
      </c>
      <c r="H18" s="35">
        <v>162960</v>
      </c>
      <c r="I18" s="35">
        <v>238520</v>
      </c>
      <c r="J18" s="35">
        <v>459610</v>
      </c>
      <c r="K18" s="35">
        <v>311150</v>
      </c>
      <c r="L18" s="35">
        <v>221310</v>
      </c>
      <c r="M18" s="35">
        <v>178090</v>
      </c>
      <c r="N18" s="35">
        <v>368150</v>
      </c>
      <c r="O18" s="35">
        <v>380700</v>
      </c>
      <c r="P18" s="35">
        <v>435810</v>
      </c>
      <c r="Q18" s="35">
        <v>368520</v>
      </c>
      <c r="R18" s="35">
        <v>16390</v>
      </c>
      <c r="S18" s="115">
        <v>4020600</v>
      </c>
      <c r="T18" s="115">
        <v>4247600</v>
      </c>
    </row>
    <row r="19" spans="1:20" s="12" customFormat="1">
      <c r="A19" s="60" t="s">
        <v>72</v>
      </c>
      <c r="B19" s="87">
        <v>51720</v>
      </c>
      <c r="C19" s="87">
        <v>51850</v>
      </c>
      <c r="D19" s="87">
        <v>14020</v>
      </c>
      <c r="E19" s="87">
        <v>113120</v>
      </c>
      <c r="F19" s="87">
        <v>729500</v>
      </c>
      <c r="G19" s="87">
        <v>153590</v>
      </c>
      <c r="H19" s="87">
        <v>163820</v>
      </c>
      <c r="I19" s="87">
        <v>238830</v>
      </c>
      <c r="J19" s="87">
        <v>462020</v>
      </c>
      <c r="K19" s="87">
        <v>312100</v>
      </c>
      <c r="L19" s="87">
        <v>220870</v>
      </c>
      <c r="M19" s="87">
        <v>178490</v>
      </c>
      <c r="N19" s="87">
        <v>369320</v>
      </c>
      <c r="O19" s="87">
        <v>382420</v>
      </c>
      <c r="P19" s="87">
        <v>435680</v>
      </c>
      <c r="Q19" s="87">
        <v>372270</v>
      </c>
      <c r="R19" s="87">
        <v>16340</v>
      </c>
      <c r="S19" s="116">
        <v>4035300</v>
      </c>
      <c r="T19" s="116">
        <v>4266000</v>
      </c>
    </row>
    <row r="20" spans="1:20" s="1" customFormat="1">
      <c r="A20" s="27" t="s">
        <v>73</v>
      </c>
      <c r="B20" s="35">
        <v>53060</v>
      </c>
      <c r="C20" s="35">
        <v>50720</v>
      </c>
      <c r="D20" s="35">
        <v>13930</v>
      </c>
      <c r="E20" s="35">
        <v>114470</v>
      </c>
      <c r="F20" s="35">
        <v>724250</v>
      </c>
      <c r="G20" s="35">
        <v>153710</v>
      </c>
      <c r="H20" s="35">
        <v>163890</v>
      </c>
      <c r="I20" s="35">
        <v>238950</v>
      </c>
      <c r="J20" s="35">
        <v>465630</v>
      </c>
      <c r="K20" s="35">
        <v>310490</v>
      </c>
      <c r="L20" s="35">
        <v>220610</v>
      </c>
      <c r="M20" s="35">
        <v>181650</v>
      </c>
      <c r="N20" s="35">
        <v>370970</v>
      </c>
      <c r="O20" s="35">
        <v>384230</v>
      </c>
      <c r="P20" s="35">
        <v>438760</v>
      </c>
      <c r="Q20" s="35">
        <v>372530</v>
      </c>
      <c r="R20" s="35">
        <v>16340</v>
      </c>
      <c r="S20" s="115">
        <v>4042000</v>
      </c>
      <c r="T20" s="115">
        <v>4274200</v>
      </c>
    </row>
    <row r="21" spans="1:20" s="1" customFormat="1">
      <c r="A21" s="27" t="s">
        <v>74</v>
      </c>
      <c r="B21" s="35">
        <v>53010</v>
      </c>
      <c r="C21" s="35">
        <v>50940</v>
      </c>
      <c r="D21" s="35">
        <v>13990</v>
      </c>
      <c r="E21" s="35">
        <v>116300</v>
      </c>
      <c r="F21" s="35">
        <v>722580</v>
      </c>
      <c r="G21" s="35">
        <v>153360</v>
      </c>
      <c r="H21" s="35">
        <v>164430</v>
      </c>
      <c r="I21" s="35">
        <v>238200</v>
      </c>
      <c r="J21" s="35">
        <v>466170</v>
      </c>
      <c r="K21" s="35">
        <v>309930</v>
      </c>
      <c r="L21" s="35">
        <v>220130</v>
      </c>
      <c r="M21" s="35">
        <v>180080</v>
      </c>
      <c r="N21" s="35">
        <v>371910</v>
      </c>
      <c r="O21" s="35">
        <v>386190</v>
      </c>
      <c r="P21" s="35">
        <v>442300</v>
      </c>
      <c r="Q21" s="35">
        <v>374020</v>
      </c>
      <c r="R21" s="35">
        <v>16270</v>
      </c>
      <c r="S21" s="115">
        <v>4045600</v>
      </c>
      <c r="T21" s="115">
        <v>4279800</v>
      </c>
    </row>
    <row r="22" spans="1:20" s="1" customFormat="1">
      <c r="A22" s="27" t="s">
        <v>75</v>
      </c>
      <c r="B22" s="35">
        <v>53920</v>
      </c>
      <c r="C22" s="35">
        <v>51190</v>
      </c>
      <c r="D22" s="35">
        <v>13950</v>
      </c>
      <c r="E22" s="35">
        <v>116080</v>
      </c>
      <c r="F22" s="35">
        <v>704120</v>
      </c>
      <c r="G22" s="35">
        <v>149710</v>
      </c>
      <c r="H22" s="35">
        <v>161390</v>
      </c>
      <c r="I22" s="35">
        <v>233180</v>
      </c>
      <c r="J22" s="35">
        <v>456180</v>
      </c>
      <c r="K22" s="35">
        <v>300740</v>
      </c>
      <c r="L22" s="35">
        <v>215470</v>
      </c>
      <c r="M22" s="35">
        <v>176600</v>
      </c>
      <c r="N22" s="35">
        <v>365320</v>
      </c>
      <c r="O22" s="35">
        <v>385100</v>
      </c>
      <c r="P22" s="35">
        <v>433480</v>
      </c>
      <c r="Q22" s="35">
        <v>365900</v>
      </c>
      <c r="R22" s="35">
        <v>16080</v>
      </c>
      <c r="S22" s="115">
        <v>3963300</v>
      </c>
      <c r="T22" s="115">
        <v>4198400</v>
      </c>
    </row>
    <row r="23" spans="1:20" s="1" customFormat="1">
      <c r="A23" s="60" t="s">
        <v>76</v>
      </c>
      <c r="B23" s="87">
        <v>54460</v>
      </c>
      <c r="C23" s="87">
        <v>50760</v>
      </c>
      <c r="D23" s="87">
        <v>13910</v>
      </c>
      <c r="E23" s="87">
        <v>116350</v>
      </c>
      <c r="F23" s="87">
        <v>691780</v>
      </c>
      <c r="G23" s="87">
        <v>145180</v>
      </c>
      <c r="H23" s="87">
        <v>156390</v>
      </c>
      <c r="I23" s="87">
        <v>227880</v>
      </c>
      <c r="J23" s="87">
        <v>446140</v>
      </c>
      <c r="K23" s="87">
        <v>291240</v>
      </c>
      <c r="L23" s="87">
        <v>208610</v>
      </c>
      <c r="M23" s="87">
        <v>172940</v>
      </c>
      <c r="N23" s="87">
        <v>357060</v>
      </c>
      <c r="O23" s="87">
        <v>380310</v>
      </c>
      <c r="P23" s="87">
        <v>423070</v>
      </c>
      <c r="Q23" s="87">
        <v>359260</v>
      </c>
      <c r="R23" s="87">
        <v>16110</v>
      </c>
      <c r="S23" s="116">
        <v>3876000</v>
      </c>
      <c r="T23" s="116">
        <v>4111400</v>
      </c>
    </row>
    <row r="24" spans="1:20" s="1" customFormat="1">
      <c r="A24" s="27" t="s">
        <v>77</v>
      </c>
      <c r="B24" s="35">
        <v>56540</v>
      </c>
      <c r="C24" s="35">
        <v>52920</v>
      </c>
      <c r="D24" s="35">
        <v>13990</v>
      </c>
      <c r="E24" s="35">
        <v>118020</v>
      </c>
      <c r="F24" s="35">
        <v>673110</v>
      </c>
      <c r="G24" s="35">
        <v>140810</v>
      </c>
      <c r="H24" s="35">
        <v>151940</v>
      </c>
      <c r="I24" s="35">
        <v>221710</v>
      </c>
      <c r="J24" s="35">
        <v>434110</v>
      </c>
      <c r="K24" s="35">
        <v>283280</v>
      </c>
      <c r="L24" s="35">
        <v>203170</v>
      </c>
      <c r="M24" s="35">
        <v>168500</v>
      </c>
      <c r="N24" s="35">
        <v>348760</v>
      </c>
      <c r="O24" s="35">
        <v>371160</v>
      </c>
      <c r="P24" s="35">
        <v>411630</v>
      </c>
      <c r="Q24" s="35">
        <v>353370</v>
      </c>
      <c r="R24" s="35">
        <v>15620</v>
      </c>
      <c r="S24" s="115">
        <v>3777200</v>
      </c>
      <c r="T24" s="115">
        <v>4018600</v>
      </c>
    </row>
    <row r="25" spans="1:20" s="1" customFormat="1">
      <c r="A25" s="27" t="s">
        <v>78</v>
      </c>
      <c r="B25" s="35">
        <v>54350</v>
      </c>
      <c r="C25" s="35">
        <v>50610</v>
      </c>
      <c r="D25" s="35">
        <v>13940</v>
      </c>
      <c r="E25" s="35">
        <v>116960</v>
      </c>
      <c r="F25" s="35">
        <v>645810</v>
      </c>
      <c r="G25" s="35">
        <v>134970</v>
      </c>
      <c r="H25" s="35">
        <v>146800</v>
      </c>
      <c r="I25" s="35">
        <v>216050</v>
      </c>
      <c r="J25" s="35">
        <v>423730</v>
      </c>
      <c r="K25" s="35">
        <v>271370</v>
      </c>
      <c r="L25" s="35">
        <v>196100</v>
      </c>
      <c r="M25" s="35">
        <v>163320</v>
      </c>
      <c r="N25" s="35">
        <v>340820</v>
      </c>
      <c r="O25" s="35">
        <v>365660</v>
      </c>
      <c r="P25" s="35">
        <v>398690</v>
      </c>
      <c r="Q25" s="35">
        <v>335720</v>
      </c>
      <c r="R25" s="35">
        <v>15090</v>
      </c>
      <c r="S25" s="115">
        <v>3654100</v>
      </c>
      <c r="T25" s="115">
        <v>3890000</v>
      </c>
    </row>
    <row r="26" spans="1:20" s="1" customFormat="1">
      <c r="A26" s="27" t="s">
        <v>79</v>
      </c>
      <c r="B26" s="35">
        <v>53350</v>
      </c>
      <c r="C26" s="35">
        <v>48530</v>
      </c>
      <c r="D26" s="35">
        <v>13770</v>
      </c>
      <c r="E26" s="35">
        <v>116370</v>
      </c>
      <c r="F26" s="35">
        <v>629590</v>
      </c>
      <c r="G26" s="35">
        <v>130840</v>
      </c>
      <c r="H26" s="35">
        <v>142960</v>
      </c>
      <c r="I26" s="35">
        <v>210120</v>
      </c>
      <c r="J26" s="35">
        <v>412450</v>
      </c>
      <c r="K26" s="35">
        <v>264480</v>
      </c>
      <c r="L26" s="35">
        <v>192520</v>
      </c>
      <c r="M26" s="35">
        <v>159750</v>
      </c>
      <c r="N26" s="35">
        <v>332910</v>
      </c>
      <c r="O26" s="35">
        <v>359530</v>
      </c>
      <c r="P26" s="35">
        <v>390150</v>
      </c>
      <c r="Q26" s="35">
        <v>335620</v>
      </c>
      <c r="R26" s="35">
        <v>14970</v>
      </c>
      <c r="S26" s="115">
        <v>3575900</v>
      </c>
      <c r="T26" s="115">
        <v>3807900</v>
      </c>
    </row>
    <row r="27" spans="1:20" s="1" customFormat="1">
      <c r="A27" s="60" t="s">
        <v>80</v>
      </c>
      <c r="B27" s="87">
        <v>52820</v>
      </c>
      <c r="C27" s="87">
        <v>48040</v>
      </c>
      <c r="D27" s="87">
        <v>13250</v>
      </c>
      <c r="E27" s="87">
        <v>118350</v>
      </c>
      <c r="F27" s="87">
        <v>603790</v>
      </c>
      <c r="G27" s="87">
        <v>124830</v>
      </c>
      <c r="H27" s="87">
        <v>135900</v>
      </c>
      <c r="I27" s="87">
        <v>202780</v>
      </c>
      <c r="J27" s="87">
        <v>400060</v>
      </c>
      <c r="K27" s="87">
        <v>255100</v>
      </c>
      <c r="L27" s="87">
        <v>184090</v>
      </c>
      <c r="M27" s="87">
        <v>155270</v>
      </c>
      <c r="N27" s="87">
        <v>325450</v>
      </c>
      <c r="O27" s="87">
        <v>350320</v>
      </c>
      <c r="P27" s="87">
        <v>374240</v>
      </c>
      <c r="Q27" s="87">
        <v>331060</v>
      </c>
      <c r="R27" s="87">
        <v>14890</v>
      </c>
      <c r="S27" s="116">
        <v>3457800</v>
      </c>
      <c r="T27" s="116">
        <v>3690300</v>
      </c>
    </row>
    <row r="28" spans="1:20" s="1" customFormat="1">
      <c r="A28" s="27" t="s">
        <v>81</v>
      </c>
      <c r="B28" s="35">
        <v>51940</v>
      </c>
      <c r="C28" s="35">
        <v>46950</v>
      </c>
      <c r="D28" s="35">
        <v>12950</v>
      </c>
      <c r="E28" s="35">
        <v>118500</v>
      </c>
      <c r="F28" s="35">
        <v>590590</v>
      </c>
      <c r="G28" s="35">
        <v>120270</v>
      </c>
      <c r="H28" s="35">
        <v>132580</v>
      </c>
      <c r="I28" s="35">
        <v>198970</v>
      </c>
      <c r="J28" s="35">
        <v>391900</v>
      </c>
      <c r="K28" s="35">
        <v>247590</v>
      </c>
      <c r="L28" s="35">
        <v>181250</v>
      </c>
      <c r="M28" s="35">
        <v>150610</v>
      </c>
      <c r="N28" s="35">
        <v>319350</v>
      </c>
      <c r="O28" s="35">
        <v>343870</v>
      </c>
      <c r="P28" s="35">
        <v>362720</v>
      </c>
      <c r="Q28" s="35">
        <v>324690</v>
      </c>
      <c r="R28" s="35">
        <v>14740</v>
      </c>
      <c r="S28" s="115">
        <v>3379100</v>
      </c>
      <c r="T28" s="115">
        <v>3609500</v>
      </c>
    </row>
    <row r="29" spans="1:20" s="1" customFormat="1">
      <c r="A29" s="27" t="s">
        <v>82</v>
      </c>
      <c r="B29" s="35">
        <v>51430</v>
      </c>
      <c r="C29" s="35">
        <v>45500</v>
      </c>
      <c r="D29" s="35">
        <v>13420</v>
      </c>
      <c r="E29" s="35">
        <v>119600</v>
      </c>
      <c r="F29" s="35">
        <v>589410</v>
      </c>
      <c r="G29" s="35">
        <v>118990</v>
      </c>
      <c r="H29" s="35">
        <v>130810</v>
      </c>
      <c r="I29" s="35">
        <v>196610</v>
      </c>
      <c r="J29" s="35">
        <v>389000</v>
      </c>
      <c r="K29" s="35">
        <v>246950</v>
      </c>
      <c r="L29" s="35">
        <v>179990</v>
      </c>
      <c r="M29" s="35">
        <v>149810</v>
      </c>
      <c r="N29" s="35">
        <v>314140</v>
      </c>
      <c r="O29" s="35">
        <v>339700</v>
      </c>
      <c r="P29" s="35">
        <v>360570</v>
      </c>
      <c r="Q29" s="35">
        <v>320600</v>
      </c>
      <c r="R29" s="35">
        <v>14420</v>
      </c>
      <c r="S29" s="115">
        <v>3351000</v>
      </c>
      <c r="T29" s="115">
        <v>3580900</v>
      </c>
    </row>
    <row r="30" spans="1:20" s="1" customFormat="1">
      <c r="A30" s="27" t="s">
        <v>83</v>
      </c>
      <c r="B30" s="35">
        <v>51750</v>
      </c>
      <c r="C30" s="35">
        <v>45830</v>
      </c>
      <c r="D30" s="35">
        <v>13280</v>
      </c>
      <c r="E30" s="35">
        <v>119470</v>
      </c>
      <c r="F30" s="35">
        <v>597560</v>
      </c>
      <c r="G30" s="35">
        <v>119580</v>
      </c>
      <c r="H30" s="35">
        <v>132950</v>
      </c>
      <c r="I30" s="35">
        <v>195920</v>
      </c>
      <c r="J30" s="35">
        <v>389670</v>
      </c>
      <c r="K30" s="35">
        <v>251220</v>
      </c>
      <c r="L30" s="35">
        <v>180840</v>
      </c>
      <c r="M30" s="35">
        <v>152230</v>
      </c>
      <c r="N30" s="35">
        <v>311810</v>
      </c>
      <c r="O30" s="35">
        <v>336510</v>
      </c>
      <c r="P30" s="35">
        <v>363090</v>
      </c>
      <c r="Q30" s="35">
        <v>316610</v>
      </c>
      <c r="R30" s="35">
        <v>14030</v>
      </c>
      <c r="S30" s="115">
        <v>3362000</v>
      </c>
      <c r="T30" s="115">
        <v>3592400</v>
      </c>
    </row>
    <row r="31" spans="1:20" s="12" customFormat="1">
      <c r="A31" s="60" t="s">
        <v>84</v>
      </c>
      <c r="B31" s="87">
        <v>51130</v>
      </c>
      <c r="C31" s="87">
        <v>45540</v>
      </c>
      <c r="D31" s="87">
        <v>13120</v>
      </c>
      <c r="E31" s="87">
        <v>118120</v>
      </c>
      <c r="F31" s="87">
        <v>613710</v>
      </c>
      <c r="G31" s="87">
        <v>122440</v>
      </c>
      <c r="H31" s="87">
        <v>137870</v>
      </c>
      <c r="I31" s="87">
        <v>199660</v>
      </c>
      <c r="J31" s="87">
        <v>395040</v>
      </c>
      <c r="K31" s="87">
        <v>258250</v>
      </c>
      <c r="L31" s="87">
        <v>185620</v>
      </c>
      <c r="M31" s="87">
        <v>156470</v>
      </c>
      <c r="N31" s="87">
        <v>315750</v>
      </c>
      <c r="O31" s="87">
        <v>342710</v>
      </c>
      <c r="P31" s="87">
        <v>370300</v>
      </c>
      <c r="Q31" s="87">
        <v>318510</v>
      </c>
      <c r="R31" s="87">
        <v>14240</v>
      </c>
      <c r="S31" s="116">
        <v>3430600</v>
      </c>
      <c r="T31" s="116">
        <v>3658500</v>
      </c>
    </row>
    <row r="32" spans="1:20" s="1" customFormat="1">
      <c r="A32" s="27" t="s">
        <v>85</v>
      </c>
      <c r="B32" s="35">
        <v>50860</v>
      </c>
      <c r="C32" s="35">
        <v>45270</v>
      </c>
      <c r="D32" s="35">
        <v>13380</v>
      </c>
      <c r="E32" s="35">
        <v>117870</v>
      </c>
      <c r="F32" s="35">
        <v>635720</v>
      </c>
      <c r="G32" s="35">
        <v>124490</v>
      </c>
      <c r="H32" s="35">
        <v>140630</v>
      </c>
      <c r="I32" s="35">
        <v>200960</v>
      </c>
      <c r="J32" s="35">
        <v>395720</v>
      </c>
      <c r="K32" s="35">
        <v>265300</v>
      </c>
      <c r="L32" s="35">
        <v>185730</v>
      </c>
      <c r="M32" s="35">
        <v>158440</v>
      </c>
      <c r="N32" s="35">
        <v>314150</v>
      </c>
      <c r="O32" s="35">
        <v>344360</v>
      </c>
      <c r="P32" s="35">
        <v>374180</v>
      </c>
      <c r="Q32" s="35">
        <v>312940</v>
      </c>
      <c r="R32" s="35">
        <v>13650</v>
      </c>
      <c r="S32" s="115">
        <v>3466300</v>
      </c>
      <c r="T32" s="115">
        <v>3693700</v>
      </c>
    </row>
    <row r="33" spans="1:20" s="1" customFormat="1">
      <c r="A33" s="27" t="s">
        <v>86</v>
      </c>
      <c r="B33" s="35">
        <v>51320</v>
      </c>
      <c r="C33" s="35">
        <v>45560</v>
      </c>
      <c r="D33" s="35">
        <v>13390</v>
      </c>
      <c r="E33" s="35">
        <v>116990</v>
      </c>
      <c r="F33" s="35">
        <v>657340</v>
      </c>
      <c r="G33" s="35">
        <v>125380</v>
      </c>
      <c r="H33" s="35">
        <v>141600</v>
      </c>
      <c r="I33" s="35">
        <v>200240</v>
      </c>
      <c r="J33" s="35">
        <v>396390</v>
      </c>
      <c r="K33" s="35">
        <v>269700</v>
      </c>
      <c r="L33" s="35">
        <v>185790</v>
      </c>
      <c r="M33" s="35">
        <v>160000</v>
      </c>
      <c r="N33" s="35">
        <v>314290</v>
      </c>
      <c r="O33" s="35">
        <v>345960</v>
      </c>
      <c r="P33" s="35">
        <v>375760</v>
      </c>
      <c r="Q33" s="35">
        <v>310980</v>
      </c>
      <c r="R33" s="35">
        <v>13450</v>
      </c>
      <c r="S33" s="115">
        <v>3496900</v>
      </c>
      <c r="T33" s="115">
        <v>3724100</v>
      </c>
    </row>
    <row r="34" spans="1:20" s="1" customFormat="1">
      <c r="A34" s="27" t="s">
        <v>87</v>
      </c>
      <c r="B34" s="35">
        <v>50950</v>
      </c>
      <c r="C34" s="35">
        <v>44920</v>
      </c>
      <c r="D34" s="35">
        <v>13350</v>
      </c>
      <c r="E34" s="35">
        <v>115340</v>
      </c>
      <c r="F34" s="35">
        <v>675990</v>
      </c>
      <c r="G34" s="35">
        <v>126940</v>
      </c>
      <c r="H34" s="35">
        <v>142820</v>
      </c>
      <c r="I34" s="35">
        <v>200180</v>
      </c>
      <c r="J34" s="35">
        <v>393640</v>
      </c>
      <c r="K34" s="35">
        <v>272490</v>
      </c>
      <c r="L34" s="35">
        <v>185870</v>
      </c>
      <c r="M34" s="35">
        <v>161260</v>
      </c>
      <c r="N34" s="35">
        <v>315390</v>
      </c>
      <c r="O34" s="35">
        <v>343730</v>
      </c>
      <c r="P34" s="35">
        <v>380320</v>
      </c>
      <c r="Q34" s="35">
        <v>310140</v>
      </c>
      <c r="R34" s="35">
        <v>13170</v>
      </c>
      <c r="S34" s="115">
        <v>3521900</v>
      </c>
      <c r="T34" s="115">
        <v>3746500</v>
      </c>
    </row>
    <row r="35" spans="1:20" s="1" customFormat="1">
      <c r="A35" s="60" t="s">
        <v>88</v>
      </c>
      <c r="B35" s="87">
        <v>50700</v>
      </c>
      <c r="C35" s="87">
        <v>44390</v>
      </c>
      <c r="D35" s="87">
        <v>13520</v>
      </c>
      <c r="E35" s="87">
        <v>113440</v>
      </c>
      <c r="F35" s="87">
        <v>691680</v>
      </c>
      <c r="G35" s="87">
        <v>128770</v>
      </c>
      <c r="H35" s="87">
        <v>145210</v>
      </c>
      <c r="I35" s="87">
        <v>199380</v>
      </c>
      <c r="J35" s="87">
        <v>393420</v>
      </c>
      <c r="K35" s="87">
        <v>276830</v>
      </c>
      <c r="L35" s="87">
        <v>186140</v>
      </c>
      <c r="M35" s="87">
        <v>161600</v>
      </c>
      <c r="N35" s="87">
        <v>316600</v>
      </c>
      <c r="O35" s="87">
        <v>346280</v>
      </c>
      <c r="P35" s="87">
        <v>385050</v>
      </c>
      <c r="Q35" s="87">
        <v>309830</v>
      </c>
      <c r="R35" s="87">
        <v>13180</v>
      </c>
      <c r="S35" s="116">
        <v>3554000</v>
      </c>
      <c r="T35" s="116">
        <v>3776000</v>
      </c>
    </row>
    <row r="36" spans="1:20" s="1" customFormat="1">
      <c r="A36" s="27" t="s">
        <v>89</v>
      </c>
      <c r="B36" s="35">
        <v>50130</v>
      </c>
      <c r="C36" s="35">
        <v>43940</v>
      </c>
      <c r="D36" s="35">
        <v>13390</v>
      </c>
      <c r="E36" s="35">
        <v>110220</v>
      </c>
      <c r="F36" s="35">
        <v>706570</v>
      </c>
      <c r="G36" s="35">
        <v>131120</v>
      </c>
      <c r="H36" s="35">
        <v>147060</v>
      </c>
      <c r="I36" s="35">
        <v>203020</v>
      </c>
      <c r="J36" s="35">
        <v>395560</v>
      </c>
      <c r="K36" s="35">
        <v>283920</v>
      </c>
      <c r="L36" s="35">
        <v>190270</v>
      </c>
      <c r="M36" s="35">
        <v>164090</v>
      </c>
      <c r="N36" s="35">
        <v>321660</v>
      </c>
      <c r="O36" s="35">
        <v>350690</v>
      </c>
      <c r="P36" s="35">
        <v>394350</v>
      </c>
      <c r="Q36" s="35">
        <v>314660</v>
      </c>
      <c r="R36" s="35">
        <v>13180</v>
      </c>
      <c r="S36" s="115">
        <v>3616100</v>
      </c>
      <c r="T36" s="115">
        <v>3833800</v>
      </c>
    </row>
    <row r="37" spans="1:20" s="1" customFormat="1">
      <c r="A37" s="27" t="s">
        <v>90</v>
      </c>
      <c r="B37" s="35">
        <v>49960</v>
      </c>
      <c r="C37" s="35">
        <v>43670</v>
      </c>
      <c r="D37" s="35">
        <v>13640</v>
      </c>
      <c r="E37" s="35">
        <v>109650</v>
      </c>
      <c r="F37" s="35">
        <v>724340</v>
      </c>
      <c r="G37" s="35">
        <v>133610</v>
      </c>
      <c r="H37" s="35">
        <v>148470</v>
      </c>
      <c r="I37" s="35">
        <v>205190</v>
      </c>
      <c r="J37" s="35">
        <v>395410</v>
      </c>
      <c r="K37" s="35">
        <v>288970</v>
      </c>
      <c r="L37" s="35">
        <v>191130</v>
      </c>
      <c r="M37" s="35">
        <v>165670</v>
      </c>
      <c r="N37" s="35">
        <v>324630</v>
      </c>
      <c r="O37" s="35">
        <v>346610</v>
      </c>
      <c r="P37" s="35">
        <v>397270</v>
      </c>
      <c r="Q37" s="35">
        <v>315800</v>
      </c>
      <c r="R37" s="35">
        <v>12430</v>
      </c>
      <c r="S37" s="115">
        <v>3649500</v>
      </c>
      <c r="T37" s="115">
        <v>3866500</v>
      </c>
    </row>
    <row r="38" spans="1:20" s="1" customFormat="1">
      <c r="A38" s="27" t="s">
        <v>91</v>
      </c>
      <c r="B38" s="35">
        <v>49890</v>
      </c>
      <c r="C38" s="35">
        <v>43180</v>
      </c>
      <c r="D38" s="35">
        <v>13330</v>
      </c>
      <c r="E38" s="35">
        <v>107700</v>
      </c>
      <c r="F38" s="35">
        <v>733880</v>
      </c>
      <c r="G38" s="35">
        <v>136460</v>
      </c>
      <c r="H38" s="35">
        <v>151970</v>
      </c>
      <c r="I38" s="35">
        <v>206940</v>
      </c>
      <c r="J38" s="35">
        <v>400070</v>
      </c>
      <c r="K38" s="35">
        <v>293030</v>
      </c>
      <c r="L38" s="35">
        <v>192670</v>
      </c>
      <c r="M38" s="35">
        <v>167460</v>
      </c>
      <c r="N38" s="35">
        <v>330030</v>
      </c>
      <c r="O38" s="35">
        <v>353670</v>
      </c>
      <c r="P38" s="35">
        <v>404390</v>
      </c>
      <c r="Q38" s="35">
        <v>316350</v>
      </c>
      <c r="R38" s="35">
        <v>13150</v>
      </c>
      <c r="S38" s="115">
        <v>3700100</v>
      </c>
      <c r="T38" s="115">
        <v>3914200</v>
      </c>
    </row>
    <row r="39" spans="1:20" s="1" customFormat="1">
      <c r="A39" s="60" t="s">
        <v>92</v>
      </c>
      <c r="B39" s="87">
        <v>49270</v>
      </c>
      <c r="C39" s="87">
        <v>42480</v>
      </c>
      <c r="D39" s="87">
        <v>13640</v>
      </c>
      <c r="E39" s="87">
        <v>104670</v>
      </c>
      <c r="F39" s="87">
        <v>746950</v>
      </c>
      <c r="G39" s="87">
        <v>139870</v>
      </c>
      <c r="H39" s="87">
        <v>155080</v>
      </c>
      <c r="I39" s="87">
        <v>210010</v>
      </c>
      <c r="J39" s="87">
        <v>406930</v>
      </c>
      <c r="K39" s="87">
        <v>299450</v>
      </c>
      <c r="L39" s="87">
        <v>196500</v>
      </c>
      <c r="M39" s="87">
        <v>169810</v>
      </c>
      <c r="N39" s="87">
        <v>334800</v>
      </c>
      <c r="O39" s="87">
        <v>356150</v>
      </c>
      <c r="P39" s="87">
        <v>410040</v>
      </c>
      <c r="Q39" s="87">
        <v>317430</v>
      </c>
      <c r="R39" s="87">
        <v>13290</v>
      </c>
      <c r="S39" s="116">
        <v>3756300</v>
      </c>
      <c r="T39" s="116">
        <v>3966400</v>
      </c>
    </row>
    <row r="40" spans="1:20" s="1" customFormat="1">
      <c r="A40" s="27" t="s">
        <v>93</v>
      </c>
      <c r="B40" s="35">
        <v>48580</v>
      </c>
      <c r="C40" s="35">
        <v>42080</v>
      </c>
      <c r="D40" s="35">
        <v>13600</v>
      </c>
      <c r="E40" s="35">
        <v>102930</v>
      </c>
      <c r="F40" s="35">
        <v>740790</v>
      </c>
      <c r="G40" s="35">
        <v>140010</v>
      </c>
      <c r="H40" s="35">
        <v>153900</v>
      </c>
      <c r="I40" s="35">
        <v>209130</v>
      </c>
      <c r="J40" s="35">
        <v>405810</v>
      </c>
      <c r="K40" s="35">
        <v>299280</v>
      </c>
      <c r="L40" s="35">
        <v>195680</v>
      </c>
      <c r="M40" s="35">
        <v>168930</v>
      </c>
      <c r="N40" s="35">
        <v>333370</v>
      </c>
      <c r="O40" s="35">
        <v>352030</v>
      </c>
      <c r="P40" s="35">
        <v>408250</v>
      </c>
      <c r="Q40" s="35">
        <v>311260</v>
      </c>
      <c r="R40" s="35">
        <v>13250</v>
      </c>
      <c r="S40" s="115">
        <v>3731700</v>
      </c>
      <c r="T40" s="115">
        <v>3938900</v>
      </c>
    </row>
    <row r="41" spans="1:20" s="1" customFormat="1">
      <c r="A41" s="27" t="s">
        <v>94</v>
      </c>
      <c r="B41" s="35">
        <v>48390</v>
      </c>
      <c r="C41" s="35">
        <v>42280</v>
      </c>
      <c r="D41" s="35">
        <v>13770</v>
      </c>
      <c r="E41" s="35">
        <v>103060</v>
      </c>
      <c r="F41" s="35">
        <v>748650</v>
      </c>
      <c r="G41" s="35">
        <v>142020</v>
      </c>
      <c r="H41" s="35">
        <v>155430</v>
      </c>
      <c r="I41" s="35">
        <v>210790</v>
      </c>
      <c r="J41" s="35">
        <v>409070</v>
      </c>
      <c r="K41" s="35">
        <v>303920</v>
      </c>
      <c r="L41" s="35">
        <v>198860</v>
      </c>
      <c r="M41" s="35">
        <v>169500</v>
      </c>
      <c r="N41" s="35">
        <v>336880</v>
      </c>
      <c r="O41" s="35">
        <v>356370</v>
      </c>
      <c r="P41" s="35">
        <v>413410</v>
      </c>
      <c r="Q41" s="35">
        <v>313550</v>
      </c>
      <c r="R41" s="35">
        <v>13540</v>
      </c>
      <c r="S41" s="115">
        <v>3772000</v>
      </c>
      <c r="T41" s="115">
        <v>3979500</v>
      </c>
    </row>
    <row r="42" spans="1:20" s="1" customFormat="1">
      <c r="A42" s="27" t="s">
        <v>95</v>
      </c>
      <c r="B42" s="35">
        <v>49210</v>
      </c>
      <c r="C42" s="35">
        <v>43220</v>
      </c>
      <c r="D42" s="35">
        <v>14390</v>
      </c>
      <c r="E42" s="35">
        <v>102700</v>
      </c>
      <c r="F42" s="35">
        <v>757580</v>
      </c>
      <c r="G42" s="35">
        <v>144470</v>
      </c>
      <c r="H42" s="35">
        <v>157310</v>
      </c>
      <c r="I42" s="35">
        <v>213850</v>
      </c>
      <c r="J42" s="35">
        <v>413520</v>
      </c>
      <c r="K42" s="35">
        <v>309850</v>
      </c>
      <c r="L42" s="35">
        <v>201990</v>
      </c>
      <c r="M42" s="35">
        <v>171000</v>
      </c>
      <c r="N42" s="35">
        <v>340380</v>
      </c>
      <c r="O42" s="35">
        <v>360600</v>
      </c>
      <c r="P42" s="35">
        <v>416970</v>
      </c>
      <c r="Q42" s="35">
        <v>318480</v>
      </c>
      <c r="R42" s="35">
        <v>13890</v>
      </c>
      <c r="S42" s="115">
        <v>3819900</v>
      </c>
      <c r="T42" s="115">
        <v>4029400</v>
      </c>
    </row>
    <row r="43" spans="1:20" s="12" customFormat="1">
      <c r="A43" s="60" t="s">
        <v>96</v>
      </c>
      <c r="B43" s="87">
        <v>49700</v>
      </c>
      <c r="C43" s="87">
        <v>43500</v>
      </c>
      <c r="D43" s="87">
        <v>14660</v>
      </c>
      <c r="E43" s="87">
        <v>102310</v>
      </c>
      <c r="F43" s="87">
        <v>764060</v>
      </c>
      <c r="G43" s="87">
        <v>146900</v>
      </c>
      <c r="H43" s="87">
        <v>158760</v>
      </c>
      <c r="I43" s="87">
        <v>215790</v>
      </c>
      <c r="J43" s="87">
        <v>418000</v>
      </c>
      <c r="K43" s="87">
        <v>315000</v>
      </c>
      <c r="L43" s="87">
        <v>204030</v>
      </c>
      <c r="M43" s="87">
        <v>171940</v>
      </c>
      <c r="N43" s="87">
        <v>344860</v>
      </c>
      <c r="O43" s="87">
        <v>363060</v>
      </c>
      <c r="P43" s="87">
        <v>417980</v>
      </c>
      <c r="Q43" s="87">
        <v>322170</v>
      </c>
      <c r="R43" s="87">
        <v>13830</v>
      </c>
      <c r="S43" s="116">
        <v>3856400</v>
      </c>
      <c r="T43" s="116">
        <v>4066600</v>
      </c>
    </row>
    <row r="44" spans="1:20" s="1" customFormat="1">
      <c r="A44" s="27" t="s">
        <v>97</v>
      </c>
      <c r="B44" s="35">
        <v>49880</v>
      </c>
      <c r="C44" s="35">
        <v>43320</v>
      </c>
      <c r="D44" s="35">
        <v>14930</v>
      </c>
      <c r="E44" s="35">
        <v>102880</v>
      </c>
      <c r="F44" s="35">
        <v>764990</v>
      </c>
      <c r="G44" s="35">
        <v>148200</v>
      </c>
      <c r="H44" s="35">
        <v>159990</v>
      </c>
      <c r="I44" s="35">
        <v>216240</v>
      </c>
      <c r="J44" s="35">
        <v>420680</v>
      </c>
      <c r="K44" s="35">
        <v>317290</v>
      </c>
      <c r="L44" s="35">
        <v>205950</v>
      </c>
      <c r="M44" s="35">
        <v>173430</v>
      </c>
      <c r="N44" s="35">
        <v>347850</v>
      </c>
      <c r="O44" s="35">
        <v>365650</v>
      </c>
      <c r="P44" s="35">
        <v>416880</v>
      </c>
      <c r="Q44" s="35">
        <v>323390</v>
      </c>
      <c r="R44" s="35">
        <v>13760</v>
      </c>
      <c r="S44" s="115">
        <v>3874300</v>
      </c>
      <c r="T44" s="115">
        <v>4085300</v>
      </c>
    </row>
    <row r="45" spans="1:20" s="1" customFormat="1">
      <c r="A45" s="27" t="s">
        <v>98</v>
      </c>
      <c r="B45" s="35">
        <v>50010</v>
      </c>
      <c r="C45" s="35">
        <v>42580</v>
      </c>
      <c r="D45" s="35">
        <v>14850</v>
      </c>
      <c r="E45" s="35">
        <v>101030</v>
      </c>
      <c r="F45" s="35">
        <v>761430</v>
      </c>
      <c r="G45" s="35">
        <v>148290</v>
      </c>
      <c r="H45" s="35">
        <v>161260</v>
      </c>
      <c r="I45" s="35">
        <v>217390</v>
      </c>
      <c r="J45" s="35">
        <v>423540</v>
      </c>
      <c r="K45" s="35">
        <v>319290</v>
      </c>
      <c r="L45" s="35">
        <v>208110</v>
      </c>
      <c r="M45" s="35">
        <v>175530</v>
      </c>
      <c r="N45" s="35">
        <v>349410</v>
      </c>
      <c r="O45" s="35">
        <v>368290</v>
      </c>
      <c r="P45" s="35">
        <v>417630</v>
      </c>
      <c r="Q45" s="35">
        <v>324710</v>
      </c>
      <c r="R45" s="35">
        <v>14020</v>
      </c>
      <c r="S45" s="115">
        <v>3888900</v>
      </c>
      <c r="T45" s="115">
        <v>4097400</v>
      </c>
    </row>
    <row r="46" spans="1:20" s="1" customFormat="1">
      <c r="A46" s="27" t="s">
        <v>99</v>
      </c>
      <c r="B46" s="35">
        <v>50120</v>
      </c>
      <c r="C46" s="35">
        <v>42870</v>
      </c>
      <c r="D46" s="35">
        <v>15190</v>
      </c>
      <c r="E46" s="35">
        <v>99420</v>
      </c>
      <c r="F46" s="35">
        <v>745790</v>
      </c>
      <c r="G46" s="35">
        <v>145290</v>
      </c>
      <c r="H46" s="35">
        <v>160490</v>
      </c>
      <c r="I46" s="35">
        <v>214420</v>
      </c>
      <c r="J46" s="35">
        <v>423280</v>
      </c>
      <c r="K46" s="35">
        <v>317190</v>
      </c>
      <c r="L46" s="35">
        <v>205330</v>
      </c>
      <c r="M46" s="35">
        <v>174070</v>
      </c>
      <c r="N46" s="35">
        <v>347000</v>
      </c>
      <c r="O46" s="35">
        <v>365340</v>
      </c>
      <c r="P46" s="35">
        <v>410320</v>
      </c>
      <c r="Q46" s="35">
        <v>322790</v>
      </c>
      <c r="R46" s="35">
        <v>13620</v>
      </c>
      <c r="S46" s="115">
        <v>3844900</v>
      </c>
      <c r="T46" s="115">
        <v>4052600</v>
      </c>
    </row>
    <row r="47" spans="1:20" s="1" customFormat="1">
      <c r="A47" s="60" t="s">
        <v>100</v>
      </c>
      <c r="B47" s="87">
        <v>50290</v>
      </c>
      <c r="C47" s="87">
        <v>42730</v>
      </c>
      <c r="D47" s="87">
        <v>14810</v>
      </c>
      <c r="E47" s="87">
        <v>98740</v>
      </c>
      <c r="F47" s="87">
        <v>726770</v>
      </c>
      <c r="G47" s="87">
        <v>142280</v>
      </c>
      <c r="H47" s="87">
        <v>157090</v>
      </c>
      <c r="I47" s="87">
        <v>209120</v>
      </c>
      <c r="J47" s="87">
        <v>417830</v>
      </c>
      <c r="K47" s="87">
        <v>312740</v>
      </c>
      <c r="L47" s="87">
        <v>202740</v>
      </c>
      <c r="M47" s="87">
        <v>171480</v>
      </c>
      <c r="N47" s="87">
        <v>339240</v>
      </c>
      <c r="O47" s="87">
        <v>358360</v>
      </c>
      <c r="P47" s="87">
        <v>401270</v>
      </c>
      <c r="Q47" s="87">
        <v>314360</v>
      </c>
      <c r="R47" s="87">
        <v>13050</v>
      </c>
      <c r="S47" s="116">
        <v>3766300</v>
      </c>
      <c r="T47" s="116">
        <v>3972900</v>
      </c>
    </row>
    <row r="48" spans="1:20" s="1" customFormat="1">
      <c r="A48" s="27" t="s">
        <v>101</v>
      </c>
      <c r="B48" s="35">
        <v>49850</v>
      </c>
      <c r="C48" s="35">
        <v>42440</v>
      </c>
      <c r="D48" s="35">
        <v>14660</v>
      </c>
      <c r="E48" s="35">
        <v>98030</v>
      </c>
      <c r="F48" s="35">
        <v>704180</v>
      </c>
      <c r="G48" s="35">
        <v>140030</v>
      </c>
      <c r="H48" s="35">
        <v>155040</v>
      </c>
      <c r="I48" s="35">
        <v>202440</v>
      </c>
      <c r="J48" s="35">
        <v>410580</v>
      </c>
      <c r="K48" s="35">
        <v>308560</v>
      </c>
      <c r="L48" s="35">
        <v>199740</v>
      </c>
      <c r="M48" s="35">
        <v>168870</v>
      </c>
      <c r="N48" s="35">
        <v>330560</v>
      </c>
      <c r="O48" s="35">
        <v>351640</v>
      </c>
      <c r="P48" s="35">
        <v>392050</v>
      </c>
      <c r="Q48" s="35">
        <v>308680</v>
      </c>
      <c r="R48" s="35">
        <v>12840</v>
      </c>
      <c r="S48" s="115">
        <v>3685200</v>
      </c>
      <c r="T48" s="115">
        <v>3890200</v>
      </c>
    </row>
    <row r="49" spans="1:20" s="1" customFormat="1">
      <c r="A49" s="27" t="s">
        <v>102</v>
      </c>
      <c r="B49" s="35">
        <v>49390</v>
      </c>
      <c r="C49" s="35">
        <v>42370</v>
      </c>
      <c r="D49" s="35">
        <v>14410</v>
      </c>
      <c r="E49" s="35">
        <v>94140</v>
      </c>
      <c r="F49" s="35">
        <v>680660</v>
      </c>
      <c r="G49" s="35">
        <v>135990</v>
      </c>
      <c r="H49" s="35">
        <v>151600</v>
      </c>
      <c r="I49" s="35">
        <v>196250</v>
      </c>
      <c r="J49" s="35">
        <v>400220</v>
      </c>
      <c r="K49" s="35">
        <v>303020</v>
      </c>
      <c r="L49" s="35">
        <v>194830</v>
      </c>
      <c r="M49" s="35">
        <v>163530</v>
      </c>
      <c r="N49" s="35">
        <v>320140</v>
      </c>
      <c r="O49" s="35">
        <v>342790</v>
      </c>
      <c r="P49" s="35">
        <v>379360</v>
      </c>
      <c r="Q49" s="35">
        <v>301390</v>
      </c>
      <c r="R49" s="35">
        <v>12610</v>
      </c>
      <c r="S49" s="115">
        <v>3582400</v>
      </c>
      <c r="T49" s="115">
        <v>3782700</v>
      </c>
    </row>
    <row r="50" spans="1:20" s="1" customFormat="1">
      <c r="A50" s="27" t="s">
        <v>103</v>
      </c>
      <c r="B50" s="35">
        <v>49630</v>
      </c>
      <c r="C50" s="35">
        <v>42420</v>
      </c>
      <c r="D50" s="35">
        <v>14110</v>
      </c>
      <c r="E50" s="35">
        <v>92690</v>
      </c>
      <c r="F50" s="35">
        <v>660630</v>
      </c>
      <c r="G50" s="35">
        <v>132300</v>
      </c>
      <c r="H50" s="35">
        <v>147530</v>
      </c>
      <c r="I50" s="35">
        <v>191520</v>
      </c>
      <c r="J50" s="35">
        <v>390160</v>
      </c>
      <c r="K50" s="35">
        <v>292820</v>
      </c>
      <c r="L50" s="35">
        <v>190610</v>
      </c>
      <c r="M50" s="35">
        <v>159440</v>
      </c>
      <c r="N50" s="35">
        <v>311980</v>
      </c>
      <c r="O50" s="35">
        <v>334800</v>
      </c>
      <c r="P50" s="35">
        <v>369610</v>
      </c>
      <c r="Q50" s="35">
        <v>293960</v>
      </c>
      <c r="R50" s="35">
        <v>12360</v>
      </c>
      <c r="S50" s="115">
        <v>3487700</v>
      </c>
      <c r="T50" s="115">
        <v>3686600</v>
      </c>
    </row>
    <row r="51" spans="1:20" s="1" customFormat="1">
      <c r="A51" s="60" t="s">
        <v>104</v>
      </c>
      <c r="B51" s="87">
        <v>49630</v>
      </c>
      <c r="C51" s="87">
        <v>41350</v>
      </c>
      <c r="D51" s="87">
        <v>13900</v>
      </c>
      <c r="E51" s="87">
        <v>91330</v>
      </c>
      <c r="F51" s="87">
        <v>646290</v>
      </c>
      <c r="G51" s="87">
        <v>129230</v>
      </c>
      <c r="H51" s="87">
        <v>143310</v>
      </c>
      <c r="I51" s="87">
        <v>187150</v>
      </c>
      <c r="J51" s="87">
        <v>381950</v>
      </c>
      <c r="K51" s="87">
        <v>282840</v>
      </c>
      <c r="L51" s="87">
        <v>185840</v>
      </c>
      <c r="M51" s="87">
        <v>155190</v>
      </c>
      <c r="N51" s="87">
        <v>304860</v>
      </c>
      <c r="O51" s="87">
        <v>326320</v>
      </c>
      <c r="P51" s="87">
        <v>363540</v>
      </c>
      <c r="Q51" s="87">
        <v>291860</v>
      </c>
      <c r="R51" s="87">
        <v>12210</v>
      </c>
      <c r="S51" s="116">
        <v>3410600</v>
      </c>
      <c r="T51" s="116">
        <v>3606800</v>
      </c>
    </row>
    <row r="52" spans="1:20" s="1" customFormat="1">
      <c r="A52" s="27" t="s">
        <v>105</v>
      </c>
      <c r="B52" s="35">
        <v>49600</v>
      </c>
      <c r="C52" s="35">
        <v>41010</v>
      </c>
      <c r="D52" s="35">
        <v>13780</v>
      </c>
      <c r="E52" s="35">
        <v>89790</v>
      </c>
      <c r="F52" s="35">
        <v>629190</v>
      </c>
      <c r="G52" s="35">
        <v>124290</v>
      </c>
      <c r="H52" s="35">
        <v>138600</v>
      </c>
      <c r="I52" s="35">
        <v>181860</v>
      </c>
      <c r="J52" s="35">
        <v>372930</v>
      </c>
      <c r="K52" s="35">
        <v>273450</v>
      </c>
      <c r="L52" s="35">
        <v>179990</v>
      </c>
      <c r="M52" s="35">
        <v>150560</v>
      </c>
      <c r="N52" s="35">
        <v>295390</v>
      </c>
      <c r="O52" s="35">
        <v>316880</v>
      </c>
      <c r="P52" s="35">
        <v>354650</v>
      </c>
      <c r="Q52" s="35">
        <v>285540</v>
      </c>
      <c r="R52" s="35">
        <v>11660</v>
      </c>
      <c r="S52" s="115">
        <v>3315000</v>
      </c>
      <c r="T52" s="115">
        <v>3509200</v>
      </c>
    </row>
    <row r="53" spans="1:20" s="1" customFormat="1">
      <c r="A53" s="27" t="s">
        <v>106</v>
      </c>
      <c r="B53" s="35">
        <v>49260</v>
      </c>
      <c r="C53" s="35">
        <v>40730</v>
      </c>
      <c r="D53" s="35">
        <v>13550</v>
      </c>
      <c r="E53" s="35">
        <v>89390</v>
      </c>
      <c r="F53" s="35">
        <v>614720</v>
      </c>
      <c r="G53" s="35">
        <v>120580</v>
      </c>
      <c r="H53" s="35">
        <v>133970</v>
      </c>
      <c r="I53" s="35">
        <v>175620</v>
      </c>
      <c r="J53" s="35">
        <v>365540</v>
      </c>
      <c r="K53" s="35">
        <v>264080</v>
      </c>
      <c r="L53" s="35">
        <v>174370</v>
      </c>
      <c r="M53" s="35">
        <v>147280</v>
      </c>
      <c r="N53" s="35">
        <v>287640</v>
      </c>
      <c r="O53" s="35">
        <v>309170</v>
      </c>
      <c r="P53" s="35">
        <v>345610</v>
      </c>
      <c r="Q53" s="35">
        <v>280110</v>
      </c>
      <c r="R53" s="35">
        <v>11270</v>
      </c>
      <c r="S53" s="115">
        <v>3229900</v>
      </c>
      <c r="T53" s="115">
        <v>3422900</v>
      </c>
    </row>
    <row r="54" spans="1:20" s="1" customFormat="1">
      <c r="A54" s="27" t="s">
        <v>107</v>
      </c>
      <c r="B54" s="35">
        <v>47970</v>
      </c>
      <c r="C54" s="35">
        <v>39510</v>
      </c>
      <c r="D54" s="35">
        <v>13580</v>
      </c>
      <c r="E54" s="35">
        <v>88330</v>
      </c>
      <c r="F54" s="35">
        <v>602380</v>
      </c>
      <c r="G54" s="35">
        <v>119140</v>
      </c>
      <c r="H54" s="35">
        <v>131920</v>
      </c>
      <c r="I54" s="35">
        <v>172770</v>
      </c>
      <c r="J54" s="35">
        <v>362080</v>
      </c>
      <c r="K54" s="35">
        <v>260940</v>
      </c>
      <c r="L54" s="35">
        <v>171260</v>
      </c>
      <c r="M54" s="35">
        <v>145360</v>
      </c>
      <c r="N54" s="35">
        <v>282440</v>
      </c>
      <c r="O54" s="35">
        <v>304060</v>
      </c>
      <c r="P54" s="35">
        <v>340790</v>
      </c>
      <c r="Q54" s="35">
        <v>274690</v>
      </c>
      <c r="R54" s="35">
        <v>11110</v>
      </c>
      <c r="S54" s="115">
        <v>3178900</v>
      </c>
      <c r="T54" s="115">
        <v>3368300</v>
      </c>
    </row>
    <row r="55" spans="1:20" s="12" customFormat="1">
      <c r="A55" s="60" t="s">
        <v>108</v>
      </c>
      <c r="B55" s="87">
        <v>47330</v>
      </c>
      <c r="C55" s="87">
        <v>39950</v>
      </c>
      <c r="D55" s="87">
        <v>13410</v>
      </c>
      <c r="E55" s="87">
        <v>86600</v>
      </c>
      <c r="F55" s="87">
        <v>584290</v>
      </c>
      <c r="G55" s="87">
        <v>116240</v>
      </c>
      <c r="H55" s="87">
        <v>128540</v>
      </c>
      <c r="I55" s="87">
        <v>169030</v>
      </c>
      <c r="J55" s="87">
        <v>358720</v>
      </c>
      <c r="K55" s="87">
        <v>256490</v>
      </c>
      <c r="L55" s="87">
        <v>167220</v>
      </c>
      <c r="M55" s="87">
        <v>142400</v>
      </c>
      <c r="N55" s="87">
        <v>276540</v>
      </c>
      <c r="O55" s="87">
        <v>302700</v>
      </c>
      <c r="P55" s="87">
        <v>333800</v>
      </c>
      <c r="Q55" s="87">
        <v>270230</v>
      </c>
      <c r="R55" s="87">
        <v>11080</v>
      </c>
      <c r="S55" s="116">
        <v>3117300</v>
      </c>
      <c r="T55" s="116">
        <v>3304600</v>
      </c>
    </row>
    <row r="56" spans="1:20" s="1" customFormat="1">
      <c r="A56" s="27" t="s">
        <v>109</v>
      </c>
      <c r="B56" s="35">
        <v>47390</v>
      </c>
      <c r="C56" s="35">
        <v>40590</v>
      </c>
      <c r="D56" s="35">
        <v>13550</v>
      </c>
      <c r="E56" s="35">
        <v>87030</v>
      </c>
      <c r="F56" s="35">
        <v>574600</v>
      </c>
      <c r="G56" s="35">
        <v>115240</v>
      </c>
      <c r="H56" s="35">
        <v>126870</v>
      </c>
      <c r="I56" s="35">
        <v>167140</v>
      </c>
      <c r="J56" s="35">
        <v>356770</v>
      </c>
      <c r="K56" s="35">
        <v>253550</v>
      </c>
      <c r="L56" s="35">
        <v>165620</v>
      </c>
      <c r="M56" s="35">
        <v>139930</v>
      </c>
      <c r="N56" s="35">
        <v>274880</v>
      </c>
      <c r="O56" s="35">
        <v>299730</v>
      </c>
      <c r="P56" s="35">
        <v>328280</v>
      </c>
      <c r="Q56" s="35">
        <v>264920</v>
      </c>
      <c r="R56" s="35">
        <v>11000</v>
      </c>
      <c r="S56" s="115">
        <v>3078500</v>
      </c>
      <c r="T56" s="115">
        <v>3267100</v>
      </c>
    </row>
    <row r="57" spans="1:20" s="1" customFormat="1">
      <c r="A57" s="27" t="s">
        <v>110</v>
      </c>
      <c r="B57" s="35">
        <v>47800</v>
      </c>
      <c r="C57" s="35">
        <v>40050</v>
      </c>
      <c r="D57" s="35">
        <v>14240</v>
      </c>
      <c r="E57" s="35">
        <v>88860</v>
      </c>
      <c r="F57" s="35">
        <v>566970</v>
      </c>
      <c r="G57" s="35">
        <v>115150</v>
      </c>
      <c r="H57" s="35">
        <v>125140</v>
      </c>
      <c r="I57" s="35">
        <v>165980</v>
      </c>
      <c r="J57" s="35">
        <v>355980</v>
      </c>
      <c r="K57" s="35">
        <v>251050</v>
      </c>
      <c r="L57" s="35">
        <v>163230</v>
      </c>
      <c r="M57" s="35">
        <v>137230</v>
      </c>
      <c r="N57" s="35">
        <v>273530</v>
      </c>
      <c r="O57" s="35">
        <v>298980</v>
      </c>
      <c r="P57" s="35">
        <v>328320</v>
      </c>
      <c r="Q57" s="35">
        <v>261870</v>
      </c>
      <c r="R57" s="35">
        <v>10760</v>
      </c>
      <c r="S57" s="115">
        <v>3054200</v>
      </c>
      <c r="T57" s="115">
        <v>3245200</v>
      </c>
    </row>
    <row r="58" spans="1:20" s="1" customFormat="1">
      <c r="A58" s="27" t="s">
        <v>111</v>
      </c>
      <c r="B58" s="35">
        <v>47770</v>
      </c>
      <c r="C58" s="35">
        <v>40410</v>
      </c>
      <c r="D58" s="35">
        <v>14420</v>
      </c>
      <c r="E58" s="35">
        <v>91170</v>
      </c>
      <c r="F58" s="35">
        <v>568100</v>
      </c>
      <c r="G58" s="35">
        <v>117180</v>
      </c>
      <c r="H58" s="35">
        <v>126760</v>
      </c>
      <c r="I58" s="35">
        <v>168450</v>
      </c>
      <c r="J58" s="35">
        <v>359530</v>
      </c>
      <c r="K58" s="35">
        <v>253970</v>
      </c>
      <c r="L58" s="35">
        <v>165730</v>
      </c>
      <c r="M58" s="35">
        <v>138500</v>
      </c>
      <c r="N58" s="35">
        <v>275880</v>
      </c>
      <c r="O58" s="35">
        <v>303070</v>
      </c>
      <c r="P58" s="35">
        <v>334720</v>
      </c>
      <c r="Q58" s="35">
        <v>264080</v>
      </c>
      <c r="R58" s="35">
        <v>10890</v>
      </c>
      <c r="S58" s="115">
        <v>3086900</v>
      </c>
      <c r="T58" s="115">
        <v>3280600</v>
      </c>
    </row>
    <row r="59" spans="1:20" s="1" customFormat="1">
      <c r="A59" s="60" t="s">
        <v>112</v>
      </c>
      <c r="B59" s="87">
        <v>47970</v>
      </c>
      <c r="C59" s="87">
        <v>40690</v>
      </c>
      <c r="D59" s="87">
        <v>14470</v>
      </c>
      <c r="E59" s="87">
        <v>93480</v>
      </c>
      <c r="F59" s="87">
        <v>578550</v>
      </c>
      <c r="G59" s="87">
        <v>121620</v>
      </c>
      <c r="H59" s="87">
        <v>132400</v>
      </c>
      <c r="I59" s="87">
        <v>176600</v>
      </c>
      <c r="J59" s="87">
        <v>369650</v>
      </c>
      <c r="K59" s="87">
        <v>265740</v>
      </c>
      <c r="L59" s="87">
        <v>174510</v>
      </c>
      <c r="M59" s="87">
        <v>145310</v>
      </c>
      <c r="N59" s="87">
        <v>286820</v>
      </c>
      <c r="O59" s="87">
        <v>314180</v>
      </c>
      <c r="P59" s="87">
        <v>351180</v>
      </c>
      <c r="Q59" s="87">
        <v>273070</v>
      </c>
      <c r="R59" s="87">
        <v>11160</v>
      </c>
      <c r="S59" s="116">
        <v>3200800</v>
      </c>
      <c r="T59" s="116">
        <v>3397400</v>
      </c>
    </row>
    <row r="60" spans="1:20" s="1" customFormat="1">
      <c r="A60" s="27" t="s">
        <v>113</v>
      </c>
      <c r="B60" s="35">
        <v>46630</v>
      </c>
      <c r="C60" s="35">
        <v>39910</v>
      </c>
      <c r="D60" s="35">
        <v>14980</v>
      </c>
      <c r="E60" s="35">
        <v>98280</v>
      </c>
      <c r="F60" s="35">
        <v>605440</v>
      </c>
      <c r="G60" s="35">
        <v>129730</v>
      </c>
      <c r="H60" s="35">
        <v>142780</v>
      </c>
      <c r="I60" s="35">
        <v>187870</v>
      </c>
      <c r="J60" s="35">
        <v>389570</v>
      </c>
      <c r="K60" s="35">
        <v>285640</v>
      </c>
      <c r="L60" s="35">
        <v>188970</v>
      </c>
      <c r="M60" s="35">
        <v>154100</v>
      </c>
      <c r="N60" s="35">
        <v>301340</v>
      </c>
      <c r="O60" s="35">
        <v>329420</v>
      </c>
      <c r="P60" s="35">
        <v>378920</v>
      </c>
      <c r="Q60" s="35">
        <v>287880</v>
      </c>
      <c r="R60" s="35">
        <v>11410</v>
      </c>
      <c r="S60" s="115">
        <v>3393100</v>
      </c>
      <c r="T60" s="115">
        <v>3592900</v>
      </c>
    </row>
    <row r="61" spans="1:20" s="1" customFormat="1">
      <c r="A61" s="27" t="s">
        <v>114</v>
      </c>
      <c r="B61" s="35">
        <v>50230</v>
      </c>
      <c r="C61" s="35">
        <v>42990</v>
      </c>
      <c r="D61" s="35">
        <v>15660</v>
      </c>
      <c r="E61" s="35">
        <v>104640</v>
      </c>
      <c r="F61" s="35">
        <v>638020</v>
      </c>
      <c r="G61" s="35">
        <v>137650</v>
      </c>
      <c r="H61" s="35">
        <v>152520</v>
      </c>
      <c r="I61" s="35">
        <v>198480</v>
      </c>
      <c r="J61" s="35">
        <v>410730</v>
      </c>
      <c r="K61" s="35">
        <v>306640</v>
      </c>
      <c r="L61" s="35">
        <v>203090</v>
      </c>
      <c r="M61" s="35">
        <v>163670</v>
      </c>
      <c r="N61" s="35">
        <v>317110</v>
      </c>
      <c r="O61" s="35">
        <v>344950</v>
      </c>
      <c r="P61" s="35">
        <v>404880</v>
      </c>
      <c r="Q61" s="35">
        <v>300310</v>
      </c>
      <c r="R61" s="35">
        <v>11840</v>
      </c>
      <c r="S61" s="115">
        <v>3589900</v>
      </c>
      <c r="T61" s="115">
        <v>3803400</v>
      </c>
    </row>
    <row r="62" spans="1:20" s="1" customFormat="1">
      <c r="A62" s="27" t="s">
        <v>115</v>
      </c>
      <c r="B62" s="35">
        <v>51380</v>
      </c>
      <c r="C62" s="35">
        <v>44150</v>
      </c>
      <c r="D62" s="35">
        <v>15850</v>
      </c>
      <c r="E62" s="35">
        <v>108730</v>
      </c>
      <c r="F62" s="35">
        <v>665110</v>
      </c>
      <c r="G62" s="35">
        <v>143030</v>
      </c>
      <c r="H62" s="35">
        <v>157860</v>
      </c>
      <c r="I62" s="35">
        <v>203520</v>
      </c>
      <c r="J62" s="35">
        <v>423060</v>
      </c>
      <c r="K62" s="35">
        <v>317770</v>
      </c>
      <c r="L62" s="35">
        <v>209560</v>
      </c>
      <c r="M62" s="35">
        <v>169260</v>
      </c>
      <c r="N62" s="35">
        <v>328500</v>
      </c>
      <c r="O62" s="35">
        <v>357090</v>
      </c>
      <c r="P62" s="35">
        <v>416420</v>
      </c>
      <c r="Q62" s="35">
        <v>311550</v>
      </c>
      <c r="R62" s="35">
        <v>12420</v>
      </c>
      <c r="S62" s="115">
        <v>3715100</v>
      </c>
      <c r="T62" s="115">
        <v>3935300</v>
      </c>
    </row>
    <row r="63" spans="1:20" s="1" customFormat="1">
      <c r="A63" s="60" t="s">
        <v>116</v>
      </c>
      <c r="B63" s="87">
        <v>52850</v>
      </c>
      <c r="C63" s="87">
        <v>45420</v>
      </c>
      <c r="D63" s="87">
        <v>16550</v>
      </c>
      <c r="E63" s="87">
        <v>114320</v>
      </c>
      <c r="F63" s="87">
        <v>687790</v>
      </c>
      <c r="G63" s="87">
        <v>148600</v>
      </c>
      <c r="H63" s="87">
        <v>162950</v>
      </c>
      <c r="I63" s="87">
        <v>208440</v>
      </c>
      <c r="J63" s="87">
        <v>431590</v>
      </c>
      <c r="K63" s="87">
        <v>326160</v>
      </c>
      <c r="L63" s="87">
        <v>216910</v>
      </c>
      <c r="M63" s="87">
        <v>174320</v>
      </c>
      <c r="N63" s="87">
        <v>337490</v>
      </c>
      <c r="O63" s="87">
        <v>367350</v>
      </c>
      <c r="P63" s="87">
        <v>429010</v>
      </c>
      <c r="Q63" s="87">
        <v>319830</v>
      </c>
      <c r="R63" s="87">
        <v>13090</v>
      </c>
      <c r="S63" s="116">
        <v>3823500</v>
      </c>
      <c r="T63" s="116">
        <v>4052700</v>
      </c>
    </row>
    <row r="64" spans="1:20" s="1" customFormat="1">
      <c r="A64" s="27" t="s">
        <v>117</v>
      </c>
      <c r="B64" s="35">
        <v>53440</v>
      </c>
      <c r="C64" s="35">
        <v>45950</v>
      </c>
      <c r="D64" s="35">
        <v>16620</v>
      </c>
      <c r="E64" s="35">
        <v>118790</v>
      </c>
      <c r="F64" s="35">
        <v>697380</v>
      </c>
      <c r="G64" s="35">
        <v>151720</v>
      </c>
      <c r="H64" s="35">
        <v>165180</v>
      </c>
      <c r="I64" s="35">
        <v>211220</v>
      </c>
      <c r="J64" s="35">
        <v>437970</v>
      </c>
      <c r="K64" s="35">
        <v>329050</v>
      </c>
      <c r="L64" s="35">
        <v>219760</v>
      </c>
      <c r="M64" s="35">
        <v>178510</v>
      </c>
      <c r="N64" s="35">
        <v>344480</v>
      </c>
      <c r="O64" s="35">
        <v>374480</v>
      </c>
      <c r="P64" s="35">
        <v>433280</v>
      </c>
      <c r="Q64" s="35">
        <v>324840</v>
      </c>
      <c r="R64" s="35">
        <v>13390</v>
      </c>
      <c r="S64" s="115">
        <v>3881300</v>
      </c>
      <c r="T64" s="115">
        <v>4116100</v>
      </c>
    </row>
    <row r="65" spans="1:20" s="1" customFormat="1">
      <c r="A65" s="27" t="s">
        <v>118</v>
      </c>
      <c r="B65" s="35">
        <v>53480</v>
      </c>
      <c r="C65" s="35">
        <v>45690</v>
      </c>
      <c r="D65" s="35">
        <v>16960</v>
      </c>
      <c r="E65" s="35">
        <v>121760</v>
      </c>
      <c r="F65" s="35">
        <v>704600</v>
      </c>
      <c r="G65" s="35">
        <v>153080</v>
      </c>
      <c r="H65" s="35">
        <v>167840</v>
      </c>
      <c r="I65" s="35">
        <v>214980</v>
      </c>
      <c r="J65" s="35">
        <v>444670</v>
      </c>
      <c r="K65" s="35">
        <v>335010</v>
      </c>
      <c r="L65" s="35">
        <v>223690</v>
      </c>
      <c r="M65" s="35">
        <v>180400</v>
      </c>
      <c r="N65" s="35">
        <v>350510</v>
      </c>
      <c r="O65" s="35">
        <v>380910</v>
      </c>
      <c r="P65" s="35">
        <v>438400</v>
      </c>
      <c r="Q65" s="35">
        <v>330010</v>
      </c>
      <c r="R65" s="35">
        <v>13690</v>
      </c>
      <c r="S65" s="115">
        <v>3937800</v>
      </c>
      <c r="T65" s="115">
        <v>4175700</v>
      </c>
    </row>
    <row r="66" spans="1:20" s="1" customFormat="1">
      <c r="A66" s="27" t="s">
        <v>119</v>
      </c>
      <c r="B66" s="35">
        <v>54180</v>
      </c>
      <c r="C66" s="35">
        <v>46320</v>
      </c>
      <c r="D66" s="35">
        <v>17450</v>
      </c>
      <c r="E66" s="35">
        <v>125100</v>
      </c>
      <c r="F66" s="35">
        <v>711890</v>
      </c>
      <c r="G66" s="35">
        <v>152460</v>
      </c>
      <c r="H66" s="35">
        <v>167570</v>
      </c>
      <c r="I66" s="35">
        <v>217630</v>
      </c>
      <c r="J66" s="35">
        <v>449910</v>
      </c>
      <c r="K66" s="35">
        <v>338970</v>
      </c>
      <c r="L66" s="35">
        <v>225200</v>
      </c>
      <c r="M66" s="35">
        <v>181390</v>
      </c>
      <c r="N66" s="35">
        <v>355420</v>
      </c>
      <c r="O66" s="35">
        <v>385280</v>
      </c>
      <c r="P66" s="35">
        <v>442070</v>
      </c>
      <c r="Q66" s="35">
        <v>335310</v>
      </c>
      <c r="R66" s="35">
        <v>13990</v>
      </c>
      <c r="S66" s="115">
        <v>3977100</v>
      </c>
      <c r="T66" s="115">
        <v>4220100</v>
      </c>
    </row>
    <row r="67" spans="1:20" s="12" customFormat="1">
      <c r="A67" s="60" t="s">
        <v>120</v>
      </c>
      <c r="B67" s="87">
        <v>54670</v>
      </c>
      <c r="C67" s="87">
        <v>46180</v>
      </c>
      <c r="D67" s="87">
        <v>17970</v>
      </c>
      <c r="E67" s="87">
        <v>128800</v>
      </c>
      <c r="F67" s="87">
        <v>716370</v>
      </c>
      <c r="G67" s="87">
        <v>152370</v>
      </c>
      <c r="H67" s="87">
        <v>168350</v>
      </c>
      <c r="I67" s="87">
        <v>219250</v>
      </c>
      <c r="J67" s="87">
        <v>454670</v>
      </c>
      <c r="K67" s="87">
        <v>341400</v>
      </c>
      <c r="L67" s="87">
        <v>225510</v>
      </c>
      <c r="M67" s="87">
        <v>182370</v>
      </c>
      <c r="N67" s="87">
        <v>358810</v>
      </c>
      <c r="O67" s="87">
        <v>389000</v>
      </c>
      <c r="P67" s="87">
        <v>445070</v>
      </c>
      <c r="Q67" s="87">
        <v>339080</v>
      </c>
      <c r="R67" s="87">
        <v>14210</v>
      </c>
      <c r="S67" s="116">
        <v>4006500</v>
      </c>
      <c r="T67" s="116">
        <v>4254100</v>
      </c>
    </row>
    <row r="68" spans="1:20" s="1" customFormat="1">
      <c r="A68" s="27" t="s">
        <v>121</v>
      </c>
      <c r="B68" s="35">
        <v>56350</v>
      </c>
      <c r="C68" s="35">
        <v>47920</v>
      </c>
      <c r="D68" s="35">
        <v>18700</v>
      </c>
      <c r="E68" s="35">
        <v>132400</v>
      </c>
      <c r="F68" s="35">
        <v>721310</v>
      </c>
      <c r="G68" s="35">
        <v>153740</v>
      </c>
      <c r="H68" s="35">
        <v>169330</v>
      </c>
      <c r="I68" s="35">
        <v>220980</v>
      </c>
      <c r="J68" s="35">
        <v>458240</v>
      </c>
      <c r="K68" s="35">
        <v>344630</v>
      </c>
      <c r="L68" s="35">
        <v>225730</v>
      </c>
      <c r="M68" s="35">
        <v>183790</v>
      </c>
      <c r="N68" s="35">
        <v>362230</v>
      </c>
      <c r="O68" s="35">
        <v>397100</v>
      </c>
      <c r="P68" s="35">
        <v>449810</v>
      </c>
      <c r="Q68" s="35">
        <v>345260</v>
      </c>
      <c r="R68" s="35">
        <v>14480</v>
      </c>
      <c r="S68" s="115">
        <v>4046600</v>
      </c>
      <c r="T68" s="115">
        <v>4302000</v>
      </c>
    </row>
    <row r="69" spans="1:20" s="1" customFormat="1">
      <c r="A69" s="27" t="s">
        <v>122</v>
      </c>
      <c r="B69" s="35">
        <v>57460</v>
      </c>
      <c r="C69" s="35">
        <v>48530</v>
      </c>
      <c r="D69" s="35">
        <v>18670</v>
      </c>
      <c r="E69" s="35">
        <v>133830</v>
      </c>
      <c r="F69" s="35">
        <v>728550</v>
      </c>
      <c r="G69" s="35">
        <v>154870</v>
      </c>
      <c r="H69" s="35">
        <v>169940</v>
      </c>
      <c r="I69" s="35">
        <v>223620</v>
      </c>
      <c r="J69" s="35">
        <v>463260</v>
      </c>
      <c r="K69" s="35">
        <v>346590</v>
      </c>
      <c r="L69" s="35">
        <v>226440</v>
      </c>
      <c r="M69" s="35">
        <v>186170</v>
      </c>
      <c r="N69" s="35">
        <v>365680</v>
      </c>
      <c r="O69" s="35">
        <v>402440</v>
      </c>
      <c r="P69" s="35">
        <v>452770</v>
      </c>
      <c r="Q69" s="35">
        <v>352000</v>
      </c>
      <c r="R69" s="35">
        <v>14670</v>
      </c>
      <c r="S69" s="115">
        <v>4087000</v>
      </c>
      <c r="T69" s="115">
        <v>4345500</v>
      </c>
    </row>
    <row r="70" spans="1:20" s="1" customFormat="1">
      <c r="A70" s="27" t="s">
        <v>123</v>
      </c>
      <c r="B70" s="35">
        <v>58220</v>
      </c>
      <c r="C70" s="35">
        <v>48070</v>
      </c>
      <c r="D70" s="35">
        <v>18820</v>
      </c>
      <c r="E70" s="35">
        <v>135480</v>
      </c>
      <c r="F70" s="35">
        <v>735420</v>
      </c>
      <c r="G70" s="35">
        <v>157760</v>
      </c>
      <c r="H70" s="35">
        <v>172330</v>
      </c>
      <c r="I70" s="35">
        <v>226230</v>
      </c>
      <c r="J70" s="35">
        <v>468200</v>
      </c>
      <c r="K70" s="35">
        <v>352430</v>
      </c>
      <c r="L70" s="35">
        <v>229380</v>
      </c>
      <c r="M70" s="35">
        <v>188730</v>
      </c>
      <c r="N70" s="35">
        <v>371960</v>
      </c>
      <c r="O70" s="35">
        <v>411430</v>
      </c>
      <c r="P70" s="35">
        <v>461400</v>
      </c>
      <c r="Q70" s="35">
        <v>356540</v>
      </c>
      <c r="R70" s="35">
        <v>15120</v>
      </c>
      <c r="S70" s="115">
        <v>4146900</v>
      </c>
      <c r="T70" s="115">
        <v>4407500</v>
      </c>
    </row>
    <row r="71" spans="1:20" s="1" customFormat="1">
      <c r="A71" s="60" t="s">
        <v>124</v>
      </c>
      <c r="B71" s="87">
        <v>58710</v>
      </c>
      <c r="C71" s="87">
        <v>48970</v>
      </c>
      <c r="D71" s="87">
        <v>18840</v>
      </c>
      <c r="E71" s="87">
        <v>136230</v>
      </c>
      <c r="F71" s="87">
        <v>745270</v>
      </c>
      <c r="G71" s="87">
        <v>160930</v>
      </c>
      <c r="H71" s="87">
        <v>174650</v>
      </c>
      <c r="I71" s="87">
        <v>229840</v>
      </c>
      <c r="J71" s="87">
        <v>474750</v>
      </c>
      <c r="K71" s="87">
        <v>358320</v>
      </c>
      <c r="L71" s="87">
        <v>233420</v>
      </c>
      <c r="M71" s="87">
        <v>192380</v>
      </c>
      <c r="N71" s="87">
        <v>379510</v>
      </c>
      <c r="O71" s="87">
        <v>421430</v>
      </c>
      <c r="P71" s="87">
        <v>469310</v>
      </c>
      <c r="Q71" s="87">
        <v>362450</v>
      </c>
      <c r="R71" s="87">
        <v>15280</v>
      </c>
      <c r="S71" s="116">
        <v>4217500</v>
      </c>
      <c r="T71" s="116">
        <v>4480300</v>
      </c>
    </row>
    <row r="72" spans="1:20" s="1" customFormat="1">
      <c r="A72" s="27" t="s">
        <v>125</v>
      </c>
      <c r="B72" s="35">
        <v>59300</v>
      </c>
      <c r="C72" s="35">
        <v>49480</v>
      </c>
      <c r="D72" s="35">
        <v>19480</v>
      </c>
      <c r="E72" s="35">
        <v>137920</v>
      </c>
      <c r="F72" s="35">
        <v>756050</v>
      </c>
      <c r="G72" s="35">
        <v>163810</v>
      </c>
      <c r="H72" s="35">
        <v>177200</v>
      </c>
      <c r="I72" s="35">
        <v>233620</v>
      </c>
      <c r="J72" s="35">
        <v>482980</v>
      </c>
      <c r="K72" s="35">
        <v>364890</v>
      </c>
      <c r="L72" s="35">
        <v>237420</v>
      </c>
      <c r="M72" s="35">
        <v>196940</v>
      </c>
      <c r="N72" s="35">
        <v>385490</v>
      </c>
      <c r="O72" s="35">
        <v>429670</v>
      </c>
      <c r="P72" s="35">
        <v>478000</v>
      </c>
      <c r="Q72" s="35">
        <v>367510</v>
      </c>
      <c r="R72" s="35">
        <v>15520</v>
      </c>
      <c r="S72" s="115">
        <v>4289100</v>
      </c>
      <c r="T72" s="115">
        <v>4555300</v>
      </c>
    </row>
    <row r="73" spans="1:20" s="1" customFormat="1">
      <c r="A73" s="27" t="s">
        <v>126</v>
      </c>
      <c r="B73" s="35">
        <v>60010</v>
      </c>
      <c r="C73" s="35">
        <v>50060</v>
      </c>
      <c r="D73" s="35">
        <v>19750</v>
      </c>
      <c r="E73" s="35">
        <v>140180</v>
      </c>
      <c r="F73" s="35">
        <v>766680</v>
      </c>
      <c r="G73" s="35">
        <v>167520</v>
      </c>
      <c r="H73" s="35">
        <v>180760</v>
      </c>
      <c r="I73" s="35">
        <v>236250</v>
      </c>
      <c r="J73" s="35">
        <v>490380</v>
      </c>
      <c r="K73" s="35">
        <v>371700</v>
      </c>
      <c r="L73" s="35">
        <v>240990</v>
      </c>
      <c r="M73" s="35">
        <v>202360</v>
      </c>
      <c r="N73" s="35">
        <v>392300</v>
      </c>
      <c r="O73" s="35">
        <v>438240</v>
      </c>
      <c r="P73" s="35">
        <v>487390</v>
      </c>
      <c r="Q73" s="35">
        <v>372020</v>
      </c>
      <c r="R73" s="35">
        <v>15730</v>
      </c>
      <c r="S73" s="115">
        <v>4362300</v>
      </c>
      <c r="T73" s="115">
        <v>4632400</v>
      </c>
    </row>
    <row r="74" spans="1:20" s="1" customFormat="1">
      <c r="A74" s="27" t="s">
        <v>127</v>
      </c>
      <c r="B74" s="35">
        <v>60930</v>
      </c>
      <c r="C74" s="35">
        <v>50600</v>
      </c>
      <c r="D74" s="35">
        <v>20430</v>
      </c>
      <c r="E74" s="35">
        <v>143630</v>
      </c>
      <c r="F74" s="35">
        <v>784620</v>
      </c>
      <c r="G74" s="35">
        <v>172240</v>
      </c>
      <c r="H74" s="35">
        <v>186420</v>
      </c>
      <c r="I74" s="35">
        <v>242440</v>
      </c>
      <c r="J74" s="35">
        <v>501990</v>
      </c>
      <c r="K74" s="35">
        <v>382460</v>
      </c>
      <c r="L74" s="35">
        <v>248630</v>
      </c>
      <c r="M74" s="35">
        <v>209250</v>
      </c>
      <c r="N74" s="35">
        <v>402010</v>
      </c>
      <c r="O74" s="35">
        <v>450550</v>
      </c>
      <c r="P74" s="35">
        <v>501800</v>
      </c>
      <c r="Q74" s="35">
        <v>382190</v>
      </c>
      <c r="R74" s="35">
        <v>16140</v>
      </c>
      <c r="S74" s="115">
        <v>4480700</v>
      </c>
      <c r="T74" s="115">
        <v>4756300</v>
      </c>
    </row>
    <row r="75" spans="1:20" s="1" customFormat="1">
      <c r="A75" s="60" t="s">
        <v>128</v>
      </c>
      <c r="B75" s="87">
        <v>61680</v>
      </c>
      <c r="C75" s="87">
        <v>51150</v>
      </c>
      <c r="D75" s="87">
        <v>21120</v>
      </c>
      <c r="E75" s="87">
        <v>147880</v>
      </c>
      <c r="F75" s="87">
        <v>802680</v>
      </c>
      <c r="G75" s="87">
        <v>177630</v>
      </c>
      <c r="H75" s="87">
        <v>191530</v>
      </c>
      <c r="I75" s="87">
        <v>247380</v>
      </c>
      <c r="J75" s="87">
        <v>514460</v>
      </c>
      <c r="K75" s="87">
        <v>393890</v>
      </c>
      <c r="L75" s="87">
        <v>255030</v>
      </c>
      <c r="M75" s="87">
        <v>216440</v>
      </c>
      <c r="N75" s="87">
        <v>412830</v>
      </c>
      <c r="O75" s="87">
        <v>463440</v>
      </c>
      <c r="P75" s="87">
        <v>516910</v>
      </c>
      <c r="Q75" s="87">
        <v>391490</v>
      </c>
      <c r="R75" s="87">
        <v>16960</v>
      </c>
      <c r="S75" s="116">
        <v>4600700</v>
      </c>
      <c r="T75" s="116">
        <v>4882500</v>
      </c>
    </row>
    <row r="76" spans="1:20" s="1" customFormat="1">
      <c r="A76" s="27" t="s">
        <v>129</v>
      </c>
      <c r="B76" s="35">
        <v>61630</v>
      </c>
      <c r="C76" s="35">
        <v>51840</v>
      </c>
      <c r="D76" s="35">
        <v>21440</v>
      </c>
      <c r="E76" s="35">
        <v>150930</v>
      </c>
      <c r="F76" s="35">
        <v>826490</v>
      </c>
      <c r="G76" s="35">
        <v>182140</v>
      </c>
      <c r="H76" s="35">
        <v>195720</v>
      </c>
      <c r="I76" s="35">
        <v>252190</v>
      </c>
      <c r="J76" s="35">
        <v>524110</v>
      </c>
      <c r="K76" s="35">
        <v>404630</v>
      </c>
      <c r="L76" s="35">
        <v>262800</v>
      </c>
      <c r="M76" s="35">
        <v>220800</v>
      </c>
      <c r="N76" s="35">
        <v>420840</v>
      </c>
      <c r="O76" s="35">
        <v>476630</v>
      </c>
      <c r="P76" s="35">
        <v>529270</v>
      </c>
      <c r="Q76" s="35">
        <v>401000</v>
      </c>
      <c r="R76" s="35">
        <v>17400</v>
      </c>
      <c r="S76" s="115">
        <v>4714000</v>
      </c>
      <c r="T76" s="115">
        <v>4999800</v>
      </c>
    </row>
    <row r="77" spans="1:20" s="1" customFormat="1">
      <c r="A77" s="27" t="s">
        <v>130</v>
      </c>
      <c r="B77" s="35">
        <v>62840</v>
      </c>
      <c r="C77" s="35">
        <v>52690</v>
      </c>
      <c r="D77" s="35">
        <v>22410</v>
      </c>
      <c r="E77" s="35">
        <v>153090</v>
      </c>
      <c r="F77" s="35">
        <v>837910</v>
      </c>
      <c r="G77" s="35">
        <v>185210</v>
      </c>
      <c r="H77" s="35">
        <v>197940</v>
      </c>
      <c r="I77" s="35">
        <v>256690</v>
      </c>
      <c r="J77" s="35">
        <v>530000</v>
      </c>
      <c r="K77" s="35">
        <v>412210</v>
      </c>
      <c r="L77" s="35">
        <v>268790</v>
      </c>
      <c r="M77" s="35">
        <v>226370</v>
      </c>
      <c r="N77" s="35">
        <v>428050</v>
      </c>
      <c r="O77" s="35">
        <v>487840</v>
      </c>
      <c r="P77" s="35">
        <v>537940</v>
      </c>
      <c r="Q77" s="35">
        <v>408410</v>
      </c>
      <c r="R77" s="35">
        <v>17950</v>
      </c>
      <c r="S77" s="115">
        <v>4795300</v>
      </c>
      <c r="T77" s="115">
        <v>5086300</v>
      </c>
    </row>
    <row r="78" spans="1:20" s="1" customFormat="1">
      <c r="A78" s="27" t="s">
        <v>131</v>
      </c>
      <c r="B78" s="35">
        <v>62240</v>
      </c>
      <c r="C78" s="35">
        <v>52540</v>
      </c>
      <c r="D78" s="35">
        <v>22670</v>
      </c>
      <c r="E78" s="35">
        <v>153520</v>
      </c>
      <c r="F78" s="35">
        <v>845480</v>
      </c>
      <c r="G78" s="35">
        <v>186330</v>
      </c>
      <c r="H78" s="35">
        <v>197680</v>
      </c>
      <c r="I78" s="35">
        <v>257660</v>
      </c>
      <c r="J78" s="35">
        <v>532030</v>
      </c>
      <c r="K78" s="35">
        <v>415600</v>
      </c>
      <c r="L78" s="35">
        <v>270160</v>
      </c>
      <c r="M78" s="35">
        <v>227790</v>
      </c>
      <c r="N78" s="35">
        <v>429230</v>
      </c>
      <c r="O78" s="35">
        <v>489810</v>
      </c>
      <c r="P78" s="35">
        <v>540660</v>
      </c>
      <c r="Q78" s="35">
        <v>411940</v>
      </c>
      <c r="R78" s="35">
        <v>18520</v>
      </c>
      <c r="S78" s="115">
        <v>4822900</v>
      </c>
      <c r="T78" s="115">
        <v>5113900</v>
      </c>
    </row>
    <row r="79" spans="1:20" s="12" customFormat="1">
      <c r="A79" s="60" t="s">
        <v>132</v>
      </c>
      <c r="B79" s="87">
        <v>62760</v>
      </c>
      <c r="C79" s="87">
        <v>53200</v>
      </c>
      <c r="D79" s="87">
        <v>23530</v>
      </c>
      <c r="E79" s="87">
        <v>153210</v>
      </c>
      <c r="F79" s="87">
        <v>863790</v>
      </c>
      <c r="G79" s="87">
        <v>189230</v>
      </c>
      <c r="H79" s="87">
        <v>199660</v>
      </c>
      <c r="I79" s="87">
        <v>260190</v>
      </c>
      <c r="J79" s="87">
        <v>535700</v>
      </c>
      <c r="K79" s="87">
        <v>419690</v>
      </c>
      <c r="L79" s="87">
        <v>275840</v>
      </c>
      <c r="M79" s="87">
        <v>229070</v>
      </c>
      <c r="N79" s="87">
        <v>435050</v>
      </c>
      <c r="O79" s="87">
        <v>496310</v>
      </c>
      <c r="P79" s="87">
        <v>546880</v>
      </c>
      <c r="Q79" s="87">
        <v>417040</v>
      </c>
      <c r="R79" s="87">
        <v>18830</v>
      </c>
      <c r="S79" s="116">
        <v>4887300</v>
      </c>
      <c r="T79" s="116">
        <v>5180000</v>
      </c>
    </row>
    <row r="80" spans="1:20" s="1" customFormat="1">
      <c r="A80" s="27" t="s">
        <v>133</v>
      </c>
      <c r="B80" s="35">
        <v>63530</v>
      </c>
      <c r="C80" s="35">
        <v>53230</v>
      </c>
      <c r="D80" s="35">
        <v>23720</v>
      </c>
      <c r="E80" s="35">
        <v>152750</v>
      </c>
      <c r="F80" s="35">
        <v>878290</v>
      </c>
      <c r="G80" s="35">
        <v>191660</v>
      </c>
      <c r="H80" s="35">
        <v>200990</v>
      </c>
      <c r="I80" s="35">
        <v>263190</v>
      </c>
      <c r="J80" s="35">
        <v>537940</v>
      </c>
      <c r="K80" s="35">
        <v>422840</v>
      </c>
      <c r="L80" s="35">
        <v>279880</v>
      </c>
      <c r="M80" s="35">
        <v>232370</v>
      </c>
      <c r="N80" s="35">
        <v>441890</v>
      </c>
      <c r="O80" s="35">
        <v>502000</v>
      </c>
      <c r="P80" s="35">
        <v>555080</v>
      </c>
      <c r="Q80" s="35">
        <v>422150</v>
      </c>
      <c r="R80" s="35">
        <v>19140</v>
      </c>
      <c r="S80" s="115">
        <v>4947400</v>
      </c>
      <c r="T80" s="115">
        <v>5240700</v>
      </c>
    </row>
    <row r="81" spans="1:20" s="1" customFormat="1">
      <c r="A81" s="27" t="s">
        <v>134</v>
      </c>
      <c r="B81" s="35">
        <v>63340</v>
      </c>
      <c r="C81" s="35">
        <v>52830</v>
      </c>
      <c r="D81" s="35">
        <v>23840</v>
      </c>
      <c r="E81" s="35">
        <v>155360</v>
      </c>
      <c r="F81" s="35">
        <v>891920</v>
      </c>
      <c r="G81" s="35">
        <v>194860</v>
      </c>
      <c r="H81" s="35">
        <v>203370</v>
      </c>
      <c r="I81" s="35">
        <v>266680</v>
      </c>
      <c r="J81" s="35">
        <v>542630</v>
      </c>
      <c r="K81" s="35">
        <v>428700</v>
      </c>
      <c r="L81" s="35">
        <v>284700</v>
      </c>
      <c r="M81" s="35">
        <v>235880</v>
      </c>
      <c r="N81" s="35">
        <v>449380</v>
      </c>
      <c r="O81" s="35">
        <v>510210</v>
      </c>
      <c r="P81" s="35">
        <v>563860</v>
      </c>
      <c r="Q81" s="35">
        <v>428360</v>
      </c>
      <c r="R81" s="35">
        <v>19890</v>
      </c>
      <c r="S81" s="115">
        <v>5020400</v>
      </c>
      <c r="T81" s="115">
        <v>5315800</v>
      </c>
    </row>
    <row r="82" spans="1:20" s="1" customFormat="1">
      <c r="A82" s="27" t="s">
        <v>135</v>
      </c>
      <c r="B82" s="35">
        <v>63820</v>
      </c>
      <c r="C82" s="35">
        <v>53230</v>
      </c>
      <c r="D82" s="35">
        <v>24220</v>
      </c>
      <c r="E82" s="35">
        <v>155700</v>
      </c>
      <c r="F82" s="35">
        <v>902220</v>
      </c>
      <c r="G82" s="35">
        <v>197330</v>
      </c>
      <c r="H82" s="35">
        <v>205290</v>
      </c>
      <c r="I82" s="35">
        <v>269090</v>
      </c>
      <c r="J82" s="35">
        <v>547480</v>
      </c>
      <c r="K82" s="35">
        <v>434190</v>
      </c>
      <c r="L82" s="35">
        <v>288260</v>
      </c>
      <c r="M82" s="35">
        <v>238930</v>
      </c>
      <c r="N82" s="35">
        <v>456840</v>
      </c>
      <c r="O82" s="35">
        <v>517690</v>
      </c>
      <c r="P82" s="35">
        <v>571060</v>
      </c>
      <c r="Q82" s="35">
        <v>435150</v>
      </c>
      <c r="R82" s="35">
        <v>20760</v>
      </c>
      <c r="S82" s="115">
        <v>5084300</v>
      </c>
      <c r="T82" s="115">
        <v>5381300</v>
      </c>
    </row>
    <row r="83" spans="1:20" s="1" customFormat="1">
      <c r="A83" s="60" t="s">
        <v>136</v>
      </c>
      <c r="B83" s="87">
        <v>64260</v>
      </c>
      <c r="C83" s="87">
        <v>52930</v>
      </c>
      <c r="D83" s="87">
        <v>24490</v>
      </c>
      <c r="E83" s="87">
        <v>156040</v>
      </c>
      <c r="F83" s="87">
        <v>918450</v>
      </c>
      <c r="G83" s="87">
        <v>201930</v>
      </c>
      <c r="H83" s="87">
        <v>209440</v>
      </c>
      <c r="I83" s="87">
        <v>272890</v>
      </c>
      <c r="J83" s="87">
        <v>555260</v>
      </c>
      <c r="K83" s="87">
        <v>442170</v>
      </c>
      <c r="L83" s="87">
        <v>296250</v>
      </c>
      <c r="M83" s="87">
        <v>244590</v>
      </c>
      <c r="N83" s="87">
        <v>466450</v>
      </c>
      <c r="O83" s="87">
        <v>528100</v>
      </c>
      <c r="P83" s="87">
        <v>582800</v>
      </c>
      <c r="Q83" s="87">
        <v>442460</v>
      </c>
      <c r="R83" s="87">
        <v>21210</v>
      </c>
      <c r="S83" s="116">
        <v>5182000</v>
      </c>
      <c r="T83" s="116">
        <v>5479700</v>
      </c>
    </row>
    <row r="84" spans="1:20" s="1" customFormat="1">
      <c r="A84" s="27" t="s">
        <v>137</v>
      </c>
      <c r="B84" s="35">
        <v>64890</v>
      </c>
      <c r="C84" s="35">
        <v>53110</v>
      </c>
      <c r="D84" s="35">
        <v>24870</v>
      </c>
      <c r="E84" s="35">
        <v>156680</v>
      </c>
      <c r="F84" s="35">
        <v>931560</v>
      </c>
      <c r="G84" s="35">
        <v>205340</v>
      </c>
      <c r="H84" s="35">
        <v>212500</v>
      </c>
      <c r="I84" s="35">
        <v>276440</v>
      </c>
      <c r="J84" s="35">
        <v>561880</v>
      </c>
      <c r="K84" s="35">
        <v>448230</v>
      </c>
      <c r="L84" s="35">
        <v>302790</v>
      </c>
      <c r="M84" s="35">
        <v>249040</v>
      </c>
      <c r="N84" s="35">
        <v>476490</v>
      </c>
      <c r="O84" s="35">
        <v>537840</v>
      </c>
      <c r="P84" s="35">
        <v>596720</v>
      </c>
      <c r="Q84" s="35">
        <v>451520</v>
      </c>
      <c r="R84" s="35">
        <v>21630</v>
      </c>
      <c r="S84" s="115">
        <v>5272000</v>
      </c>
      <c r="T84" s="115">
        <v>5571600</v>
      </c>
    </row>
    <row r="85" spans="1:20" s="1" customFormat="1">
      <c r="A85" s="27" t="s">
        <v>138</v>
      </c>
      <c r="B85" s="35">
        <v>65590</v>
      </c>
      <c r="C85" s="35">
        <v>53820</v>
      </c>
      <c r="D85" s="35">
        <v>25540</v>
      </c>
      <c r="E85" s="35">
        <v>158810</v>
      </c>
      <c r="F85" s="35">
        <v>948810</v>
      </c>
      <c r="G85" s="35">
        <v>210330</v>
      </c>
      <c r="H85" s="35">
        <v>216570</v>
      </c>
      <c r="I85" s="35">
        <v>281560</v>
      </c>
      <c r="J85" s="35">
        <v>571240</v>
      </c>
      <c r="K85" s="35">
        <v>458250</v>
      </c>
      <c r="L85" s="35">
        <v>310580</v>
      </c>
      <c r="M85" s="35">
        <v>256120</v>
      </c>
      <c r="N85" s="35">
        <v>487510</v>
      </c>
      <c r="O85" s="35">
        <v>550590</v>
      </c>
      <c r="P85" s="35">
        <v>611830</v>
      </c>
      <c r="Q85" s="35">
        <v>462760</v>
      </c>
      <c r="R85" s="35">
        <v>22460</v>
      </c>
      <c r="S85" s="115">
        <v>5388600</v>
      </c>
      <c r="T85" s="115">
        <v>5692400</v>
      </c>
    </row>
    <row r="86" spans="1:20" s="1" customFormat="1">
      <c r="A86" s="27" t="s">
        <v>139</v>
      </c>
      <c r="B86" s="35">
        <v>65110</v>
      </c>
      <c r="C86" s="35">
        <v>53500</v>
      </c>
      <c r="D86" s="35">
        <v>25520</v>
      </c>
      <c r="E86" s="35">
        <v>159940</v>
      </c>
      <c r="F86" s="35">
        <v>951640</v>
      </c>
      <c r="G86" s="35">
        <v>210980</v>
      </c>
      <c r="H86" s="35">
        <v>216420</v>
      </c>
      <c r="I86" s="35">
        <v>282480</v>
      </c>
      <c r="J86" s="35">
        <v>572850</v>
      </c>
      <c r="K86" s="35">
        <v>458340</v>
      </c>
      <c r="L86" s="35">
        <v>310320</v>
      </c>
      <c r="M86" s="35">
        <v>257420</v>
      </c>
      <c r="N86" s="35">
        <v>489580</v>
      </c>
      <c r="O86" s="35">
        <v>551550</v>
      </c>
      <c r="P86" s="35">
        <v>614820</v>
      </c>
      <c r="Q86" s="35">
        <v>463690</v>
      </c>
      <c r="R86" s="35">
        <v>22440</v>
      </c>
      <c r="S86" s="115">
        <v>5402500</v>
      </c>
      <c r="T86" s="115">
        <v>5706600</v>
      </c>
    </row>
    <row r="87" spans="1:20" s="1" customFormat="1">
      <c r="A87" s="60" t="s">
        <v>140</v>
      </c>
      <c r="B87" s="87">
        <v>65100</v>
      </c>
      <c r="C87" s="87">
        <v>53260</v>
      </c>
      <c r="D87" s="87">
        <v>25400</v>
      </c>
      <c r="E87" s="87">
        <v>159530</v>
      </c>
      <c r="F87" s="87">
        <v>962380</v>
      </c>
      <c r="G87" s="87">
        <v>213970</v>
      </c>
      <c r="H87" s="87">
        <v>218110</v>
      </c>
      <c r="I87" s="87">
        <v>285520</v>
      </c>
      <c r="J87" s="87">
        <v>577510</v>
      </c>
      <c r="K87" s="87">
        <v>460380</v>
      </c>
      <c r="L87" s="87">
        <v>313290</v>
      </c>
      <c r="M87" s="87">
        <v>260590</v>
      </c>
      <c r="N87" s="87">
        <v>492330</v>
      </c>
      <c r="O87" s="87">
        <v>554870</v>
      </c>
      <c r="P87" s="87">
        <v>620600</v>
      </c>
      <c r="Q87" s="87">
        <v>468520</v>
      </c>
      <c r="R87" s="87">
        <v>22300</v>
      </c>
      <c r="S87" s="116">
        <v>5450400</v>
      </c>
      <c r="T87" s="116">
        <v>5753700</v>
      </c>
    </row>
    <row r="88" spans="1:20" s="1" customFormat="1">
      <c r="A88" s="27" t="s">
        <v>141</v>
      </c>
      <c r="B88" s="35">
        <v>64410</v>
      </c>
      <c r="C88" s="35">
        <v>52650</v>
      </c>
      <c r="D88" s="35">
        <v>25610</v>
      </c>
      <c r="E88" s="35">
        <v>160720</v>
      </c>
      <c r="F88" s="35">
        <v>966980</v>
      </c>
      <c r="G88" s="35">
        <v>215190</v>
      </c>
      <c r="H88" s="35">
        <v>217370</v>
      </c>
      <c r="I88" s="35">
        <v>286190</v>
      </c>
      <c r="J88" s="35">
        <v>574160</v>
      </c>
      <c r="K88" s="35">
        <v>460070</v>
      </c>
      <c r="L88" s="35">
        <v>314010</v>
      </c>
      <c r="M88" s="35">
        <v>262300</v>
      </c>
      <c r="N88" s="35">
        <v>494810</v>
      </c>
      <c r="O88" s="35">
        <v>556950</v>
      </c>
      <c r="P88" s="35">
        <v>623720</v>
      </c>
      <c r="Q88" s="35">
        <v>471170</v>
      </c>
      <c r="R88" s="35">
        <v>22070</v>
      </c>
      <c r="S88" s="115">
        <v>5465000</v>
      </c>
      <c r="T88" s="115">
        <v>5768400</v>
      </c>
    </row>
    <row r="89" spans="1:20" s="1" customFormat="1">
      <c r="A89" s="27" t="s">
        <v>142</v>
      </c>
      <c r="B89" s="35">
        <v>63810</v>
      </c>
      <c r="C89" s="35">
        <v>51730</v>
      </c>
      <c r="D89" s="35">
        <v>25030</v>
      </c>
      <c r="E89" s="35">
        <v>158530</v>
      </c>
      <c r="F89" s="35">
        <v>959600</v>
      </c>
      <c r="G89" s="35">
        <v>214870</v>
      </c>
      <c r="H89" s="35">
        <v>215350</v>
      </c>
      <c r="I89" s="35">
        <v>284230</v>
      </c>
      <c r="J89" s="35">
        <v>571010</v>
      </c>
      <c r="K89" s="35">
        <v>456390</v>
      </c>
      <c r="L89" s="35">
        <v>310740</v>
      </c>
      <c r="M89" s="35">
        <v>260480</v>
      </c>
      <c r="N89" s="35">
        <v>493860</v>
      </c>
      <c r="O89" s="35">
        <v>554290</v>
      </c>
      <c r="P89" s="35">
        <v>619800</v>
      </c>
      <c r="Q89" s="35">
        <v>470320</v>
      </c>
      <c r="R89" s="35">
        <v>22140</v>
      </c>
      <c r="S89" s="115">
        <v>5433100</v>
      </c>
      <c r="T89" s="115">
        <v>5732100</v>
      </c>
    </row>
    <row r="90" spans="1:20" s="1" customFormat="1">
      <c r="A90" s="27" t="s">
        <v>143</v>
      </c>
      <c r="B90" s="35">
        <v>64190</v>
      </c>
      <c r="C90" s="35">
        <v>51310</v>
      </c>
      <c r="D90" s="35">
        <v>24720</v>
      </c>
      <c r="E90" s="35">
        <v>159740</v>
      </c>
      <c r="F90" s="35">
        <v>962240</v>
      </c>
      <c r="G90" s="35">
        <v>215990</v>
      </c>
      <c r="H90" s="35">
        <v>216380</v>
      </c>
      <c r="I90" s="35">
        <v>286180</v>
      </c>
      <c r="J90" s="35">
        <v>573600</v>
      </c>
      <c r="K90" s="35">
        <v>459160</v>
      </c>
      <c r="L90" s="35">
        <v>311520</v>
      </c>
      <c r="M90" s="35">
        <v>261230</v>
      </c>
      <c r="N90" s="35">
        <v>495620</v>
      </c>
      <c r="O90" s="35">
        <v>556860</v>
      </c>
      <c r="P90" s="35">
        <v>622890</v>
      </c>
      <c r="Q90" s="35">
        <v>475440</v>
      </c>
      <c r="R90" s="35">
        <v>22260</v>
      </c>
      <c r="S90" s="115">
        <v>5459400</v>
      </c>
      <c r="T90" s="115">
        <v>5759400</v>
      </c>
    </row>
    <row r="91" spans="1:20" s="12" customFormat="1">
      <c r="A91" s="60" t="s">
        <v>144</v>
      </c>
      <c r="B91" s="87">
        <v>64150</v>
      </c>
      <c r="C91" s="87">
        <v>50980</v>
      </c>
      <c r="D91" s="87">
        <v>24740</v>
      </c>
      <c r="E91" s="87">
        <v>161480</v>
      </c>
      <c r="F91" s="87">
        <v>963280</v>
      </c>
      <c r="G91" s="87">
        <v>215890</v>
      </c>
      <c r="H91" s="87">
        <v>215040</v>
      </c>
      <c r="I91" s="87">
        <v>285340</v>
      </c>
      <c r="J91" s="87">
        <v>575520</v>
      </c>
      <c r="K91" s="87">
        <v>461080</v>
      </c>
      <c r="L91" s="87">
        <v>312050</v>
      </c>
      <c r="M91" s="87">
        <v>262930</v>
      </c>
      <c r="N91" s="87">
        <v>495920</v>
      </c>
      <c r="O91" s="87">
        <v>558230</v>
      </c>
      <c r="P91" s="87">
        <v>625060</v>
      </c>
      <c r="Q91" s="87">
        <v>478740</v>
      </c>
      <c r="R91" s="87">
        <v>22130</v>
      </c>
      <c r="S91" s="116">
        <v>5471200</v>
      </c>
      <c r="T91" s="116">
        <v>5772500</v>
      </c>
    </row>
    <row r="92" spans="1:20" s="1" customFormat="1">
      <c r="A92" s="27" t="s">
        <v>145</v>
      </c>
      <c r="B92" s="35">
        <v>64680</v>
      </c>
      <c r="C92" s="35">
        <v>51850</v>
      </c>
      <c r="D92" s="35">
        <v>24270</v>
      </c>
      <c r="E92" s="35">
        <v>161470</v>
      </c>
      <c r="F92" s="35">
        <v>968900</v>
      </c>
      <c r="G92" s="35">
        <v>217690</v>
      </c>
      <c r="H92" s="35">
        <v>216580</v>
      </c>
      <c r="I92" s="35">
        <v>286870</v>
      </c>
      <c r="J92" s="35">
        <v>583030</v>
      </c>
      <c r="K92" s="35">
        <v>465000</v>
      </c>
      <c r="L92" s="35">
        <v>314520</v>
      </c>
      <c r="M92" s="35">
        <v>263940</v>
      </c>
      <c r="N92" s="35">
        <v>499760</v>
      </c>
      <c r="O92" s="35">
        <v>562580</v>
      </c>
      <c r="P92" s="35">
        <v>629530</v>
      </c>
      <c r="Q92" s="35">
        <v>483890</v>
      </c>
      <c r="R92" s="35">
        <v>22180</v>
      </c>
      <c r="S92" s="115">
        <v>5514500</v>
      </c>
      <c r="T92" s="115">
        <v>5816800</v>
      </c>
    </row>
    <row r="93" spans="1:20" s="1" customFormat="1">
      <c r="A93" s="27" t="s">
        <v>146</v>
      </c>
      <c r="B93" s="35">
        <v>65060</v>
      </c>
      <c r="C93" s="35">
        <v>52320</v>
      </c>
      <c r="D93" s="35">
        <v>24530</v>
      </c>
      <c r="E93" s="35">
        <v>160580</v>
      </c>
      <c r="F93" s="35">
        <v>976720</v>
      </c>
      <c r="G93" s="35">
        <v>218360</v>
      </c>
      <c r="H93" s="35">
        <v>216830</v>
      </c>
      <c r="I93" s="35">
        <v>288970</v>
      </c>
      <c r="J93" s="35">
        <v>588500</v>
      </c>
      <c r="K93" s="35">
        <v>467450</v>
      </c>
      <c r="L93" s="35">
        <v>315940</v>
      </c>
      <c r="M93" s="35">
        <v>264960</v>
      </c>
      <c r="N93" s="35">
        <v>504090</v>
      </c>
      <c r="O93" s="35">
        <v>566330</v>
      </c>
      <c r="P93" s="35">
        <v>635800</v>
      </c>
      <c r="Q93" s="35">
        <v>488590</v>
      </c>
      <c r="R93" s="35">
        <v>22530</v>
      </c>
      <c r="S93" s="115">
        <v>5555100</v>
      </c>
      <c r="T93" s="115">
        <v>5857600</v>
      </c>
    </row>
    <row r="94" spans="1:20" s="1" customFormat="1">
      <c r="A94" s="27" t="s">
        <v>147</v>
      </c>
      <c r="B94" s="35">
        <v>65340</v>
      </c>
      <c r="C94" s="35">
        <v>52840</v>
      </c>
      <c r="D94" s="35">
        <v>25040</v>
      </c>
      <c r="E94" s="35">
        <v>161520</v>
      </c>
      <c r="F94" s="35">
        <v>985160</v>
      </c>
      <c r="G94" s="35">
        <v>218700</v>
      </c>
      <c r="H94" s="35">
        <v>217110</v>
      </c>
      <c r="I94" s="35">
        <v>291620</v>
      </c>
      <c r="J94" s="35">
        <v>594880</v>
      </c>
      <c r="K94" s="35">
        <v>466940</v>
      </c>
      <c r="L94" s="35">
        <v>318410</v>
      </c>
      <c r="M94" s="35">
        <v>267220</v>
      </c>
      <c r="N94" s="35">
        <v>508790</v>
      </c>
      <c r="O94" s="35">
        <v>572090</v>
      </c>
      <c r="P94" s="35">
        <v>640840</v>
      </c>
      <c r="Q94" s="35">
        <v>494000</v>
      </c>
      <c r="R94" s="35">
        <v>22820</v>
      </c>
      <c r="S94" s="115">
        <v>5598600</v>
      </c>
      <c r="T94" s="115">
        <v>5903300</v>
      </c>
    </row>
    <row r="95" spans="1:20" s="1" customFormat="1">
      <c r="A95" s="60" t="s">
        <v>148</v>
      </c>
      <c r="B95" s="87">
        <v>65920</v>
      </c>
      <c r="C95" s="87">
        <v>53550</v>
      </c>
      <c r="D95" s="87">
        <v>25530</v>
      </c>
      <c r="E95" s="87">
        <v>163520</v>
      </c>
      <c r="F95" s="87">
        <v>990680</v>
      </c>
      <c r="G95" s="87">
        <v>219630</v>
      </c>
      <c r="H95" s="87">
        <v>217070</v>
      </c>
      <c r="I95" s="87">
        <v>291710</v>
      </c>
      <c r="J95" s="87">
        <v>599210</v>
      </c>
      <c r="K95" s="87">
        <v>467460</v>
      </c>
      <c r="L95" s="87">
        <v>319180</v>
      </c>
      <c r="M95" s="87">
        <v>267110</v>
      </c>
      <c r="N95" s="87">
        <v>513070</v>
      </c>
      <c r="O95" s="87">
        <v>575730</v>
      </c>
      <c r="P95" s="87">
        <v>642930</v>
      </c>
      <c r="Q95" s="87">
        <v>498680</v>
      </c>
      <c r="R95" s="87">
        <v>22870</v>
      </c>
      <c r="S95" s="116">
        <v>5625300</v>
      </c>
      <c r="T95" s="116">
        <v>5933900</v>
      </c>
    </row>
    <row r="96" spans="1:20" s="1" customFormat="1">
      <c r="A96" s="27" t="s">
        <v>149</v>
      </c>
      <c r="B96" s="35">
        <v>65800</v>
      </c>
      <c r="C96" s="35">
        <v>53560</v>
      </c>
      <c r="D96" s="35">
        <v>25460</v>
      </c>
      <c r="E96" s="35">
        <v>165570</v>
      </c>
      <c r="F96" s="35">
        <v>994960</v>
      </c>
      <c r="G96" s="35">
        <v>219780</v>
      </c>
      <c r="H96" s="35">
        <v>216680</v>
      </c>
      <c r="I96" s="35">
        <v>290660</v>
      </c>
      <c r="J96" s="35">
        <v>603170</v>
      </c>
      <c r="K96" s="35">
        <v>466100</v>
      </c>
      <c r="L96" s="35">
        <v>319980</v>
      </c>
      <c r="M96" s="35">
        <v>266960</v>
      </c>
      <c r="N96" s="35">
        <v>512840</v>
      </c>
      <c r="O96" s="35">
        <v>574470</v>
      </c>
      <c r="P96" s="35">
        <v>644430</v>
      </c>
      <c r="Q96" s="35">
        <v>499770</v>
      </c>
      <c r="R96" s="35">
        <v>22580</v>
      </c>
      <c r="S96" s="115">
        <v>5632400</v>
      </c>
      <c r="T96" s="115">
        <v>5942800</v>
      </c>
    </row>
    <row r="97" spans="1:20" s="1" customFormat="1">
      <c r="A97" s="27" t="s">
        <v>150</v>
      </c>
      <c r="B97" s="35">
        <v>65410</v>
      </c>
      <c r="C97" s="35">
        <v>53380</v>
      </c>
      <c r="D97" s="35">
        <v>25890</v>
      </c>
      <c r="E97" s="35">
        <v>167900</v>
      </c>
      <c r="F97" s="35">
        <v>998380</v>
      </c>
      <c r="G97" s="35">
        <v>219290</v>
      </c>
      <c r="H97" s="35">
        <v>215450</v>
      </c>
      <c r="I97" s="35">
        <v>289090</v>
      </c>
      <c r="J97" s="35">
        <v>601280</v>
      </c>
      <c r="K97" s="35">
        <v>462360</v>
      </c>
      <c r="L97" s="35">
        <v>319320</v>
      </c>
      <c r="M97" s="35">
        <v>267120</v>
      </c>
      <c r="N97" s="35">
        <v>512360</v>
      </c>
      <c r="O97" s="35">
        <v>576060</v>
      </c>
      <c r="P97" s="35">
        <v>645580</v>
      </c>
      <c r="Q97" s="35">
        <v>501350</v>
      </c>
      <c r="R97" s="35">
        <v>22350</v>
      </c>
      <c r="S97" s="115">
        <v>5630000</v>
      </c>
      <c r="T97" s="115">
        <v>5942600</v>
      </c>
    </row>
    <row r="98" spans="1:20" s="1" customFormat="1">
      <c r="A98" s="27" t="s">
        <v>151</v>
      </c>
      <c r="B98" s="35">
        <v>65120</v>
      </c>
      <c r="C98" s="35">
        <v>52660</v>
      </c>
      <c r="D98" s="35">
        <v>25970</v>
      </c>
      <c r="E98" s="35">
        <v>168630</v>
      </c>
      <c r="F98" s="35">
        <v>997510</v>
      </c>
      <c r="G98" s="35">
        <v>219340</v>
      </c>
      <c r="H98" s="35">
        <v>214850</v>
      </c>
      <c r="I98" s="35">
        <v>287920</v>
      </c>
      <c r="J98" s="35">
        <v>598560</v>
      </c>
      <c r="K98" s="35">
        <v>459880</v>
      </c>
      <c r="L98" s="35">
        <v>319250</v>
      </c>
      <c r="M98" s="35">
        <v>267000</v>
      </c>
      <c r="N98" s="35">
        <v>511600</v>
      </c>
      <c r="O98" s="35">
        <v>577940</v>
      </c>
      <c r="P98" s="35">
        <v>646130</v>
      </c>
      <c r="Q98" s="35">
        <v>501290</v>
      </c>
      <c r="R98" s="35">
        <v>22200</v>
      </c>
      <c r="S98" s="115">
        <v>5623500</v>
      </c>
      <c r="T98" s="115">
        <v>5935800</v>
      </c>
    </row>
    <row r="99" spans="1:20" s="1" customFormat="1">
      <c r="A99" s="60" t="s">
        <v>152</v>
      </c>
      <c r="B99" s="87">
        <v>65060</v>
      </c>
      <c r="C99" s="87">
        <v>52650</v>
      </c>
      <c r="D99" s="87">
        <v>25710</v>
      </c>
      <c r="E99" s="87">
        <v>168400</v>
      </c>
      <c r="F99" s="87">
        <v>996270</v>
      </c>
      <c r="G99" s="87">
        <v>219270</v>
      </c>
      <c r="H99" s="87">
        <v>215030</v>
      </c>
      <c r="I99" s="87">
        <v>287110</v>
      </c>
      <c r="J99" s="87">
        <v>595860</v>
      </c>
      <c r="K99" s="87">
        <v>457860</v>
      </c>
      <c r="L99" s="87">
        <v>318690</v>
      </c>
      <c r="M99" s="87">
        <v>266240</v>
      </c>
      <c r="N99" s="87">
        <v>512580</v>
      </c>
      <c r="O99" s="87">
        <v>580720</v>
      </c>
      <c r="P99" s="87">
        <v>645590</v>
      </c>
      <c r="Q99" s="87">
        <v>500510</v>
      </c>
      <c r="R99" s="87">
        <v>22470</v>
      </c>
      <c r="S99" s="116">
        <v>5618200</v>
      </c>
      <c r="T99" s="116">
        <v>5930000</v>
      </c>
    </row>
    <row r="100" spans="1:20" s="1" customFormat="1">
      <c r="A100" s="27" t="s">
        <v>153</v>
      </c>
      <c r="B100" s="35">
        <v>64730</v>
      </c>
      <c r="C100" s="35">
        <v>52320</v>
      </c>
      <c r="D100" s="35">
        <v>25970</v>
      </c>
      <c r="E100" s="35">
        <v>168870</v>
      </c>
      <c r="F100" s="35">
        <v>997440</v>
      </c>
      <c r="G100" s="35">
        <v>219180</v>
      </c>
      <c r="H100" s="35">
        <v>216180</v>
      </c>
      <c r="I100" s="35">
        <v>285390</v>
      </c>
      <c r="J100" s="35">
        <v>589790</v>
      </c>
      <c r="K100" s="35">
        <v>456840</v>
      </c>
      <c r="L100" s="35">
        <v>318900</v>
      </c>
      <c r="M100" s="35">
        <v>266770</v>
      </c>
      <c r="N100" s="35">
        <v>510920</v>
      </c>
      <c r="O100" s="35">
        <v>583400</v>
      </c>
      <c r="P100" s="35">
        <v>645900</v>
      </c>
      <c r="Q100" s="35">
        <v>499950</v>
      </c>
      <c r="R100" s="35">
        <v>21990</v>
      </c>
      <c r="S100" s="115">
        <v>5612700</v>
      </c>
      <c r="T100" s="115">
        <v>5924600</v>
      </c>
    </row>
    <row r="101" spans="1:20" s="1" customFormat="1">
      <c r="A101" s="27" t="s">
        <v>154</v>
      </c>
      <c r="B101" s="35">
        <v>63600</v>
      </c>
      <c r="C101" s="35">
        <v>51290</v>
      </c>
      <c r="D101" s="35">
        <v>25360</v>
      </c>
      <c r="E101" s="35">
        <v>167710</v>
      </c>
      <c r="F101" s="35">
        <v>990990</v>
      </c>
      <c r="G101" s="35">
        <v>217060</v>
      </c>
      <c r="H101" s="35">
        <v>215620</v>
      </c>
      <c r="I101" s="35">
        <v>282180</v>
      </c>
      <c r="J101" s="35">
        <v>582870</v>
      </c>
      <c r="K101" s="35">
        <v>451990</v>
      </c>
      <c r="L101" s="35">
        <v>316390</v>
      </c>
      <c r="M101" s="35">
        <v>264960</v>
      </c>
      <c r="N101" s="35">
        <v>507380</v>
      </c>
      <c r="O101" s="35">
        <v>581750</v>
      </c>
      <c r="P101" s="35">
        <v>642890</v>
      </c>
      <c r="Q101" s="35">
        <v>495960</v>
      </c>
      <c r="R101" s="35">
        <v>21480</v>
      </c>
      <c r="S101" s="115">
        <v>5571500</v>
      </c>
      <c r="T101" s="115">
        <v>5879500</v>
      </c>
    </row>
    <row r="102" spans="1:20" s="1" customFormat="1">
      <c r="A102" s="27" t="s">
        <v>155</v>
      </c>
      <c r="B102" s="35">
        <v>62620</v>
      </c>
      <c r="C102" s="35">
        <v>51020</v>
      </c>
      <c r="D102" s="35">
        <v>24730</v>
      </c>
      <c r="E102" s="35">
        <v>165510</v>
      </c>
      <c r="F102" s="35">
        <v>985650</v>
      </c>
      <c r="G102" s="35">
        <v>215520</v>
      </c>
      <c r="H102" s="35">
        <v>213890</v>
      </c>
      <c r="I102" s="35">
        <v>277130</v>
      </c>
      <c r="J102" s="35">
        <v>571570</v>
      </c>
      <c r="K102" s="35">
        <v>449190</v>
      </c>
      <c r="L102" s="35">
        <v>313300</v>
      </c>
      <c r="M102" s="35">
        <v>262040</v>
      </c>
      <c r="N102" s="35">
        <v>499240</v>
      </c>
      <c r="O102" s="35">
        <v>575050</v>
      </c>
      <c r="P102" s="35">
        <v>637050</v>
      </c>
      <c r="Q102" s="35">
        <v>489660</v>
      </c>
      <c r="R102" s="35">
        <v>21000</v>
      </c>
      <c r="S102" s="115">
        <v>5510300</v>
      </c>
      <c r="T102" s="115">
        <v>5814200</v>
      </c>
    </row>
    <row r="103" spans="1:20" s="12" customFormat="1">
      <c r="A103" s="60" t="s">
        <v>156</v>
      </c>
      <c r="B103" s="87">
        <v>60960</v>
      </c>
      <c r="C103" s="87">
        <v>49950</v>
      </c>
      <c r="D103" s="87">
        <v>24250</v>
      </c>
      <c r="E103" s="87">
        <v>163370</v>
      </c>
      <c r="F103" s="87">
        <v>976380</v>
      </c>
      <c r="G103" s="87">
        <v>212000</v>
      </c>
      <c r="H103" s="87">
        <v>211640</v>
      </c>
      <c r="I103" s="87">
        <v>275670</v>
      </c>
      <c r="J103" s="87">
        <v>567770</v>
      </c>
      <c r="K103" s="87">
        <v>443730</v>
      </c>
      <c r="L103" s="87">
        <v>312360</v>
      </c>
      <c r="M103" s="87">
        <v>259510</v>
      </c>
      <c r="N103" s="87">
        <v>494450</v>
      </c>
      <c r="O103" s="87">
        <v>570100</v>
      </c>
      <c r="P103" s="87">
        <v>632830</v>
      </c>
      <c r="Q103" s="87">
        <v>483640</v>
      </c>
      <c r="R103" s="87">
        <v>21450</v>
      </c>
      <c r="S103" s="116">
        <v>5461500</v>
      </c>
      <c r="T103" s="116">
        <v>5760100</v>
      </c>
    </row>
    <row r="104" spans="1:20" s="1" customFormat="1">
      <c r="A104" s="27" t="s">
        <v>157</v>
      </c>
      <c r="B104" s="35">
        <v>60100</v>
      </c>
      <c r="C104" s="35">
        <v>49080</v>
      </c>
      <c r="D104" s="35">
        <v>23850</v>
      </c>
      <c r="E104" s="35">
        <v>161440</v>
      </c>
      <c r="F104" s="35">
        <v>982260</v>
      </c>
      <c r="G104" s="35">
        <v>209700</v>
      </c>
      <c r="H104" s="35">
        <v>209810</v>
      </c>
      <c r="I104" s="35">
        <v>275010</v>
      </c>
      <c r="J104" s="35">
        <v>563870</v>
      </c>
      <c r="K104" s="35">
        <v>444470</v>
      </c>
      <c r="L104" s="35">
        <v>314680</v>
      </c>
      <c r="M104" s="35">
        <v>260120</v>
      </c>
      <c r="N104" s="35">
        <v>495140</v>
      </c>
      <c r="O104" s="35">
        <v>568850</v>
      </c>
      <c r="P104" s="35">
        <v>634550</v>
      </c>
      <c r="Q104" s="35">
        <v>481680</v>
      </c>
      <c r="R104" s="35">
        <v>21030</v>
      </c>
      <c r="S104" s="115">
        <v>5461200</v>
      </c>
      <c r="T104" s="115">
        <v>5755600</v>
      </c>
    </row>
    <row r="105" spans="1:20" s="1" customFormat="1">
      <c r="A105" s="27" t="s">
        <v>158</v>
      </c>
      <c r="B105" s="35">
        <v>61910</v>
      </c>
      <c r="C105" s="35">
        <v>50270</v>
      </c>
      <c r="D105" s="35">
        <v>24040</v>
      </c>
      <c r="E105" s="35">
        <v>163980</v>
      </c>
      <c r="F105" s="35">
        <v>1043750</v>
      </c>
      <c r="G105" s="35">
        <v>219870</v>
      </c>
      <c r="H105" s="35">
        <v>222750</v>
      </c>
      <c r="I105" s="35">
        <v>290250</v>
      </c>
      <c r="J105" s="35">
        <v>585100</v>
      </c>
      <c r="K105" s="35">
        <v>469180</v>
      </c>
      <c r="L105" s="35">
        <v>339120</v>
      </c>
      <c r="M105" s="35">
        <v>279730</v>
      </c>
      <c r="N105" s="35">
        <v>528360</v>
      </c>
      <c r="O105" s="35">
        <v>603260</v>
      </c>
      <c r="P105" s="35">
        <v>679730</v>
      </c>
      <c r="Q105" s="35">
        <v>518570</v>
      </c>
      <c r="R105" s="35">
        <v>27300</v>
      </c>
      <c r="S105" s="115">
        <v>5807000</v>
      </c>
      <c r="T105" s="115">
        <v>6107200</v>
      </c>
    </row>
    <row r="106" spans="1:20" s="1" customFormat="1">
      <c r="A106" s="27" t="s">
        <v>159</v>
      </c>
      <c r="B106" s="35">
        <v>62290</v>
      </c>
      <c r="C106" s="35">
        <v>49960</v>
      </c>
      <c r="D106" s="35">
        <v>24700</v>
      </c>
      <c r="E106" s="35">
        <v>164270</v>
      </c>
      <c r="F106" s="35">
        <v>1050760</v>
      </c>
      <c r="G106" s="35">
        <v>218560</v>
      </c>
      <c r="H106" s="35">
        <v>221860</v>
      </c>
      <c r="I106" s="35">
        <v>286480</v>
      </c>
      <c r="J106" s="35">
        <v>585640</v>
      </c>
      <c r="K106" s="35">
        <v>467260</v>
      </c>
      <c r="L106" s="35">
        <v>330720</v>
      </c>
      <c r="M106" s="35">
        <v>272900</v>
      </c>
      <c r="N106" s="35">
        <v>520730</v>
      </c>
      <c r="O106" s="35">
        <v>602670</v>
      </c>
      <c r="P106" s="35">
        <v>671410</v>
      </c>
      <c r="Q106" s="35">
        <v>511320</v>
      </c>
      <c r="R106" s="35">
        <v>24240</v>
      </c>
      <c r="S106" s="115">
        <v>5764600</v>
      </c>
      <c r="T106" s="115">
        <v>6065800</v>
      </c>
    </row>
    <row r="107" spans="1:20" s="1" customFormat="1">
      <c r="A107" s="60" t="s">
        <v>160</v>
      </c>
      <c r="B107" s="87">
        <v>60940</v>
      </c>
      <c r="C107" s="87">
        <v>48810</v>
      </c>
      <c r="D107" s="87">
        <v>23830</v>
      </c>
      <c r="E107" s="87">
        <v>163220</v>
      </c>
      <c r="F107" s="87">
        <v>1062540</v>
      </c>
      <c r="G107" s="87">
        <v>218230</v>
      </c>
      <c r="H107" s="87">
        <v>221090</v>
      </c>
      <c r="I107" s="87">
        <v>282620</v>
      </c>
      <c r="J107" s="87">
        <v>579340</v>
      </c>
      <c r="K107" s="87">
        <v>465140</v>
      </c>
      <c r="L107" s="87">
        <v>327280</v>
      </c>
      <c r="M107" s="87">
        <v>269020</v>
      </c>
      <c r="N107" s="87">
        <v>513000</v>
      </c>
      <c r="O107" s="87">
        <v>596310</v>
      </c>
      <c r="P107" s="87">
        <v>671550</v>
      </c>
      <c r="Q107" s="87">
        <v>501040</v>
      </c>
      <c r="R107" s="87">
        <v>21080</v>
      </c>
      <c r="S107" s="116">
        <v>5728200</v>
      </c>
      <c r="T107" s="116">
        <v>6025100</v>
      </c>
    </row>
    <row r="108" spans="1:20" s="1" customFormat="1">
      <c r="A108" s="27" t="s">
        <v>161</v>
      </c>
      <c r="B108" s="35">
        <v>60740</v>
      </c>
      <c r="C108" s="35">
        <v>48350</v>
      </c>
      <c r="D108" s="35">
        <v>23780</v>
      </c>
      <c r="E108" s="35">
        <v>163350</v>
      </c>
      <c r="F108" s="35">
        <v>1060970</v>
      </c>
      <c r="G108" s="35">
        <v>219530</v>
      </c>
      <c r="H108" s="35">
        <v>222440</v>
      </c>
      <c r="I108" s="35">
        <v>280620</v>
      </c>
      <c r="J108" s="35">
        <v>578530</v>
      </c>
      <c r="K108" s="35">
        <v>465520</v>
      </c>
      <c r="L108" s="35">
        <v>325370</v>
      </c>
      <c r="M108" s="35">
        <v>268750</v>
      </c>
      <c r="N108" s="35">
        <v>513040</v>
      </c>
      <c r="O108" s="35">
        <v>595730</v>
      </c>
      <c r="P108" s="35">
        <v>676960</v>
      </c>
      <c r="Q108" s="35">
        <v>502250</v>
      </c>
      <c r="R108" s="35">
        <v>20900</v>
      </c>
      <c r="S108" s="115">
        <v>5730600</v>
      </c>
      <c r="T108" s="115">
        <v>6026800</v>
      </c>
    </row>
    <row r="109" spans="1:20" s="1" customFormat="1">
      <c r="A109" s="27" t="s">
        <v>162</v>
      </c>
      <c r="B109" s="35">
        <v>60880</v>
      </c>
      <c r="C109" s="35">
        <v>48180</v>
      </c>
      <c r="D109" s="35">
        <v>23910</v>
      </c>
      <c r="E109" s="35">
        <v>161940</v>
      </c>
      <c r="F109" s="35">
        <v>1052920</v>
      </c>
      <c r="G109" s="35">
        <v>218460</v>
      </c>
      <c r="H109" s="35">
        <v>220320</v>
      </c>
      <c r="I109" s="35">
        <v>277240</v>
      </c>
      <c r="J109" s="35">
        <v>571740</v>
      </c>
      <c r="K109" s="35">
        <v>461300</v>
      </c>
      <c r="L109" s="35">
        <v>320620</v>
      </c>
      <c r="M109" s="35">
        <v>266650</v>
      </c>
      <c r="N109" s="35">
        <v>508380</v>
      </c>
      <c r="O109" s="35">
        <v>593830</v>
      </c>
      <c r="P109" s="35">
        <v>663180</v>
      </c>
      <c r="Q109" s="35">
        <v>503330</v>
      </c>
      <c r="R109" s="35">
        <v>22820</v>
      </c>
      <c r="S109" s="115">
        <v>5680800</v>
      </c>
      <c r="T109" s="115">
        <v>5975700</v>
      </c>
    </row>
    <row r="110" spans="1:20" s="1" customFormat="1">
      <c r="A110" s="27" t="s">
        <v>163</v>
      </c>
      <c r="B110" s="35">
        <v>60510</v>
      </c>
      <c r="C110" s="35">
        <v>47760</v>
      </c>
      <c r="D110" s="35">
        <v>23860</v>
      </c>
      <c r="E110" s="35">
        <v>160520</v>
      </c>
      <c r="F110" s="35">
        <v>1030570</v>
      </c>
      <c r="G110" s="35">
        <v>214350</v>
      </c>
      <c r="H110" s="35">
        <v>215050</v>
      </c>
      <c r="I110" s="35">
        <v>271000</v>
      </c>
      <c r="J110" s="35">
        <v>563380</v>
      </c>
      <c r="K110" s="35">
        <v>451920</v>
      </c>
      <c r="L110" s="35">
        <v>311340</v>
      </c>
      <c r="M110" s="35">
        <v>259960</v>
      </c>
      <c r="N110" s="35">
        <v>495570</v>
      </c>
      <c r="O110" s="35">
        <v>582280</v>
      </c>
      <c r="P110" s="35">
        <v>646520</v>
      </c>
      <c r="Q110" s="35">
        <v>490060</v>
      </c>
      <c r="R110" s="35">
        <v>21100</v>
      </c>
      <c r="S110" s="115">
        <v>5553100</v>
      </c>
      <c r="T110" s="115">
        <v>5845800</v>
      </c>
    </row>
    <row r="111" spans="1:20" s="1" customFormat="1">
      <c r="A111" s="60" t="s">
        <v>164</v>
      </c>
      <c r="B111" s="87">
        <v>60290</v>
      </c>
      <c r="C111" s="87">
        <v>47320</v>
      </c>
      <c r="D111" s="87">
        <v>24140</v>
      </c>
      <c r="E111" s="87">
        <v>159460</v>
      </c>
      <c r="F111" s="87">
        <v>996820</v>
      </c>
      <c r="G111" s="87">
        <v>208660</v>
      </c>
      <c r="H111" s="87">
        <v>209890</v>
      </c>
      <c r="I111" s="87">
        <v>262960</v>
      </c>
      <c r="J111" s="87">
        <v>545960</v>
      </c>
      <c r="K111" s="87">
        <v>440830</v>
      </c>
      <c r="L111" s="87">
        <v>301180</v>
      </c>
      <c r="M111" s="87">
        <v>251780</v>
      </c>
      <c r="N111" s="87">
        <v>481640</v>
      </c>
      <c r="O111" s="87">
        <v>567800</v>
      </c>
      <c r="P111" s="87">
        <v>626480</v>
      </c>
      <c r="Q111" s="87">
        <v>472760</v>
      </c>
      <c r="R111" s="87">
        <v>20040</v>
      </c>
      <c r="S111" s="116">
        <v>5386800</v>
      </c>
      <c r="T111" s="116">
        <v>5678000</v>
      </c>
    </row>
    <row r="112" spans="1:20" s="1" customFormat="1">
      <c r="A112" s="27" t="s">
        <v>165</v>
      </c>
      <c r="B112" s="35">
        <v>59510</v>
      </c>
      <c r="C112" s="35">
        <v>46550</v>
      </c>
      <c r="D112" s="35">
        <v>24050</v>
      </c>
      <c r="E112" s="35">
        <v>157380</v>
      </c>
      <c r="F112" s="35">
        <v>976460</v>
      </c>
      <c r="G112" s="35">
        <v>203330</v>
      </c>
      <c r="H112" s="35">
        <v>203730</v>
      </c>
      <c r="I112" s="35">
        <v>254380</v>
      </c>
      <c r="J112" s="35">
        <v>528810</v>
      </c>
      <c r="K112" s="35">
        <v>428670</v>
      </c>
      <c r="L112" s="35">
        <v>293020</v>
      </c>
      <c r="M112" s="35">
        <v>245960</v>
      </c>
      <c r="N112" s="35">
        <v>468890</v>
      </c>
      <c r="O112" s="35">
        <v>554200</v>
      </c>
      <c r="P112" s="35">
        <v>608930</v>
      </c>
      <c r="Q112" s="35">
        <v>460140</v>
      </c>
      <c r="R112" s="35">
        <v>19140</v>
      </c>
      <c r="S112" s="115">
        <v>5245700</v>
      </c>
      <c r="T112" s="115">
        <v>5533200</v>
      </c>
    </row>
    <row r="113" spans="1:20" s="1" customFormat="1">
      <c r="A113" s="27" t="s">
        <v>166</v>
      </c>
      <c r="B113" s="35">
        <v>58470</v>
      </c>
      <c r="C113" s="35">
        <v>45590</v>
      </c>
      <c r="D113" s="35">
        <v>24170</v>
      </c>
      <c r="E113" s="35">
        <v>156320</v>
      </c>
      <c r="F113" s="35">
        <v>966760</v>
      </c>
      <c r="G113" s="35">
        <v>199720</v>
      </c>
      <c r="H113" s="35">
        <v>200110</v>
      </c>
      <c r="I113" s="35">
        <v>249240</v>
      </c>
      <c r="J113" s="35">
        <v>520780</v>
      </c>
      <c r="K113" s="35">
        <v>420300</v>
      </c>
      <c r="L113" s="35">
        <v>287520</v>
      </c>
      <c r="M113" s="35">
        <v>242610</v>
      </c>
      <c r="N113" s="35">
        <v>459220</v>
      </c>
      <c r="O113" s="35">
        <v>547820</v>
      </c>
      <c r="P113" s="35">
        <v>598720</v>
      </c>
      <c r="Q113" s="35">
        <v>454180</v>
      </c>
      <c r="R113" s="35">
        <v>18720</v>
      </c>
      <c r="S113" s="115">
        <v>5165700</v>
      </c>
      <c r="T113" s="115">
        <v>5450200</v>
      </c>
    </row>
    <row r="114" spans="1:20" s="1" customFormat="1">
      <c r="A114" s="27" t="s">
        <v>167</v>
      </c>
      <c r="B114" s="35">
        <v>57390</v>
      </c>
      <c r="C114" s="35">
        <v>45240</v>
      </c>
      <c r="D114" s="35">
        <v>24610</v>
      </c>
      <c r="E114" s="35">
        <v>155610</v>
      </c>
      <c r="F114" s="35">
        <v>964100</v>
      </c>
      <c r="G114" s="35">
        <v>197910</v>
      </c>
      <c r="H114" s="35">
        <v>199560</v>
      </c>
      <c r="I114" s="35">
        <v>247980</v>
      </c>
      <c r="J114" s="35">
        <v>517270</v>
      </c>
      <c r="K114" s="35">
        <v>418890</v>
      </c>
      <c r="L114" s="35">
        <v>285670</v>
      </c>
      <c r="M114" s="35">
        <v>242900</v>
      </c>
      <c r="N114" s="35">
        <v>457840</v>
      </c>
      <c r="O114" s="35">
        <v>546640</v>
      </c>
      <c r="P114" s="35">
        <v>598050</v>
      </c>
      <c r="Q114" s="35">
        <v>454270</v>
      </c>
      <c r="R114" s="35">
        <v>18760</v>
      </c>
      <c r="S114" s="115">
        <v>5149800</v>
      </c>
      <c r="T114" s="115">
        <v>5432700</v>
      </c>
    </row>
    <row r="115" spans="1:20" s="12" customFormat="1">
      <c r="A115" s="60" t="s">
        <v>168</v>
      </c>
      <c r="B115" s="87">
        <v>56340</v>
      </c>
      <c r="C115" s="87">
        <v>44550</v>
      </c>
      <c r="D115" s="87">
        <v>24340</v>
      </c>
      <c r="E115" s="87">
        <v>155470</v>
      </c>
      <c r="F115" s="87">
        <v>954250</v>
      </c>
      <c r="G115" s="87">
        <v>195780</v>
      </c>
      <c r="H115" s="87">
        <v>197420</v>
      </c>
      <c r="I115" s="87">
        <v>243550</v>
      </c>
      <c r="J115" s="87">
        <v>513080</v>
      </c>
      <c r="K115" s="87">
        <v>414680</v>
      </c>
      <c r="L115" s="87">
        <v>280530</v>
      </c>
      <c r="M115" s="87">
        <v>242090</v>
      </c>
      <c r="N115" s="87">
        <v>454300</v>
      </c>
      <c r="O115" s="87">
        <v>545410</v>
      </c>
      <c r="P115" s="87">
        <v>591490</v>
      </c>
      <c r="Q115" s="87">
        <v>450430</v>
      </c>
      <c r="R115" s="87">
        <v>18930</v>
      </c>
      <c r="S115" s="116">
        <v>5102000</v>
      </c>
      <c r="T115" s="116">
        <v>5382600</v>
      </c>
    </row>
    <row r="116" spans="1:20" s="1" customFormat="1">
      <c r="A116" s="27" t="s">
        <v>169</v>
      </c>
      <c r="B116" s="35">
        <v>55540</v>
      </c>
      <c r="C116" s="35">
        <v>43860</v>
      </c>
      <c r="D116" s="35">
        <v>24530</v>
      </c>
      <c r="E116" s="35">
        <v>155210</v>
      </c>
      <c r="F116" s="35">
        <v>952160</v>
      </c>
      <c r="G116" s="35">
        <v>193260</v>
      </c>
      <c r="H116" s="35">
        <v>195790</v>
      </c>
      <c r="I116" s="35">
        <v>243460</v>
      </c>
      <c r="J116" s="35">
        <v>512240</v>
      </c>
      <c r="K116" s="35">
        <v>412080</v>
      </c>
      <c r="L116" s="35">
        <v>278370</v>
      </c>
      <c r="M116" s="35">
        <v>242270</v>
      </c>
      <c r="N116" s="35">
        <v>452490</v>
      </c>
      <c r="O116" s="35">
        <v>545600</v>
      </c>
      <c r="P116" s="35">
        <v>588880</v>
      </c>
      <c r="Q116" s="35">
        <v>448740</v>
      </c>
      <c r="R116" s="35">
        <v>18840</v>
      </c>
      <c r="S116" s="115">
        <v>5084200</v>
      </c>
      <c r="T116" s="115">
        <v>5363300</v>
      </c>
    </row>
    <row r="117" spans="1:20" s="1" customFormat="1">
      <c r="A117" s="27" t="s">
        <v>170</v>
      </c>
      <c r="B117" s="35">
        <v>54660</v>
      </c>
      <c r="C117" s="35">
        <v>42770</v>
      </c>
      <c r="D117" s="35">
        <v>24540</v>
      </c>
      <c r="E117" s="35">
        <v>153950</v>
      </c>
      <c r="F117" s="35">
        <v>954810</v>
      </c>
      <c r="G117" s="35">
        <v>191990</v>
      </c>
      <c r="H117" s="35">
        <v>194870</v>
      </c>
      <c r="I117" s="35">
        <v>242930</v>
      </c>
      <c r="J117" s="35">
        <v>510750</v>
      </c>
      <c r="K117" s="35">
        <v>409390</v>
      </c>
      <c r="L117" s="35">
        <v>276690</v>
      </c>
      <c r="M117" s="35">
        <v>242090</v>
      </c>
      <c r="N117" s="35">
        <v>450710</v>
      </c>
      <c r="O117" s="35">
        <v>543720</v>
      </c>
      <c r="P117" s="35">
        <v>588040</v>
      </c>
      <c r="Q117" s="35">
        <v>446900</v>
      </c>
      <c r="R117" s="35">
        <v>19090</v>
      </c>
      <c r="S117" s="115">
        <v>5072000</v>
      </c>
      <c r="T117" s="115">
        <v>5347900</v>
      </c>
    </row>
    <row r="118" spans="1:20" s="1" customFormat="1">
      <c r="A118" s="27" t="s">
        <v>171</v>
      </c>
      <c r="B118" s="35">
        <v>55090</v>
      </c>
      <c r="C118" s="35">
        <v>42260</v>
      </c>
      <c r="D118" s="35">
        <v>24770</v>
      </c>
      <c r="E118" s="35">
        <v>153790</v>
      </c>
      <c r="F118" s="35">
        <v>959430</v>
      </c>
      <c r="G118" s="35">
        <v>192110</v>
      </c>
      <c r="H118" s="35">
        <v>194910</v>
      </c>
      <c r="I118" s="35">
        <v>242920</v>
      </c>
      <c r="J118" s="35">
        <v>512630</v>
      </c>
      <c r="K118" s="35">
        <v>410720</v>
      </c>
      <c r="L118" s="35">
        <v>276450</v>
      </c>
      <c r="M118" s="35">
        <v>243490</v>
      </c>
      <c r="N118" s="35">
        <v>453390</v>
      </c>
      <c r="O118" s="35">
        <v>545200</v>
      </c>
      <c r="P118" s="35">
        <v>590630</v>
      </c>
      <c r="Q118" s="35">
        <v>448080</v>
      </c>
      <c r="R118" s="35">
        <v>19120</v>
      </c>
      <c r="S118" s="115">
        <v>5089100</v>
      </c>
      <c r="T118" s="115">
        <v>5365000</v>
      </c>
    </row>
    <row r="119" spans="1:20" s="1" customFormat="1">
      <c r="A119" s="60" t="s">
        <v>172</v>
      </c>
      <c r="B119" s="87">
        <v>55350</v>
      </c>
      <c r="C119" s="87">
        <v>41800</v>
      </c>
      <c r="D119" s="87">
        <v>25660</v>
      </c>
      <c r="E119" s="87">
        <v>153360</v>
      </c>
      <c r="F119" s="87">
        <v>967950</v>
      </c>
      <c r="G119" s="87">
        <v>193160</v>
      </c>
      <c r="H119" s="87">
        <v>195830</v>
      </c>
      <c r="I119" s="87">
        <v>244550</v>
      </c>
      <c r="J119" s="87">
        <v>513520</v>
      </c>
      <c r="K119" s="87">
        <v>410470</v>
      </c>
      <c r="L119" s="87">
        <v>277850</v>
      </c>
      <c r="M119" s="87">
        <v>244460</v>
      </c>
      <c r="N119" s="87">
        <v>458100</v>
      </c>
      <c r="O119" s="87">
        <v>548310</v>
      </c>
      <c r="P119" s="87">
        <v>594930</v>
      </c>
      <c r="Q119" s="87">
        <v>450450</v>
      </c>
      <c r="R119" s="87">
        <v>19340</v>
      </c>
      <c r="S119" s="116">
        <v>5118900</v>
      </c>
      <c r="T119" s="116">
        <v>5395100</v>
      </c>
    </row>
    <row r="120" spans="1:20" s="1" customFormat="1">
      <c r="A120" s="27" t="s">
        <v>173</v>
      </c>
      <c r="B120" s="35">
        <v>54630</v>
      </c>
      <c r="C120" s="35">
        <v>41520</v>
      </c>
      <c r="D120" s="35">
        <v>26230</v>
      </c>
      <c r="E120" s="35">
        <v>153800</v>
      </c>
      <c r="F120" s="35">
        <v>969430</v>
      </c>
      <c r="G120" s="35">
        <v>192770</v>
      </c>
      <c r="H120" s="35">
        <v>195720</v>
      </c>
      <c r="I120" s="35">
        <v>244190</v>
      </c>
      <c r="J120" s="35">
        <v>511760</v>
      </c>
      <c r="K120" s="35">
        <v>410820</v>
      </c>
      <c r="L120" s="35">
        <v>277960</v>
      </c>
      <c r="M120" s="35">
        <v>244420</v>
      </c>
      <c r="N120" s="35">
        <v>459340</v>
      </c>
      <c r="O120" s="35">
        <v>546840</v>
      </c>
      <c r="P120" s="35">
        <v>595030</v>
      </c>
      <c r="Q120" s="35">
        <v>448170</v>
      </c>
      <c r="R120" s="35">
        <v>19360</v>
      </c>
      <c r="S120" s="115">
        <v>5115800</v>
      </c>
      <c r="T120" s="115">
        <v>5392000</v>
      </c>
    </row>
    <row r="121" spans="1:20" s="1" customFormat="1">
      <c r="A121" s="27" t="s">
        <v>174</v>
      </c>
      <c r="B121" s="35">
        <v>54320</v>
      </c>
      <c r="C121" s="35">
        <v>41710</v>
      </c>
      <c r="D121" s="35">
        <v>26770</v>
      </c>
      <c r="E121" s="35">
        <v>153540</v>
      </c>
      <c r="F121" s="35">
        <v>971100</v>
      </c>
      <c r="G121" s="35">
        <v>191620</v>
      </c>
      <c r="H121" s="35">
        <v>195810</v>
      </c>
      <c r="I121" s="35">
        <v>244100</v>
      </c>
      <c r="J121" s="35">
        <v>508890</v>
      </c>
      <c r="K121" s="35">
        <v>409550</v>
      </c>
      <c r="L121" s="35">
        <v>278160</v>
      </c>
      <c r="M121" s="35">
        <v>245310</v>
      </c>
      <c r="N121" s="35">
        <v>460100</v>
      </c>
      <c r="O121" s="35">
        <v>546740</v>
      </c>
      <c r="P121" s="35">
        <v>596850</v>
      </c>
      <c r="Q121" s="35">
        <v>445700</v>
      </c>
      <c r="R121" s="35">
        <v>19490</v>
      </c>
      <c r="S121" s="115">
        <v>5113400</v>
      </c>
      <c r="T121" s="115">
        <v>5389800</v>
      </c>
    </row>
    <row r="122" spans="1:20" s="1" customFormat="1">
      <c r="A122" s="27" t="s">
        <v>175</v>
      </c>
      <c r="B122" s="35">
        <v>54330</v>
      </c>
      <c r="C122" s="35">
        <v>41780</v>
      </c>
      <c r="D122" s="35">
        <v>27220</v>
      </c>
      <c r="E122" s="35">
        <v>153820</v>
      </c>
      <c r="F122" s="35">
        <v>983010</v>
      </c>
      <c r="G122" s="35">
        <v>191390</v>
      </c>
      <c r="H122" s="35">
        <v>196430</v>
      </c>
      <c r="I122" s="35">
        <v>243890</v>
      </c>
      <c r="J122" s="35">
        <v>508340</v>
      </c>
      <c r="K122" s="35">
        <v>405760</v>
      </c>
      <c r="L122" s="35">
        <v>279060</v>
      </c>
      <c r="M122" s="35">
        <v>246250</v>
      </c>
      <c r="N122" s="35">
        <v>462160</v>
      </c>
      <c r="O122" s="35">
        <v>551180</v>
      </c>
      <c r="P122" s="35">
        <v>599770</v>
      </c>
      <c r="Q122" s="35">
        <v>448300</v>
      </c>
      <c r="R122" s="35">
        <v>19660</v>
      </c>
      <c r="S122" s="115">
        <v>5135200</v>
      </c>
      <c r="T122" s="115">
        <v>5412400</v>
      </c>
    </row>
    <row r="123" spans="1:20" s="1" customFormat="1">
      <c r="A123" s="60" t="s">
        <v>176</v>
      </c>
      <c r="B123" s="87">
        <v>54280</v>
      </c>
      <c r="C123" s="87">
        <v>42200</v>
      </c>
      <c r="D123" s="87">
        <v>28190</v>
      </c>
      <c r="E123" s="87">
        <v>154520</v>
      </c>
      <c r="F123" s="87">
        <v>1006720</v>
      </c>
      <c r="G123" s="87">
        <v>193500</v>
      </c>
      <c r="H123" s="87">
        <v>199790</v>
      </c>
      <c r="I123" s="87">
        <v>245470</v>
      </c>
      <c r="J123" s="87">
        <v>512990</v>
      </c>
      <c r="K123" s="87">
        <v>406930</v>
      </c>
      <c r="L123" s="87">
        <v>283160</v>
      </c>
      <c r="M123" s="87">
        <v>249150</v>
      </c>
      <c r="N123" s="87">
        <v>468500</v>
      </c>
      <c r="O123" s="87">
        <v>560420</v>
      </c>
      <c r="P123" s="87">
        <v>610280</v>
      </c>
      <c r="Q123" s="87">
        <v>455670</v>
      </c>
      <c r="R123" s="87">
        <v>19880</v>
      </c>
      <c r="S123" s="116">
        <v>5212500</v>
      </c>
      <c r="T123" s="116">
        <v>5491700</v>
      </c>
    </row>
    <row r="124" spans="1:20" s="1" customFormat="1">
      <c r="A124" s="27" t="s">
        <v>177</v>
      </c>
      <c r="B124" s="35">
        <v>56140</v>
      </c>
      <c r="C124" s="35">
        <v>44340</v>
      </c>
      <c r="D124" s="35">
        <v>30820</v>
      </c>
      <c r="E124" s="35">
        <v>158350</v>
      </c>
      <c r="F124" s="35">
        <v>1062440</v>
      </c>
      <c r="G124" s="35">
        <v>200800</v>
      </c>
      <c r="H124" s="35">
        <v>209170</v>
      </c>
      <c r="I124" s="35">
        <v>256550</v>
      </c>
      <c r="J124" s="35">
        <v>540030</v>
      </c>
      <c r="K124" s="35">
        <v>420520</v>
      </c>
      <c r="L124" s="35">
        <v>292720</v>
      </c>
      <c r="M124" s="35">
        <v>258430</v>
      </c>
      <c r="N124" s="35">
        <v>489000</v>
      </c>
      <c r="O124" s="35">
        <v>585640</v>
      </c>
      <c r="P124" s="35">
        <v>636220</v>
      </c>
      <c r="Q124" s="35">
        <v>476340</v>
      </c>
      <c r="R124" s="35">
        <v>20530</v>
      </c>
      <c r="S124" s="115">
        <v>5448400</v>
      </c>
      <c r="T124" s="115">
        <v>5738100</v>
      </c>
    </row>
    <row r="125" spans="1:20" s="1" customFormat="1">
      <c r="A125" s="27" t="s">
        <v>178</v>
      </c>
      <c r="B125" s="35">
        <v>54930</v>
      </c>
      <c r="C125" s="35">
        <v>42420</v>
      </c>
      <c r="D125" s="35">
        <v>30120</v>
      </c>
      <c r="E125" s="35">
        <v>156190</v>
      </c>
      <c r="F125" s="35">
        <v>1036190</v>
      </c>
      <c r="G125" s="35">
        <v>196050</v>
      </c>
      <c r="H125" s="35">
        <v>203620</v>
      </c>
      <c r="I125" s="35">
        <v>251430</v>
      </c>
      <c r="J125" s="35">
        <v>523650</v>
      </c>
      <c r="K125" s="35">
        <v>409970</v>
      </c>
      <c r="L125" s="35">
        <v>290240</v>
      </c>
      <c r="M125" s="35">
        <v>255790</v>
      </c>
      <c r="N125" s="35">
        <v>481750</v>
      </c>
      <c r="O125" s="35">
        <v>573700</v>
      </c>
      <c r="P125" s="35">
        <v>622340</v>
      </c>
      <c r="Q125" s="35">
        <v>462690</v>
      </c>
      <c r="R125" s="35">
        <v>21010</v>
      </c>
      <c r="S125" s="115">
        <v>5328400</v>
      </c>
      <c r="T125" s="115">
        <v>5612100</v>
      </c>
    </row>
    <row r="126" spans="1:20" s="1" customFormat="1">
      <c r="A126" s="117"/>
      <c r="B126" s="35"/>
      <c r="C126" s="35"/>
      <c r="D126" s="35"/>
      <c r="E126" s="35"/>
      <c r="F126" s="35"/>
      <c r="G126" s="35"/>
      <c r="H126" s="35"/>
      <c r="I126" s="35"/>
      <c r="J126" s="35"/>
      <c r="K126" s="35"/>
      <c r="L126" s="35"/>
      <c r="M126" s="35"/>
      <c r="N126" s="35"/>
      <c r="O126" s="35"/>
      <c r="P126" s="35"/>
      <c r="Q126" s="35"/>
      <c r="R126" s="154"/>
      <c r="S126" s="115"/>
      <c r="T126" s="155"/>
    </row>
    <row r="127" spans="1:20" s="12" customFormat="1">
      <c r="A127" s="118"/>
      <c r="B127" s="156"/>
      <c r="C127" s="156"/>
      <c r="D127" s="156"/>
      <c r="E127" s="156"/>
      <c r="F127" s="156"/>
      <c r="G127" s="156"/>
      <c r="H127" s="156"/>
      <c r="I127" s="156"/>
      <c r="J127" s="156"/>
      <c r="K127" s="156"/>
      <c r="L127" s="156"/>
      <c r="M127" s="156"/>
      <c r="N127" s="156"/>
      <c r="O127" s="156"/>
      <c r="P127" s="156"/>
      <c r="Q127" s="156"/>
      <c r="R127" s="157"/>
      <c r="S127" s="120"/>
      <c r="T127" s="158"/>
    </row>
    <row r="128" spans="1:20" s="1" customFormat="1">
      <c r="A128" s="117"/>
      <c r="B128" s="35"/>
      <c r="C128" s="35"/>
      <c r="D128" s="35"/>
      <c r="E128" s="35"/>
      <c r="F128" s="35"/>
      <c r="G128" s="35"/>
      <c r="H128" s="35"/>
      <c r="I128" s="35"/>
      <c r="J128" s="35"/>
      <c r="K128" s="35"/>
      <c r="L128" s="35"/>
      <c r="M128" s="35"/>
      <c r="N128" s="35"/>
      <c r="O128" s="35"/>
      <c r="P128" s="35"/>
      <c r="Q128" s="35"/>
      <c r="R128" s="154"/>
      <c r="S128" s="115"/>
      <c r="T128" s="155"/>
    </row>
    <row r="129" spans="1:20" s="1" customFormat="1">
      <c r="A129" s="117"/>
      <c r="B129" s="35"/>
      <c r="C129" s="35"/>
      <c r="D129" s="35"/>
      <c r="E129" s="35"/>
      <c r="F129" s="35"/>
      <c r="G129" s="35"/>
      <c r="H129" s="35"/>
      <c r="I129" s="35"/>
      <c r="J129" s="35"/>
      <c r="K129" s="35"/>
      <c r="L129" s="35"/>
      <c r="M129" s="35"/>
      <c r="N129" s="35"/>
      <c r="O129" s="35"/>
      <c r="P129" s="35"/>
      <c r="Q129" s="35"/>
      <c r="R129" s="154"/>
      <c r="S129" s="115"/>
      <c r="T129" s="155"/>
    </row>
    <row r="130" spans="1:20" s="1" customFormat="1">
      <c r="A130" s="117"/>
      <c r="B130" s="35"/>
      <c r="C130" s="35"/>
      <c r="D130" s="35"/>
      <c r="E130" s="35"/>
      <c r="F130" s="35"/>
      <c r="G130" s="35"/>
      <c r="H130" s="35"/>
      <c r="I130" s="35"/>
      <c r="J130" s="35"/>
      <c r="K130" s="35"/>
      <c r="L130" s="35"/>
      <c r="M130" s="35"/>
      <c r="N130" s="35"/>
      <c r="O130" s="35"/>
      <c r="P130" s="35"/>
      <c r="Q130" s="35"/>
      <c r="R130" s="154"/>
      <c r="S130" s="115"/>
      <c r="T130" s="155"/>
    </row>
    <row r="131" spans="1:20" s="1" customFormat="1">
      <c r="A131" s="117"/>
      <c r="B131" s="35"/>
      <c r="C131" s="35"/>
      <c r="D131" s="35"/>
      <c r="E131" s="35"/>
      <c r="F131" s="35"/>
      <c r="G131" s="35"/>
      <c r="H131" s="35"/>
      <c r="I131" s="35"/>
      <c r="J131" s="35"/>
      <c r="K131" s="35"/>
      <c r="L131" s="35"/>
      <c r="M131" s="35"/>
      <c r="N131" s="35"/>
      <c r="O131" s="35"/>
      <c r="P131" s="35"/>
      <c r="Q131" s="35"/>
      <c r="R131" s="154"/>
      <c r="S131" s="115"/>
      <c r="T131" s="155"/>
    </row>
    <row r="132" spans="1:20" s="1" customFormat="1">
      <c r="A132" s="117"/>
      <c r="B132" s="35"/>
      <c r="C132" s="35"/>
      <c r="D132" s="35"/>
      <c r="E132" s="35"/>
      <c r="F132" s="35"/>
      <c r="G132" s="35"/>
      <c r="H132" s="35"/>
      <c r="I132" s="35"/>
      <c r="J132" s="35"/>
      <c r="K132" s="35"/>
      <c r="L132" s="35"/>
      <c r="M132" s="35"/>
      <c r="N132" s="35"/>
      <c r="O132" s="35"/>
      <c r="P132" s="35"/>
      <c r="Q132" s="35"/>
      <c r="R132" s="154"/>
      <c r="S132" s="115"/>
      <c r="T132" s="155"/>
    </row>
    <row r="133" spans="1:20" s="1" customFormat="1">
      <c r="A133" s="117"/>
      <c r="B133" s="35"/>
      <c r="C133" s="35"/>
      <c r="D133" s="35"/>
      <c r="E133" s="35"/>
      <c r="F133" s="35"/>
      <c r="G133" s="35"/>
      <c r="H133" s="35"/>
      <c r="I133" s="35"/>
      <c r="J133" s="35"/>
      <c r="K133" s="35"/>
      <c r="L133" s="35"/>
      <c r="M133" s="35"/>
      <c r="N133" s="35"/>
      <c r="O133" s="35"/>
      <c r="P133" s="35"/>
      <c r="Q133" s="35"/>
      <c r="R133" s="154"/>
      <c r="S133" s="115"/>
      <c r="T133" s="155"/>
    </row>
    <row r="134" spans="1:20" s="1" customFormat="1">
      <c r="A134" s="117"/>
      <c r="B134" s="35"/>
      <c r="C134" s="35"/>
      <c r="D134" s="35"/>
      <c r="E134" s="35"/>
      <c r="F134" s="35"/>
      <c r="G134" s="35"/>
      <c r="H134" s="35"/>
      <c r="I134" s="35"/>
      <c r="J134" s="35"/>
      <c r="K134" s="35"/>
      <c r="L134" s="35"/>
      <c r="M134" s="35"/>
      <c r="N134" s="35"/>
      <c r="O134" s="35"/>
      <c r="P134" s="35"/>
      <c r="Q134" s="35"/>
      <c r="R134" s="154"/>
      <c r="S134" s="115"/>
      <c r="T134" s="155"/>
    </row>
    <row r="135" spans="1:20" s="1" customFormat="1">
      <c r="A135" s="117"/>
      <c r="B135" s="35"/>
      <c r="C135" s="35"/>
      <c r="D135" s="35"/>
      <c r="E135" s="35"/>
      <c r="F135" s="35"/>
      <c r="G135" s="35"/>
      <c r="H135" s="35"/>
      <c r="I135" s="35"/>
      <c r="J135" s="35"/>
      <c r="K135" s="35"/>
      <c r="L135" s="35"/>
      <c r="M135" s="35"/>
      <c r="N135" s="35"/>
      <c r="O135" s="35"/>
      <c r="P135" s="35"/>
      <c r="Q135" s="35"/>
      <c r="R135" s="154"/>
      <c r="S135" s="115"/>
      <c r="T135" s="155"/>
    </row>
    <row r="136" spans="1:20" s="1" customFormat="1">
      <c r="A136" s="117"/>
      <c r="B136" s="35"/>
      <c r="C136" s="35"/>
      <c r="D136" s="35"/>
      <c r="E136" s="35"/>
      <c r="F136" s="35"/>
      <c r="G136" s="35"/>
      <c r="H136" s="35"/>
      <c r="I136" s="35"/>
      <c r="J136" s="35"/>
      <c r="K136" s="35"/>
      <c r="L136" s="35"/>
      <c r="M136" s="35"/>
      <c r="N136" s="35"/>
      <c r="O136" s="35"/>
      <c r="P136" s="35"/>
      <c r="Q136" s="35"/>
      <c r="R136" s="154"/>
      <c r="S136" s="115"/>
      <c r="T136" s="155"/>
    </row>
    <row r="137" spans="1:20" s="1" customFormat="1">
      <c r="A137" s="117"/>
      <c r="B137" s="35"/>
      <c r="C137" s="35"/>
      <c r="D137" s="35"/>
      <c r="E137" s="35"/>
      <c r="F137" s="35"/>
      <c r="G137" s="35"/>
      <c r="H137" s="35"/>
      <c r="I137" s="35"/>
      <c r="J137" s="35"/>
      <c r="K137" s="35"/>
      <c r="L137" s="35"/>
      <c r="M137" s="35"/>
      <c r="N137" s="35"/>
      <c r="O137" s="35"/>
      <c r="P137" s="35"/>
      <c r="Q137" s="35"/>
      <c r="R137" s="154"/>
      <c r="S137" s="115"/>
      <c r="T137" s="155"/>
    </row>
    <row r="138" spans="1:20" s="1" customFormat="1">
      <c r="A138" s="117"/>
      <c r="B138" s="35"/>
      <c r="C138" s="35"/>
      <c r="D138" s="35"/>
      <c r="E138" s="35"/>
      <c r="F138" s="35"/>
      <c r="G138" s="35"/>
      <c r="H138" s="35"/>
      <c r="I138" s="35"/>
      <c r="J138" s="35"/>
      <c r="K138" s="35"/>
      <c r="L138" s="35"/>
      <c r="M138" s="35"/>
      <c r="N138" s="35"/>
      <c r="O138" s="35"/>
      <c r="P138" s="35"/>
      <c r="Q138" s="35"/>
      <c r="R138" s="154"/>
      <c r="S138" s="115"/>
      <c r="T138" s="155"/>
    </row>
    <row r="139" spans="1:20" s="12" customFormat="1">
      <c r="A139" s="118"/>
      <c r="B139" s="156"/>
      <c r="C139" s="156"/>
      <c r="D139" s="156"/>
      <c r="E139" s="156"/>
      <c r="F139" s="156"/>
      <c r="G139" s="156"/>
      <c r="H139" s="156"/>
      <c r="I139" s="156"/>
      <c r="J139" s="156"/>
      <c r="K139" s="156"/>
      <c r="L139" s="156"/>
      <c r="M139" s="156"/>
      <c r="N139" s="156"/>
      <c r="O139" s="156"/>
      <c r="P139" s="156"/>
      <c r="Q139" s="156"/>
      <c r="R139" s="157"/>
      <c r="S139" s="120"/>
      <c r="T139" s="158"/>
    </row>
    <row r="140" spans="1:20" s="1" customFormat="1">
      <c r="A140" s="117"/>
      <c r="B140" s="35"/>
      <c r="C140" s="35"/>
      <c r="D140" s="35"/>
      <c r="E140" s="35"/>
      <c r="F140" s="35"/>
      <c r="G140" s="35"/>
      <c r="H140" s="35"/>
      <c r="I140" s="35"/>
      <c r="J140" s="35"/>
      <c r="K140" s="35"/>
      <c r="L140" s="35"/>
      <c r="M140" s="35"/>
      <c r="N140" s="35"/>
      <c r="O140" s="35"/>
      <c r="P140" s="35"/>
      <c r="Q140" s="35"/>
      <c r="R140" s="154"/>
      <c r="S140" s="115"/>
      <c r="T140" s="155"/>
    </row>
    <row r="141" spans="1:20" s="1" customFormat="1">
      <c r="A141" s="117"/>
      <c r="B141" s="35"/>
      <c r="C141" s="35"/>
      <c r="D141" s="35"/>
      <c r="E141" s="35"/>
      <c r="F141" s="35"/>
      <c r="G141" s="35"/>
      <c r="H141" s="35"/>
      <c r="I141" s="35"/>
      <c r="J141" s="35"/>
      <c r="K141" s="35"/>
      <c r="L141" s="35"/>
      <c r="M141" s="35"/>
      <c r="N141" s="35"/>
      <c r="O141" s="35"/>
      <c r="P141" s="35"/>
      <c r="Q141" s="35"/>
      <c r="R141" s="154"/>
      <c r="S141" s="115"/>
      <c r="T141" s="155"/>
    </row>
    <row r="142" spans="1:20" s="1" customFormat="1">
      <c r="A142" s="117"/>
      <c r="B142" s="35"/>
      <c r="C142" s="35"/>
      <c r="D142" s="35"/>
      <c r="E142" s="35"/>
      <c r="F142" s="35"/>
      <c r="G142" s="35"/>
      <c r="H142" s="35"/>
      <c r="I142" s="35"/>
      <c r="J142" s="35"/>
      <c r="K142" s="35"/>
      <c r="L142" s="35"/>
      <c r="M142" s="35"/>
      <c r="N142" s="35"/>
      <c r="O142" s="35"/>
      <c r="P142" s="35"/>
      <c r="Q142" s="35"/>
      <c r="R142" s="154"/>
      <c r="S142" s="115"/>
      <c r="T142" s="155"/>
    </row>
    <row r="143" spans="1:20" s="1" customFormat="1">
      <c r="A143" s="117"/>
      <c r="B143" s="35"/>
      <c r="C143" s="35"/>
      <c r="D143" s="35"/>
      <c r="E143" s="35"/>
      <c r="F143" s="35"/>
      <c r="G143" s="35"/>
      <c r="H143" s="35"/>
      <c r="I143" s="35"/>
      <c r="J143" s="35"/>
      <c r="K143" s="35"/>
      <c r="L143" s="35"/>
      <c r="M143" s="35"/>
      <c r="N143" s="35"/>
      <c r="O143" s="35"/>
      <c r="P143" s="35"/>
      <c r="Q143" s="35"/>
      <c r="R143" s="154"/>
      <c r="S143" s="115"/>
      <c r="T143" s="155"/>
    </row>
    <row r="144" spans="1:20" s="1" customFormat="1">
      <c r="A144" s="117"/>
      <c r="B144" s="35"/>
      <c r="C144" s="35"/>
      <c r="D144" s="35"/>
      <c r="E144" s="35"/>
      <c r="F144" s="35"/>
      <c r="G144" s="35"/>
      <c r="H144" s="35"/>
      <c r="I144" s="35"/>
      <c r="J144" s="35"/>
      <c r="K144" s="35"/>
      <c r="L144" s="35"/>
      <c r="M144" s="35"/>
      <c r="N144" s="35"/>
      <c r="O144" s="35"/>
      <c r="P144" s="35"/>
      <c r="Q144" s="35"/>
      <c r="R144" s="154"/>
      <c r="S144" s="115"/>
      <c r="T144" s="155"/>
    </row>
    <row r="145" spans="1:20" s="1" customFormat="1">
      <c r="A145" s="117"/>
      <c r="B145" s="35"/>
      <c r="C145" s="35"/>
      <c r="D145" s="35"/>
      <c r="E145" s="35"/>
      <c r="F145" s="35"/>
      <c r="G145" s="35"/>
      <c r="H145" s="35"/>
      <c r="I145" s="35"/>
      <c r="J145" s="35"/>
      <c r="K145" s="35"/>
      <c r="L145" s="35"/>
      <c r="M145" s="35"/>
      <c r="N145" s="35"/>
      <c r="O145" s="35"/>
      <c r="P145" s="35"/>
      <c r="Q145" s="35"/>
      <c r="R145" s="154"/>
      <c r="S145" s="115"/>
      <c r="T145" s="155"/>
    </row>
    <row r="146" spans="1:20" s="1" customFormat="1">
      <c r="A146" s="117"/>
      <c r="B146" s="35"/>
      <c r="C146" s="35"/>
      <c r="D146" s="35"/>
      <c r="E146" s="35"/>
      <c r="F146" s="35"/>
      <c r="G146" s="35"/>
      <c r="H146" s="35"/>
      <c r="I146" s="35"/>
      <c r="J146" s="35"/>
      <c r="K146" s="35"/>
      <c r="L146" s="35"/>
      <c r="M146" s="35"/>
      <c r="N146" s="35"/>
      <c r="O146" s="35"/>
      <c r="P146" s="35"/>
      <c r="Q146" s="35"/>
      <c r="R146" s="154"/>
      <c r="S146" s="115"/>
      <c r="T146" s="155"/>
    </row>
    <row r="147" spans="1:20" s="1" customFormat="1">
      <c r="A147" s="117"/>
      <c r="B147" s="35"/>
      <c r="C147" s="35"/>
      <c r="D147" s="35"/>
      <c r="E147" s="35"/>
      <c r="F147" s="35"/>
      <c r="G147" s="35"/>
      <c r="H147" s="35"/>
      <c r="I147" s="35"/>
      <c r="J147" s="35"/>
      <c r="K147" s="35"/>
      <c r="L147" s="35"/>
      <c r="M147" s="35"/>
      <c r="N147" s="35"/>
      <c r="O147" s="35"/>
      <c r="P147" s="35"/>
      <c r="Q147" s="35"/>
      <c r="R147" s="154"/>
      <c r="S147" s="115"/>
      <c r="T147" s="155"/>
    </row>
    <row r="148" spans="1:20" s="1" customFormat="1">
      <c r="A148" s="117"/>
      <c r="B148" s="35"/>
      <c r="C148" s="35"/>
      <c r="D148" s="35"/>
      <c r="E148" s="35"/>
      <c r="F148" s="35"/>
      <c r="G148" s="35"/>
      <c r="H148" s="35"/>
      <c r="I148" s="35"/>
      <c r="J148" s="35"/>
      <c r="K148" s="35"/>
      <c r="L148" s="35"/>
      <c r="M148" s="35"/>
      <c r="N148" s="35"/>
      <c r="O148" s="35"/>
      <c r="P148" s="35"/>
      <c r="Q148" s="35"/>
      <c r="R148" s="154"/>
      <c r="S148" s="115"/>
      <c r="T148" s="155"/>
    </row>
    <row r="149" spans="1:20" s="1" customFormat="1">
      <c r="A149" s="117"/>
      <c r="B149" s="35"/>
      <c r="C149" s="35"/>
      <c r="D149" s="35"/>
      <c r="E149" s="35"/>
      <c r="F149" s="35"/>
      <c r="G149" s="35"/>
      <c r="H149" s="35"/>
      <c r="I149" s="35"/>
      <c r="J149" s="35"/>
      <c r="K149" s="35"/>
      <c r="L149" s="35"/>
      <c r="M149" s="35"/>
      <c r="N149" s="35"/>
      <c r="O149" s="35"/>
      <c r="P149" s="35"/>
      <c r="Q149" s="35"/>
      <c r="R149" s="154"/>
      <c r="S149" s="115"/>
      <c r="T149" s="155"/>
    </row>
    <row r="150" spans="1:20" s="1" customFormat="1">
      <c r="A150" s="117"/>
      <c r="B150" s="35"/>
      <c r="C150" s="35"/>
      <c r="D150" s="35"/>
      <c r="E150" s="35"/>
      <c r="F150" s="35"/>
      <c r="G150" s="35"/>
      <c r="H150" s="35"/>
      <c r="I150" s="35"/>
      <c r="J150" s="35"/>
      <c r="K150" s="35"/>
      <c r="L150" s="35"/>
      <c r="M150" s="35"/>
      <c r="N150" s="35"/>
      <c r="O150" s="35"/>
      <c r="P150" s="35"/>
      <c r="Q150" s="35"/>
      <c r="R150" s="154"/>
      <c r="S150" s="115"/>
      <c r="T150" s="155"/>
    </row>
    <row r="151" spans="1:20" s="12" customFormat="1">
      <c r="A151" s="118"/>
      <c r="B151" s="156"/>
      <c r="C151" s="156"/>
      <c r="D151" s="156"/>
      <c r="E151" s="156"/>
      <c r="F151" s="156"/>
      <c r="G151" s="156"/>
      <c r="H151" s="156"/>
      <c r="I151" s="156"/>
      <c r="J151" s="156"/>
      <c r="K151" s="156"/>
      <c r="L151" s="156"/>
      <c r="M151" s="156"/>
      <c r="N151" s="156"/>
      <c r="O151" s="156"/>
      <c r="P151" s="156"/>
      <c r="Q151" s="156"/>
      <c r="R151" s="157"/>
      <c r="S151" s="120"/>
      <c r="T151" s="158"/>
    </row>
    <row r="152" spans="1:20" s="1" customFormat="1">
      <c r="A152" s="117"/>
      <c r="B152" s="35"/>
      <c r="C152" s="35"/>
      <c r="D152" s="35"/>
      <c r="E152" s="35"/>
      <c r="F152" s="35"/>
      <c r="G152" s="35"/>
      <c r="H152" s="35"/>
      <c r="I152" s="35"/>
      <c r="J152" s="35"/>
      <c r="K152" s="35"/>
      <c r="L152" s="35"/>
      <c r="M152" s="35"/>
      <c r="N152" s="35"/>
      <c r="O152" s="35"/>
      <c r="P152" s="35"/>
      <c r="Q152" s="35"/>
      <c r="R152" s="154"/>
      <c r="S152" s="115"/>
      <c r="T152" s="155"/>
    </row>
    <row r="153" spans="1:20" s="1" customFormat="1">
      <c r="A153" s="117"/>
      <c r="B153" s="35"/>
      <c r="C153" s="35"/>
      <c r="D153" s="35"/>
      <c r="E153" s="35"/>
      <c r="F153" s="35"/>
      <c r="G153" s="35"/>
      <c r="H153" s="35"/>
      <c r="I153" s="35"/>
      <c r="J153" s="35"/>
      <c r="K153" s="35"/>
      <c r="L153" s="35"/>
      <c r="M153" s="35"/>
      <c r="N153" s="35"/>
      <c r="O153" s="35"/>
      <c r="P153" s="35"/>
      <c r="Q153" s="35"/>
      <c r="R153" s="154"/>
      <c r="S153" s="115"/>
      <c r="T153" s="155"/>
    </row>
    <row r="154" spans="1:20" s="1" customFormat="1">
      <c r="A154" s="117"/>
      <c r="B154" s="35"/>
      <c r="C154" s="35"/>
      <c r="D154" s="35"/>
      <c r="E154" s="35"/>
      <c r="F154" s="35"/>
      <c r="G154" s="35"/>
      <c r="H154" s="35"/>
      <c r="I154" s="35"/>
      <c r="J154" s="35"/>
      <c r="K154" s="35"/>
      <c r="L154" s="35"/>
      <c r="M154" s="35"/>
      <c r="N154" s="35"/>
      <c r="O154" s="35"/>
      <c r="P154" s="35"/>
      <c r="Q154" s="35"/>
      <c r="R154" s="154"/>
      <c r="S154" s="115"/>
      <c r="T154" s="155"/>
    </row>
    <row r="155" spans="1:20" s="1" customFormat="1">
      <c r="A155" s="117"/>
      <c r="B155" s="35"/>
      <c r="C155" s="35"/>
      <c r="D155" s="35"/>
      <c r="E155" s="35"/>
      <c r="F155" s="35"/>
      <c r="G155" s="35"/>
      <c r="H155" s="35"/>
      <c r="I155" s="35"/>
      <c r="J155" s="35"/>
      <c r="K155" s="35"/>
      <c r="L155" s="35"/>
      <c r="M155" s="35"/>
      <c r="N155" s="35"/>
      <c r="O155" s="35"/>
      <c r="P155" s="35"/>
      <c r="Q155" s="35"/>
      <c r="R155" s="154"/>
      <c r="S155" s="115"/>
      <c r="T155" s="155"/>
    </row>
    <row r="156" spans="1:20" s="1" customFormat="1">
      <c r="A156" s="117"/>
      <c r="B156" s="35"/>
      <c r="C156" s="35"/>
      <c r="D156" s="35"/>
      <c r="E156" s="35"/>
      <c r="F156" s="35"/>
      <c r="G156" s="35"/>
      <c r="H156" s="35"/>
      <c r="I156" s="35"/>
      <c r="J156" s="35"/>
      <c r="K156" s="35"/>
      <c r="L156" s="35"/>
      <c r="M156" s="35"/>
      <c r="N156" s="35"/>
      <c r="O156" s="35"/>
      <c r="P156" s="35"/>
      <c r="Q156" s="35"/>
      <c r="R156" s="154"/>
      <c r="S156" s="115"/>
      <c r="T156" s="155"/>
    </row>
    <row r="157" spans="1:20" s="1" customFormat="1">
      <c r="A157" s="117"/>
      <c r="B157" s="35"/>
      <c r="C157" s="35"/>
      <c r="D157" s="35"/>
      <c r="E157" s="35"/>
      <c r="F157" s="35"/>
      <c r="G157" s="35"/>
      <c r="H157" s="35"/>
      <c r="I157" s="35"/>
      <c r="J157" s="35"/>
      <c r="K157" s="35"/>
      <c r="L157" s="35"/>
      <c r="M157" s="35"/>
      <c r="N157" s="35"/>
      <c r="O157" s="35"/>
      <c r="P157" s="35"/>
      <c r="Q157" s="35"/>
      <c r="R157" s="154"/>
      <c r="S157" s="115"/>
      <c r="T157" s="155"/>
    </row>
    <row r="158" spans="1:20" s="1" customFormat="1">
      <c r="A158" s="117"/>
      <c r="B158" s="35"/>
      <c r="C158" s="35"/>
      <c r="D158" s="35"/>
      <c r="E158" s="35"/>
      <c r="F158" s="35"/>
      <c r="G158" s="35"/>
      <c r="H158" s="35"/>
      <c r="I158" s="35"/>
      <c r="J158" s="35"/>
      <c r="K158" s="35"/>
      <c r="L158" s="35"/>
      <c r="M158" s="35"/>
      <c r="N158" s="35"/>
      <c r="O158" s="35"/>
      <c r="P158" s="35"/>
      <c r="Q158" s="35"/>
      <c r="R158" s="154"/>
      <c r="S158" s="115"/>
      <c r="T158" s="155"/>
    </row>
    <row r="159" spans="1:20" s="1" customFormat="1">
      <c r="A159" s="117"/>
      <c r="B159" s="35"/>
      <c r="C159" s="35"/>
      <c r="D159" s="35"/>
      <c r="E159" s="35"/>
      <c r="F159" s="35"/>
      <c r="G159" s="35"/>
      <c r="H159" s="35"/>
      <c r="I159" s="35"/>
      <c r="J159" s="35"/>
      <c r="K159" s="35"/>
      <c r="L159" s="35"/>
      <c r="M159" s="35"/>
      <c r="N159" s="35"/>
      <c r="O159" s="35"/>
      <c r="P159" s="35"/>
      <c r="Q159" s="35"/>
      <c r="R159" s="154"/>
      <c r="S159" s="115"/>
      <c r="T159" s="155"/>
    </row>
    <row r="160" spans="1:20" s="1" customFormat="1">
      <c r="A160" s="117"/>
      <c r="B160" s="35"/>
      <c r="C160" s="35"/>
      <c r="D160" s="35"/>
      <c r="E160" s="35"/>
      <c r="F160" s="35"/>
      <c r="G160" s="35"/>
      <c r="H160" s="35"/>
      <c r="I160" s="35"/>
      <c r="J160" s="35"/>
      <c r="K160" s="35"/>
      <c r="L160" s="35"/>
      <c r="M160" s="35"/>
      <c r="N160" s="35"/>
      <c r="O160" s="35"/>
      <c r="P160" s="35"/>
      <c r="Q160" s="35"/>
      <c r="R160" s="154"/>
      <c r="S160" s="115"/>
      <c r="T160" s="155"/>
    </row>
    <row r="161" spans="1:20" s="1" customFormat="1">
      <c r="A161" s="117"/>
      <c r="B161" s="35"/>
      <c r="C161" s="35"/>
      <c r="D161" s="35"/>
      <c r="E161" s="35"/>
      <c r="F161" s="35"/>
      <c r="G161" s="35"/>
      <c r="H161" s="35"/>
      <c r="I161" s="35"/>
      <c r="J161" s="35"/>
      <c r="K161" s="35"/>
      <c r="L161" s="35"/>
      <c r="M161" s="35"/>
      <c r="N161" s="35"/>
      <c r="O161" s="35"/>
      <c r="P161" s="35"/>
      <c r="Q161" s="35"/>
      <c r="R161" s="154"/>
      <c r="S161" s="115"/>
      <c r="T161" s="155"/>
    </row>
    <row r="162" spans="1:20" s="1" customFormat="1">
      <c r="A162" s="117"/>
      <c r="B162" s="35"/>
      <c r="C162" s="35"/>
      <c r="D162" s="35"/>
      <c r="E162" s="35"/>
      <c r="F162" s="35"/>
      <c r="G162" s="35"/>
      <c r="H162" s="35"/>
      <c r="I162" s="35"/>
      <c r="J162" s="35"/>
      <c r="K162" s="35"/>
      <c r="L162" s="35"/>
      <c r="M162" s="35"/>
      <c r="N162" s="35"/>
      <c r="O162" s="35"/>
      <c r="P162" s="35"/>
      <c r="Q162" s="35"/>
      <c r="R162" s="154"/>
      <c r="S162" s="115"/>
      <c r="T162" s="155"/>
    </row>
    <row r="163" spans="1:20" s="12" customFormat="1">
      <c r="A163" s="118"/>
      <c r="B163" s="156"/>
      <c r="C163" s="156"/>
      <c r="D163" s="156"/>
      <c r="E163" s="156"/>
      <c r="F163" s="156"/>
      <c r="G163" s="156"/>
      <c r="H163" s="156"/>
      <c r="I163" s="156"/>
      <c r="J163" s="156"/>
      <c r="K163" s="156"/>
      <c r="L163" s="156"/>
      <c r="M163" s="156"/>
      <c r="N163" s="156"/>
      <c r="O163" s="156"/>
      <c r="P163" s="156"/>
      <c r="Q163" s="156"/>
      <c r="R163" s="157"/>
      <c r="S163" s="120"/>
      <c r="T163" s="158"/>
    </row>
    <row r="164" spans="1:20" s="1" customFormat="1">
      <c r="A164" s="117"/>
      <c r="B164" s="35"/>
      <c r="C164" s="35"/>
      <c r="D164" s="35"/>
      <c r="E164" s="35"/>
      <c r="F164" s="35"/>
      <c r="G164" s="35"/>
      <c r="H164" s="35"/>
      <c r="I164" s="35"/>
      <c r="J164" s="35"/>
      <c r="K164" s="35"/>
      <c r="L164" s="35"/>
      <c r="M164" s="35"/>
      <c r="N164" s="35"/>
      <c r="O164" s="35"/>
      <c r="P164" s="35"/>
      <c r="Q164" s="35"/>
      <c r="R164" s="154"/>
      <c r="S164" s="115"/>
      <c r="T164" s="155"/>
    </row>
    <row r="165" spans="1:20" s="1" customFormat="1">
      <c r="A165" s="117"/>
      <c r="B165" s="35"/>
      <c r="C165" s="35"/>
      <c r="D165" s="35"/>
      <c r="E165" s="35"/>
      <c r="F165" s="35"/>
      <c r="G165" s="35"/>
      <c r="H165" s="35"/>
      <c r="I165" s="35"/>
      <c r="J165" s="35"/>
      <c r="K165" s="35"/>
      <c r="L165" s="35"/>
      <c r="M165" s="35"/>
      <c r="N165" s="35"/>
      <c r="O165" s="35"/>
      <c r="P165" s="35"/>
      <c r="Q165" s="35"/>
      <c r="R165" s="154"/>
      <c r="S165" s="115"/>
      <c r="T165" s="155"/>
    </row>
    <row r="166" spans="1:20" s="1" customFormat="1">
      <c r="A166" s="117"/>
      <c r="B166" s="35"/>
      <c r="C166" s="35"/>
      <c r="D166" s="35"/>
      <c r="E166" s="35"/>
      <c r="F166" s="35"/>
      <c r="G166" s="35"/>
      <c r="H166" s="35"/>
      <c r="I166" s="35"/>
      <c r="J166" s="35"/>
      <c r="K166" s="35"/>
      <c r="L166" s="35"/>
      <c r="M166" s="35"/>
      <c r="N166" s="35"/>
      <c r="O166" s="35"/>
      <c r="P166" s="35"/>
      <c r="Q166" s="35"/>
      <c r="R166" s="154"/>
      <c r="S166" s="115"/>
      <c r="T166" s="155"/>
    </row>
    <row r="167" spans="1:20" s="1" customFormat="1">
      <c r="A167" s="117"/>
      <c r="B167" s="35"/>
      <c r="C167" s="35"/>
      <c r="D167" s="35"/>
      <c r="E167" s="35"/>
      <c r="F167" s="35"/>
      <c r="G167" s="35"/>
      <c r="H167" s="35"/>
      <c r="I167" s="35"/>
      <c r="J167" s="35"/>
      <c r="K167" s="35"/>
      <c r="L167" s="35"/>
      <c r="M167" s="35"/>
      <c r="N167" s="35"/>
      <c r="O167" s="35"/>
      <c r="P167" s="35"/>
      <c r="Q167" s="35"/>
      <c r="R167" s="154"/>
      <c r="S167" s="115"/>
      <c r="T167" s="155"/>
    </row>
    <row r="168" spans="1:20" s="1" customFormat="1">
      <c r="A168" s="117"/>
      <c r="B168" s="35"/>
      <c r="C168" s="35"/>
      <c r="D168" s="35"/>
      <c r="E168" s="35"/>
      <c r="F168" s="35"/>
      <c r="G168" s="35"/>
      <c r="H168" s="35"/>
      <c r="I168" s="35"/>
      <c r="J168" s="35"/>
      <c r="K168" s="35"/>
      <c r="L168" s="35"/>
      <c r="M168" s="35"/>
      <c r="N168" s="35"/>
      <c r="O168" s="35"/>
      <c r="P168" s="35"/>
      <c r="Q168" s="35"/>
      <c r="R168" s="154"/>
      <c r="S168" s="115"/>
      <c r="T168" s="155"/>
    </row>
    <row r="169" spans="1:20" s="1" customFormat="1">
      <c r="A169" s="117"/>
      <c r="B169" s="35"/>
      <c r="C169" s="35"/>
      <c r="D169" s="35"/>
      <c r="E169" s="35"/>
      <c r="F169" s="35"/>
      <c r="G169" s="35"/>
      <c r="H169" s="35"/>
      <c r="I169" s="35"/>
      <c r="J169" s="35"/>
      <c r="K169" s="35"/>
      <c r="L169" s="35"/>
      <c r="M169" s="35"/>
      <c r="N169" s="35"/>
      <c r="O169" s="35"/>
      <c r="P169" s="35"/>
      <c r="Q169" s="35"/>
      <c r="R169" s="154"/>
      <c r="S169" s="115"/>
      <c r="T169" s="155"/>
    </row>
    <row r="170" spans="1:20" s="1" customFormat="1">
      <c r="A170" s="117"/>
      <c r="B170" s="35"/>
      <c r="C170" s="35"/>
      <c r="D170" s="35"/>
      <c r="E170" s="35"/>
      <c r="F170" s="35"/>
      <c r="G170" s="35"/>
      <c r="H170" s="35"/>
      <c r="I170" s="35"/>
      <c r="J170" s="35"/>
      <c r="K170" s="35"/>
      <c r="L170" s="35"/>
      <c r="M170" s="35"/>
      <c r="N170" s="35"/>
      <c r="O170" s="35"/>
      <c r="P170" s="35"/>
      <c r="Q170" s="35"/>
      <c r="R170" s="154"/>
      <c r="S170" s="115"/>
      <c r="T170" s="155"/>
    </row>
    <row r="171" spans="1:20" s="1" customFormat="1">
      <c r="A171" s="117"/>
      <c r="B171" s="35"/>
      <c r="C171" s="35"/>
      <c r="D171" s="35"/>
      <c r="E171" s="35"/>
      <c r="F171" s="35"/>
      <c r="G171" s="35"/>
      <c r="H171" s="35"/>
      <c r="I171" s="35"/>
      <c r="J171" s="35"/>
      <c r="K171" s="35"/>
      <c r="L171" s="35"/>
      <c r="M171" s="35"/>
      <c r="N171" s="35"/>
      <c r="O171" s="35"/>
      <c r="P171" s="35"/>
      <c r="Q171" s="35"/>
      <c r="R171" s="154"/>
      <c r="S171" s="115"/>
      <c r="T171" s="155"/>
    </row>
    <row r="172" spans="1:20" s="1" customFormat="1">
      <c r="A172" s="117"/>
      <c r="B172" s="35"/>
      <c r="C172" s="35"/>
      <c r="D172" s="35"/>
      <c r="E172" s="35"/>
      <c r="F172" s="35"/>
      <c r="G172" s="35"/>
      <c r="H172" s="35"/>
      <c r="I172" s="35"/>
      <c r="J172" s="35"/>
      <c r="K172" s="35"/>
      <c r="L172" s="35"/>
      <c r="M172" s="35"/>
      <c r="N172" s="35"/>
      <c r="O172" s="35"/>
      <c r="P172" s="35"/>
      <c r="Q172" s="35"/>
      <c r="R172" s="154"/>
      <c r="S172" s="115"/>
      <c r="T172" s="155"/>
    </row>
    <row r="173" spans="1:20" s="1" customFormat="1">
      <c r="A173" s="117"/>
      <c r="B173" s="35"/>
      <c r="C173" s="35"/>
      <c r="D173" s="35"/>
      <c r="E173" s="35"/>
      <c r="F173" s="35"/>
      <c r="G173" s="35"/>
      <c r="H173" s="35"/>
      <c r="I173" s="35"/>
      <c r="J173" s="35"/>
      <c r="K173" s="35"/>
      <c r="L173" s="35"/>
      <c r="M173" s="35"/>
      <c r="N173" s="35"/>
      <c r="O173" s="35"/>
      <c r="P173" s="35"/>
      <c r="Q173" s="35"/>
      <c r="R173" s="154"/>
      <c r="S173" s="115"/>
      <c r="T173" s="155"/>
    </row>
    <row r="174" spans="1:20" s="1" customFormat="1">
      <c r="A174" s="117"/>
      <c r="B174" s="35"/>
      <c r="C174" s="35"/>
      <c r="D174" s="35"/>
      <c r="E174" s="35"/>
      <c r="F174" s="35"/>
      <c r="G174" s="35"/>
      <c r="H174" s="35"/>
      <c r="I174" s="35"/>
      <c r="J174" s="35"/>
      <c r="K174" s="35"/>
      <c r="L174" s="35"/>
      <c r="M174" s="35"/>
      <c r="N174" s="35"/>
      <c r="O174" s="35"/>
      <c r="P174" s="35"/>
      <c r="Q174" s="35"/>
      <c r="R174" s="154"/>
      <c r="S174" s="115"/>
      <c r="T174" s="155"/>
    </row>
    <row r="175" spans="1:20" s="12" customFormat="1">
      <c r="A175" s="118"/>
      <c r="B175" s="156"/>
      <c r="C175" s="156"/>
      <c r="D175" s="156"/>
      <c r="E175" s="156"/>
      <c r="F175" s="156"/>
      <c r="G175" s="156"/>
      <c r="H175" s="156"/>
      <c r="I175" s="156"/>
      <c r="J175" s="156"/>
      <c r="K175" s="156"/>
      <c r="L175" s="156"/>
      <c r="M175" s="156"/>
      <c r="N175" s="156"/>
      <c r="O175" s="156"/>
      <c r="P175" s="156"/>
      <c r="Q175" s="156"/>
      <c r="R175" s="157"/>
      <c r="S175" s="120"/>
      <c r="T175" s="158"/>
    </row>
    <row r="176" spans="1:20" s="1" customFormat="1">
      <c r="A176" s="117"/>
      <c r="B176" s="35"/>
      <c r="C176" s="35"/>
      <c r="D176" s="35"/>
      <c r="E176" s="35"/>
      <c r="F176" s="35"/>
      <c r="G176" s="35"/>
      <c r="H176" s="35"/>
      <c r="I176" s="35"/>
      <c r="J176" s="35"/>
      <c r="K176" s="35"/>
      <c r="L176" s="35"/>
      <c r="M176" s="35"/>
      <c r="N176" s="35"/>
      <c r="O176" s="35"/>
      <c r="P176" s="35"/>
      <c r="Q176" s="35"/>
      <c r="R176" s="154"/>
      <c r="S176" s="115"/>
      <c r="T176" s="155"/>
    </row>
    <row r="177" spans="1:20" s="1" customFormat="1">
      <c r="A177" s="117"/>
      <c r="B177" s="35"/>
      <c r="C177" s="35"/>
      <c r="D177" s="35"/>
      <c r="E177" s="35"/>
      <c r="F177" s="35"/>
      <c r="G177" s="35"/>
      <c r="H177" s="35"/>
      <c r="I177" s="35"/>
      <c r="J177" s="35"/>
      <c r="K177" s="35"/>
      <c r="L177" s="35"/>
      <c r="M177" s="35"/>
      <c r="N177" s="35"/>
      <c r="O177" s="35"/>
      <c r="P177" s="35"/>
      <c r="Q177" s="35"/>
      <c r="R177" s="154"/>
      <c r="S177" s="115"/>
      <c r="T177" s="155"/>
    </row>
    <row r="178" spans="1:20" s="1" customFormat="1">
      <c r="A178" s="117"/>
      <c r="B178" s="35"/>
      <c r="C178" s="35"/>
      <c r="D178" s="35"/>
      <c r="E178" s="35"/>
      <c r="F178" s="35"/>
      <c r="G178" s="35"/>
      <c r="H178" s="35"/>
      <c r="I178" s="35"/>
      <c r="J178" s="35"/>
      <c r="K178" s="35"/>
      <c r="L178" s="35"/>
      <c r="M178" s="35"/>
      <c r="N178" s="35"/>
      <c r="O178" s="35"/>
      <c r="P178" s="35"/>
      <c r="Q178" s="35"/>
      <c r="R178" s="154"/>
      <c r="S178" s="115"/>
      <c r="T178" s="155"/>
    </row>
    <row r="179" spans="1:20" s="1" customFormat="1">
      <c r="A179" s="117"/>
      <c r="B179" s="35"/>
      <c r="C179" s="35"/>
      <c r="D179" s="35"/>
      <c r="E179" s="35"/>
      <c r="F179" s="35"/>
      <c r="G179" s="35"/>
      <c r="H179" s="35"/>
      <c r="I179" s="35"/>
      <c r="J179" s="35"/>
      <c r="K179" s="35"/>
      <c r="L179" s="35"/>
      <c r="M179" s="35"/>
      <c r="N179" s="35"/>
      <c r="O179" s="35"/>
      <c r="P179" s="35"/>
      <c r="Q179" s="35"/>
      <c r="R179" s="154"/>
      <c r="S179" s="115"/>
      <c r="T179" s="155"/>
    </row>
    <row r="180" spans="1:20" s="1" customFormat="1">
      <c r="A180" s="27"/>
      <c r="B180" s="35"/>
      <c r="C180" s="35"/>
      <c r="D180" s="35"/>
      <c r="E180" s="35"/>
      <c r="F180" s="35"/>
      <c r="G180" s="35"/>
      <c r="H180" s="35"/>
      <c r="I180" s="35"/>
      <c r="J180" s="35"/>
      <c r="K180" s="35"/>
      <c r="L180" s="35"/>
      <c r="M180" s="35"/>
      <c r="N180" s="35"/>
      <c r="O180" s="35"/>
      <c r="P180" s="35"/>
      <c r="Q180" s="35"/>
      <c r="R180" s="154"/>
      <c r="S180" s="115"/>
      <c r="T180" s="155"/>
    </row>
    <row r="181" spans="1:20" s="1" customFormat="1">
      <c r="A181" s="27"/>
      <c r="B181" s="35"/>
      <c r="C181" s="35"/>
      <c r="D181" s="35"/>
      <c r="E181" s="35"/>
      <c r="F181" s="35"/>
      <c r="G181" s="35"/>
      <c r="H181" s="35"/>
      <c r="I181" s="35"/>
      <c r="J181" s="35"/>
      <c r="K181" s="35"/>
      <c r="L181" s="35"/>
      <c r="M181" s="35"/>
      <c r="N181" s="35"/>
      <c r="O181" s="35"/>
      <c r="P181" s="35"/>
      <c r="Q181" s="35"/>
      <c r="R181" s="154"/>
      <c r="S181" s="115"/>
      <c r="T181" s="155"/>
    </row>
    <row r="182" spans="1:20" s="1" customFormat="1">
      <c r="A182" s="27"/>
      <c r="B182" s="35"/>
      <c r="C182" s="35"/>
      <c r="D182" s="35"/>
      <c r="E182" s="35"/>
      <c r="F182" s="35"/>
      <c r="G182" s="35"/>
      <c r="H182" s="35"/>
      <c r="I182" s="35"/>
      <c r="J182" s="35"/>
      <c r="K182" s="35"/>
      <c r="L182" s="35"/>
      <c r="M182" s="35"/>
      <c r="N182" s="35"/>
      <c r="O182" s="35"/>
      <c r="P182" s="35"/>
      <c r="Q182" s="35"/>
      <c r="R182" s="154"/>
      <c r="S182" s="115"/>
      <c r="T182" s="155"/>
    </row>
    <row r="183" spans="1:20" s="1" customFormat="1">
      <c r="A183" s="27"/>
      <c r="B183" s="35"/>
      <c r="C183" s="35"/>
      <c r="D183" s="35"/>
      <c r="E183" s="35"/>
      <c r="F183" s="35"/>
      <c r="G183" s="35"/>
      <c r="H183" s="35"/>
      <c r="I183" s="35"/>
      <c r="J183" s="35"/>
      <c r="K183" s="35"/>
      <c r="L183" s="35"/>
      <c r="M183" s="35"/>
      <c r="N183" s="35"/>
      <c r="O183" s="35"/>
      <c r="P183" s="35"/>
      <c r="Q183" s="35"/>
      <c r="R183" s="154"/>
      <c r="S183" s="115"/>
      <c r="T183" s="155"/>
    </row>
    <row r="184" spans="1:20" s="1" customFormat="1">
      <c r="A184" s="27"/>
      <c r="B184" s="35"/>
      <c r="C184" s="35"/>
      <c r="D184" s="35"/>
      <c r="E184" s="35"/>
      <c r="F184" s="35"/>
      <c r="G184" s="35"/>
      <c r="H184" s="35"/>
      <c r="I184" s="35"/>
      <c r="J184" s="35"/>
      <c r="K184" s="35"/>
      <c r="L184" s="35"/>
      <c r="M184" s="35"/>
      <c r="N184" s="35"/>
      <c r="O184" s="35"/>
      <c r="P184" s="35"/>
      <c r="Q184" s="35"/>
      <c r="R184" s="154"/>
      <c r="S184" s="115"/>
      <c r="T184" s="155"/>
    </row>
    <row r="185" spans="1:20" s="1" customFormat="1">
      <c r="A185" s="27"/>
      <c r="B185" s="35"/>
      <c r="C185" s="35"/>
      <c r="D185" s="35"/>
      <c r="E185" s="35"/>
      <c r="F185" s="35"/>
      <c r="G185" s="35"/>
      <c r="H185" s="35"/>
      <c r="I185" s="35"/>
      <c r="J185" s="35"/>
      <c r="K185" s="35"/>
      <c r="L185" s="35"/>
      <c r="M185" s="35"/>
      <c r="N185" s="35"/>
      <c r="O185" s="35"/>
      <c r="P185" s="35"/>
      <c r="Q185" s="35"/>
      <c r="R185" s="154"/>
      <c r="S185" s="115"/>
      <c r="T185" s="155"/>
    </row>
    <row r="186" spans="1:20" s="1" customFormat="1">
      <c r="A186" s="27"/>
      <c r="B186" s="35"/>
      <c r="C186" s="35"/>
      <c r="D186" s="35"/>
      <c r="E186" s="35"/>
      <c r="F186" s="35"/>
      <c r="G186" s="35"/>
      <c r="H186" s="35"/>
      <c r="I186" s="35"/>
      <c r="J186" s="35"/>
      <c r="K186" s="35"/>
      <c r="L186" s="35"/>
      <c r="M186" s="35"/>
      <c r="N186" s="35"/>
      <c r="O186" s="35"/>
      <c r="P186" s="35"/>
      <c r="Q186" s="35"/>
      <c r="R186" s="154"/>
      <c r="S186" s="115"/>
      <c r="T186" s="155"/>
    </row>
    <row r="187" spans="1:20" s="12" customFormat="1">
      <c r="A187" s="99"/>
      <c r="B187" s="156"/>
      <c r="C187" s="156"/>
      <c r="D187" s="156"/>
      <c r="E187" s="156"/>
      <c r="F187" s="156"/>
      <c r="G187" s="156"/>
      <c r="H187" s="156"/>
      <c r="I187" s="156"/>
      <c r="J187" s="156"/>
      <c r="K187" s="156"/>
      <c r="L187" s="156"/>
      <c r="M187" s="156"/>
      <c r="N187" s="156"/>
      <c r="O187" s="156"/>
      <c r="P187" s="156"/>
      <c r="Q187" s="156"/>
      <c r="R187" s="157"/>
      <c r="S187" s="120"/>
      <c r="T187" s="158"/>
    </row>
    <row r="188" spans="1:20" s="1" customFormat="1">
      <c r="A188" s="27"/>
      <c r="B188" s="35"/>
      <c r="C188" s="35"/>
      <c r="D188" s="35"/>
      <c r="E188" s="35"/>
      <c r="F188" s="35"/>
      <c r="G188" s="35"/>
      <c r="H188" s="35"/>
      <c r="I188" s="35"/>
      <c r="J188" s="35"/>
      <c r="K188" s="35"/>
      <c r="L188" s="35"/>
      <c r="M188" s="35"/>
      <c r="N188" s="35"/>
      <c r="O188" s="35"/>
      <c r="P188" s="35"/>
      <c r="Q188" s="35"/>
      <c r="R188" s="154"/>
      <c r="S188" s="115"/>
      <c r="T188" s="155"/>
    </row>
    <row r="189" spans="1:20" s="1" customFormat="1">
      <c r="A189" s="27"/>
      <c r="B189" s="35"/>
      <c r="C189" s="35"/>
      <c r="D189" s="35"/>
      <c r="E189" s="35"/>
      <c r="F189" s="35"/>
      <c r="G189" s="35"/>
      <c r="H189" s="35"/>
      <c r="I189" s="35"/>
      <c r="J189" s="35"/>
      <c r="K189" s="35"/>
      <c r="L189" s="35"/>
      <c r="M189" s="35"/>
      <c r="N189" s="35"/>
      <c r="O189" s="35"/>
      <c r="P189" s="35"/>
      <c r="Q189" s="35"/>
      <c r="R189" s="154"/>
      <c r="S189" s="115"/>
      <c r="T189" s="155"/>
    </row>
    <row r="190" spans="1:20" s="1" customFormat="1">
      <c r="A190" s="27"/>
      <c r="B190" s="35"/>
      <c r="C190" s="35"/>
      <c r="D190" s="35"/>
      <c r="E190" s="35"/>
      <c r="F190" s="35"/>
      <c r="G190" s="35"/>
      <c r="H190" s="35"/>
      <c r="I190" s="35"/>
      <c r="J190" s="35"/>
      <c r="K190" s="35"/>
      <c r="L190" s="35"/>
      <c r="M190" s="35"/>
      <c r="N190" s="35"/>
      <c r="O190" s="35"/>
      <c r="P190" s="35"/>
      <c r="Q190" s="35"/>
      <c r="R190" s="154"/>
      <c r="S190" s="115"/>
      <c r="T190" s="155"/>
    </row>
    <row r="191" spans="1:20" s="1" customFormat="1">
      <c r="A191" s="27"/>
      <c r="B191" s="35"/>
      <c r="C191" s="35"/>
      <c r="D191" s="35"/>
      <c r="E191" s="35"/>
      <c r="F191" s="35"/>
      <c r="G191" s="35"/>
      <c r="H191" s="35"/>
      <c r="I191" s="35"/>
      <c r="J191" s="35"/>
      <c r="K191" s="35"/>
      <c r="L191" s="35"/>
      <c r="M191" s="35"/>
      <c r="N191" s="35"/>
      <c r="O191" s="35"/>
      <c r="P191" s="35"/>
      <c r="Q191" s="35"/>
      <c r="R191" s="154"/>
      <c r="S191" s="115"/>
      <c r="T191" s="155"/>
    </row>
    <row r="192" spans="1:20" s="1" customFormat="1">
      <c r="A192" s="27"/>
      <c r="B192" s="35"/>
      <c r="C192" s="35"/>
      <c r="D192" s="35"/>
      <c r="E192" s="35"/>
      <c r="F192" s="35"/>
      <c r="G192" s="35"/>
      <c r="H192" s="35"/>
      <c r="I192" s="35"/>
      <c r="J192" s="35"/>
      <c r="K192" s="35"/>
      <c r="L192" s="35"/>
      <c r="M192" s="35"/>
      <c r="N192" s="35"/>
      <c r="O192" s="35"/>
      <c r="P192" s="35"/>
      <c r="Q192" s="35"/>
      <c r="R192" s="154"/>
      <c r="S192" s="115"/>
      <c r="T192" s="155"/>
    </row>
    <row r="193" spans="1:20" s="1" customFormat="1">
      <c r="A193" s="27"/>
      <c r="B193" s="35"/>
      <c r="C193" s="35"/>
      <c r="D193" s="35"/>
      <c r="E193" s="35"/>
      <c r="F193" s="35"/>
      <c r="G193" s="35"/>
      <c r="H193" s="35"/>
      <c r="I193" s="35"/>
      <c r="J193" s="35"/>
      <c r="K193" s="35"/>
      <c r="L193" s="35"/>
      <c r="M193" s="35"/>
      <c r="N193" s="35"/>
      <c r="O193" s="35"/>
      <c r="P193" s="35"/>
      <c r="Q193" s="35"/>
      <c r="R193" s="154"/>
      <c r="S193" s="115"/>
      <c r="T193" s="155"/>
    </row>
    <row r="194" spans="1:20" s="1" customFormat="1">
      <c r="A194" s="27"/>
      <c r="B194" s="35"/>
      <c r="C194" s="35"/>
      <c r="D194" s="35"/>
      <c r="E194" s="35"/>
      <c r="F194" s="35"/>
      <c r="G194" s="35"/>
      <c r="H194" s="35"/>
      <c r="I194" s="35"/>
      <c r="J194" s="35"/>
      <c r="K194" s="35"/>
      <c r="L194" s="35"/>
      <c r="M194" s="35"/>
      <c r="N194" s="35"/>
      <c r="O194" s="35"/>
      <c r="P194" s="35"/>
      <c r="Q194" s="35"/>
      <c r="R194" s="154"/>
      <c r="S194" s="115"/>
      <c r="T194" s="155"/>
    </row>
    <row r="195" spans="1:20" s="1" customFormat="1">
      <c r="A195" s="27"/>
      <c r="B195" s="35"/>
      <c r="C195" s="35"/>
      <c r="D195" s="35"/>
      <c r="E195" s="35"/>
      <c r="F195" s="35"/>
      <c r="G195" s="35"/>
      <c r="H195" s="35"/>
      <c r="I195" s="35"/>
      <c r="J195" s="35"/>
      <c r="K195" s="35"/>
      <c r="L195" s="35"/>
      <c r="M195" s="35"/>
      <c r="N195" s="35"/>
      <c r="O195" s="35"/>
      <c r="P195" s="35"/>
      <c r="Q195" s="35"/>
      <c r="R195" s="154"/>
      <c r="S195" s="115"/>
      <c r="T195" s="155"/>
    </row>
    <row r="196" spans="1:20" s="1" customFormat="1">
      <c r="A196" s="27"/>
      <c r="B196" s="35"/>
      <c r="C196" s="35"/>
      <c r="D196" s="35"/>
      <c r="E196" s="35"/>
      <c r="F196" s="35"/>
      <c r="G196" s="35"/>
      <c r="H196" s="35"/>
      <c r="I196" s="35"/>
      <c r="J196" s="35"/>
      <c r="K196" s="35"/>
      <c r="L196" s="35"/>
      <c r="M196" s="35"/>
      <c r="N196" s="35"/>
      <c r="O196" s="35"/>
      <c r="P196" s="35"/>
      <c r="Q196" s="35"/>
      <c r="R196" s="154"/>
      <c r="S196" s="115"/>
      <c r="T196" s="155"/>
    </row>
    <row r="197" spans="1:20" s="1" customFormat="1">
      <c r="A197" s="27"/>
      <c r="B197" s="35"/>
      <c r="C197" s="35"/>
      <c r="D197" s="35"/>
      <c r="E197" s="35"/>
      <c r="F197" s="35"/>
      <c r="G197" s="35"/>
      <c r="H197" s="35"/>
      <c r="I197" s="35"/>
      <c r="J197" s="35"/>
      <c r="K197" s="35"/>
      <c r="L197" s="35"/>
      <c r="M197" s="35"/>
      <c r="N197" s="35"/>
      <c r="O197" s="35"/>
      <c r="P197" s="35"/>
      <c r="Q197" s="35"/>
      <c r="R197" s="154"/>
      <c r="S197" s="115"/>
      <c r="T197" s="155"/>
    </row>
    <row r="198" spans="1:20" s="1" customFormat="1">
      <c r="A198" s="27"/>
      <c r="B198" s="35"/>
      <c r="C198" s="35"/>
      <c r="D198" s="35"/>
      <c r="E198" s="35"/>
      <c r="F198" s="35"/>
      <c r="G198" s="35"/>
      <c r="H198" s="35"/>
      <c r="I198" s="35"/>
      <c r="J198" s="35"/>
      <c r="K198" s="35"/>
      <c r="L198" s="35"/>
      <c r="M198" s="35"/>
      <c r="N198" s="35"/>
      <c r="O198" s="35"/>
      <c r="P198" s="35"/>
      <c r="Q198" s="35"/>
      <c r="R198" s="154"/>
      <c r="S198" s="115"/>
      <c r="T198" s="155"/>
    </row>
    <row r="199" spans="1:20" s="12" customFormat="1">
      <c r="A199" s="99"/>
      <c r="B199" s="156"/>
      <c r="C199" s="156"/>
      <c r="D199" s="156"/>
      <c r="E199" s="156"/>
      <c r="F199" s="156"/>
      <c r="G199" s="156"/>
      <c r="H199" s="156"/>
      <c r="I199" s="156"/>
      <c r="J199" s="156"/>
      <c r="K199" s="156"/>
      <c r="L199" s="156"/>
      <c r="M199" s="156"/>
      <c r="N199" s="156"/>
      <c r="O199" s="156"/>
      <c r="P199" s="156"/>
      <c r="Q199" s="156"/>
      <c r="R199" s="157"/>
      <c r="S199" s="120"/>
      <c r="T199" s="158"/>
    </row>
    <row r="200" spans="1:20" s="1" customFormat="1">
      <c r="A200" s="27"/>
      <c r="B200" s="35"/>
      <c r="C200" s="35"/>
      <c r="D200" s="35"/>
      <c r="E200" s="35"/>
      <c r="F200" s="35"/>
      <c r="G200" s="35"/>
      <c r="H200" s="35"/>
      <c r="I200" s="35"/>
      <c r="J200" s="35"/>
      <c r="K200" s="35"/>
      <c r="L200" s="35"/>
      <c r="M200" s="35"/>
      <c r="N200" s="35"/>
      <c r="O200" s="35"/>
      <c r="P200" s="35"/>
      <c r="Q200" s="35"/>
      <c r="R200" s="154"/>
      <c r="S200" s="115"/>
      <c r="T200" s="155"/>
    </row>
    <row r="201" spans="1:20" s="1" customFormat="1">
      <c r="A201" s="27"/>
      <c r="B201" s="35"/>
      <c r="C201" s="35"/>
      <c r="D201" s="35"/>
      <c r="E201" s="35"/>
      <c r="F201" s="35"/>
      <c r="G201" s="35"/>
      <c r="H201" s="35"/>
      <c r="I201" s="35"/>
      <c r="J201" s="35"/>
      <c r="K201" s="35"/>
      <c r="L201" s="35"/>
      <c r="M201" s="35"/>
      <c r="N201" s="35"/>
      <c r="O201" s="35"/>
      <c r="P201" s="35"/>
      <c r="Q201" s="35"/>
      <c r="R201" s="154"/>
      <c r="S201" s="115"/>
      <c r="T201" s="155"/>
    </row>
    <row r="202" spans="1:20" s="1" customFormat="1">
      <c r="A202" s="27"/>
      <c r="B202" s="35"/>
      <c r="C202" s="35"/>
      <c r="D202" s="35"/>
      <c r="E202" s="35"/>
      <c r="F202" s="35"/>
      <c r="G202" s="35"/>
      <c r="H202" s="35"/>
      <c r="I202" s="35"/>
      <c r="J202" s="35"/>
      <c r="K202" s="35"/>
      <c r="L202" s="35"/>
      <c r="M202" s="35"/>
      <c r="N202" s="35"/>
      <c r="O202" s="35"/>
      <c r="P202" s="35"/>
      <c r="Q202" s="35"/>
      <c r="R202" s="154"/>
      <c r="S202" s="115"/>
      <c r="T202" s="155"/>
    </row>
    <row r="203" spans="1:20" s="1" customFormat="1">
      <c r="A203" s="27"/>
      <c r="B203" s="35"/>
      <c r="C203" s="35"/>
      <c r="D203" s="35"/>
      <c r="E203" s="35"/>
      <c r="F203" s="35"/>
      <c r="G203" s="35"/>
      <c r="H203" s="35"/>
      <c r="I203" s="35"/>
      <c r="J203" s="35"/>
      <c r="K203" s="35"/>
      <c r="L203" s="35"/>
      <c r="M203" s="35"/>
      <c r="N203" s="35"/>
      <c r="O203" s="35"/>
      <c r="P203" s="35"/>
      <c r="Q203" s="35"/>
      <c r="R203" s="154"/>
      <c r="S203" s="115"/>
      <c r="T203" s="155"/>
    </row>
    <row r="204" spans="1:20" s="1" customFormat="1">
      <c r="A204" s="27"/>
      <c r="B204" s="35"/>
      <c r="C204" s="35"/>
      <c r="D204" s="35"/>
      <c r="E204" s="35"/>
      <c r="F204" s="35"/>
      <c r="G204" s="35"/>
      <c r="H204" s="35"/>
      <c r="I204" s="35"/>
      <c r="J204" s="35"/>
      <c r="K204" s="35"/>
      <c r="L204" s="35"/>
      <c r="M204" s="35"/>
      <c r="N204" s="35"/>
      <c r="O204" s="35"/>
      <c r="P204" s="35"/>
      <c r="Q204" s="35"/>
      <c r="R204" s="154"/>
      <c r="S204" s="115"/>
      <c r="T204" s="155"/>
    </row>
    <row r="205" spans="1:20" s="1" customFormat="1">
      <c r="A205" s="27"/>
      <c r="B205" s="35"/>
      <c r="C205" s="35"/>
      <c r="D205" s="35"/>
      <c r="E205" s="35"/>
      <c r="F205" s="35"/>
      <c r="G205" s="35"/>
      <c r="H205" s="35"/>
      <c r="I205" s="35"/>
      <c r="J205" s="35"/>
      <c r="K205" s="35"/>
      <c r="L205" s="35"/>
      <c r="M205" s="35"/>
      <c r="N205" s="35"/>
      <c r="O205" s="35"/>
      <c r="P205" s="35"/>
      <c r="Q205" s="35"/>
      <c r="R205" s="154"/>
      <c r="S205" s="115"/>
      <c r="T205" s="155"/>
    </row>
    <row r="206" spans="1:20" s="1" customFormat="1">
      <c r="A206" s="27"/>
      <c r="B206" s="35"/>
      <c r="C206" s="35"/>
      <c r="D206" s="35"/>
      <c r="E206" s="35"/>
      <c r="F206" s="35"/>
      <c r="G206" s="35"/>
      <c r="H206" s="35"/>
      <c r="I206" s="35"/>
      <c r="J206" s="35"/>
      <c r="K206" s="35"/>
      <c r="L206" s="35"/>
      <c r="M206" s="35"/>
      <c r="N206" s="35"/>
      <c r="O206" s="35"/>
      <c r="P206" s="35"/>
      <c r="Q206" s="35"/>
      <c r="R206" s="154"/>
      <c r="S206" s="115"/>
      <c r="T206" s="155"/>
    </row>
    <row r="207" spans="1:20" s="1" customFormat="1">
      <c r="A207" s="27"/>
      <c r="B207" s="35"/>
      <c r="C207" s="35"/>
      <c r="D207" s="35"/>
      <c r="E207" s="35"/>
      <c r="F207" s="35"/>
      <c r="G207" s="35"/>
      <c r="H207" s="35"/>
      <c r="I207" s="35"/>
      <c r="J207" s="35"/>
      <c r="K207" s="35"/>
      <c r="L207" s="35"/>
      <c r="M207" s="35"/>
      <c r="N207" s="35"/>
      <c r="O207" s="35"/>
      <c r="P207" s="35"/>
      <c r="Q207" s="35"/>
      <c r="R207" s="154"/>
      <c r="S207" s="115"/>
      <c r="T207" s="155"/>
    </row>
    <row r="208" spans="1:20" s="1" customFormat="1">
      <c r="A208" s="27"/>
      <c r="B208" s="35"/>
      <c r="C208" s="35"/>
      <c r="D208" s="35"/>
      <c r="E208" s="35"/>
      <c r="F208" s="35"/>
      <c r="G208" s="35"/>
      <c r="H208" s="35"/>
      <c r="I208" s="35"/>
      <c r="J208" s="35"/>
      <c r="K208" s="35"/>
      <c r="L208" s="35"/>
      <c r="M208" s="35"/>
      <c r="N208" s="35"/>
      <c r="O208" s="35"/>
      <c r="P208" s="35"/>
      <c r="Q208" s="35"/>
      <c r="R208" s="154"/>
      <c r="S208" s="115"/>
      <c r="T208" s="155"/>
    </row>
    <row r="209" spans="1:20" s="1" customFormat="1">
      <c r="A209" s="27"/>
      <c r="B209" s="35"/>
      <c r="C209" s="35"/>
      <c r="D209" s="35"/>
      <c r="E209" s="35"/>
      <c r="F209" s="35"/>
      <c r="G209" s="35"/>
      <c r="H209" s="35"/>
      <c r="I209" s="35"/>
      <c r="J209" s="35"/>
      <c r="K209" s="35"/>
      <c r="L209" s="35"/>
      <c r="M209" s="35"/>
      <c r="N209" s="35"/>
      <c r="O209" s="35"/>
      <c r="P209" s="35"/>
      <c r="Q209" s="35"/>
      <c r="R209" s="154"/>
      <c r="S209" s="115"/>
      <c r="T209" s="155"/>
    </row>
    <row r="210" spans="1:20" s="1" customFormat="1">
      <c r="A210" s="27"/>
      <c r="B210" s="35"/>
      <c r="C210" s="35"/>
      <c r="D210" s="35"/>
      <c r="E210" s="35"/>
      <c r="F210" s="35"/>
      <c r="G210" s="35"/>
      <c r="H210" s="35"/>
      <c r="I210" s="35"/>
      <c r="J210" s="35"/>
      <c r="K210" s="35"/>
      <c r="L210" s="35"/>
      <c r="M210" s="35"/>
      <c r="N210" s="35"/>
      <c r="O210" s="35"/>
      <c r="P210" s="35"/>
      <c r="Q210" s="35"/>
      <c r="R210" s="154"/>
      <c r="S210" s="115"/>
      <c r="T210" s="155"/>
    </row>
    <row r="211" spans="1:20" s="12" customFormat="1">
      <c r="A211" s="99"/>
      <c r="B211" s="156"/>
      <c r="C211" s="156"/>
      <c r="D211" s="156"/>
      <c r="E211" s="156"/>
      <c r="F211" s="156"/>
      <c r="G211" s="156"/>
      <c r="H211" s="156"/>
      <c r="I211" s="156"/>
      <c r="J211" s="156"/>
      <c r="K211" s="156"/>
      <c r="L211" s="156"/>
      <c r="M211" s="156"/>
      <c r="N211" s="156"/>
      <c r="O211" s="156"/>
      <c r="P211" s="156"/>
      <c r="Q211" s="156"/>
      <c r="R211" s="157"/>
      <c r="S211" s="120"/>
      <c r="T211" s="158"/>
    </row>
    <row r="212" spans="1:20" s="1" customFormat="1">
      <c r="A212" s="27"/>
      <c r="B212" s="35"/>
      <c r="C212" s="35"/>
      <c r="D212" s="35"/>
      <c r="E212" s="35"/>
      <c r="F212" s="35"/>
      <c r="G212" s="35"/>
      <c r="H212" s="35"/>
      <c r="I212" s="35"/>
      <c r="J212" s="35"/>
      <c r="K212" s="35"/>
      <c r="L212" s="35"/>
      <c r="M212" s="35"/>
      <c r="N212" s="35"/>
      <c r="O212" s="35"/>
      <c r="P212" s="35"/>
      <c r="Q212" s="35"/>
      <c r="R212" s="154"/>
      <c r="S212" s="115"/>
      <c r="T212" s="155"/>
    </row>
    <row r="213" spans="1:20" s="1" customFormat="1">
      <c r="A213" s="27"/>
      <c r="B213" s="35"/>
      <c r="C213" s="35"/>
      <c r="D213" s="35"/>
      <c r="E213" s="35"/>
      <c r="F213" s="35"/>
      <c r="G213" s="35"/>
      <c r="H213" s="35"/>
      <c r="I213" s="35"/>
      <c r="J213" s="35"/>
      <c r="K213" s="35"/>
      <c r="L213" s="35"/>
      <c r="M213" s="35"/>
      <c r="N213" s="35"/>
      <c r="O213" s="35"/>
      <c r="P213" s="35"/>
      <c r="Q213" s="35"/>
      <c r="R213" s="154"/>
      <c r="S213" s="115"/>
      <c r="T213" s="155"/>
    </row>
    <row r="214" spans="1:20" s="1" customFormat="1">
      <c r="A214" s="27"/>
      <c r="B214" s="35"/>
      <c r="C214" s="35"/>
      <c r="D214" s="35"/>
      <c r="E214" s="35"/>
      <c r="F214" s="35"/>
      <c r="G214" s="35"/>
      <c r="H214" s="35"/>
      <c r="I214" s="35"/>
      <c r="J214" s="35"/>
      <c r="K214" s="35"/>
      <c r="L214" s="35"/>
      <c r="M214" s="35"/>
      <c r="N214" s="35"/>
      <c r="O214" s="35"/>
      <c r="P214" s="35"/>
      <c r="Q214" s="35"/>
      <c r="R214" s="154"/>
      <c r="S214" s="115"/>
      <c r="T214" s="155"/>
    </row>
    <row r="215" spans="1:20" s="1" customFormat="1">
      <c r="A215" s="27"/>
      <c r="B215" s="35"/>
      <c r="C215" s="35"/>
      <c r="D215" s="35"/>
      <c r="E215" s="35"/>
      <c r="F215" s="35"/>
      <c r="G215" s="35"/>
      <c r="H215" s="35"/>
      <c r="I215" s="35"/>
      <c r="J215" s="35"/>
      <c r="K215" s="35"/>
      <c r="L215" s="35"/>
      <c r="M215" s="35"/>
      <c r="N215" s="35"/>
      <c r="O215" s="35"/>
      <c r="P215" s="35"/>
      <c r="Q215" s="35"/>
      <c r="R215" s="154"/>
      <c r="S215" s="115"/>
      <c r="T215" s="155"/>
    </row>
    <row r="216" spans="1:20" s="1" customFormat="1">
      <c r="A216" s="27"/>
      <c r="B216" s="35"/>
      <c r="C216" s="35"/>
      <c r="D216" s="35"/>
      <c r="E216" s="35"/>
      <c r="F216" s="35"/>
      <c r="G216" s="35"/>
      <c r="H216" s="35"/>
      <c r="I216" s="35"/>
      <c r="J216" s="35"/>
      <c r="K216" s="35"/>
      <c r="L216" s="35"/>
      <c r="M216" s="35"/>
      <c r="N216" s="35"/>
      <c r="O216" s="35"/>
      <c r="P216" s="35"/>
      <c r="Q216" s="35"/>
      <c r="R216" s="154"/>
      <c r="S216" s="115"/>
      <c r="T216" s="155"/>
    </row>
    <row r="217" spans="1:20" s="1" customFormat="1">
      <c r="A217" s="27"/>
      <c r="B217" s="35"/>
      <c r="C217" s="35"/>
      <c r="D217" s="35"/>
      <c r="E217" s="35"/>
      <c r="F217" s="35"/>
      <c r="G217" s="35"/>
      <c r="H217" s="35"/>
      <c r="I217" s="35"/>
      <c r="J217" s="35"/>
      <c r="K217" s="35"/>
      <c r="L217" s="35"/>
      <c r="M217" s="35"/>
      <c r="N217" s="35"/>
      <c r="O217" s="35"/>
      <c r="P217" s="35"/>
      <c r="Q217" s="35"/>
      <c r="R217" s="154"/>
      <c r="S217" s="115"/>
      <c r="T217" s="155"/>
    </row>
    <row r="218" spans="1:20" s="1" customFormat="1">
      <c r="A218" s="27"/>
      <c r="B218" s="35"/>
      <c r="C218" s="35"/>
      <c r="D218" s="35"/>
      <c r="E218" s="35"/>
      <c r="F218" s="35"/>
      <c r="G218" s="35"/>
      <c r="H218" s="35"/>
      <c r="I218" s="35"/>
      <c r="J218" s="35"/>
      <c r="K218" s="35"/>
      <c r="L218" s="35"/>
      <c r="M218" s="35"/>
      <c r="N218" s="35"/>
      <c r="O218" s="35"/>
      <c r="P218" s="35"/>
      <c r="Q218" s="35"/>
      <c r="R218" s="154"/>
      <c r="S218" s="115"/>
      <c r="T218" s="155"/>
    </row>
    <row r="219" spans="1:20" s="1" customFormat="1">
      <c r="A219" s="27"/>
      <c r="B219" s="35"/>
      <c r="C219" s="35"/>
      <c r="D219" s="35"/>
      <c r="E219" s="35"/>
      <c r="F219" s="35"/>
      <c r="G219" s="35"/>
      <c r="H219" s="35"/>
      <c r="I219" s="35"/>
      <c r="J219" s="35"/>
      <c r="K219" s="35"/>
      <c r="L219" s="35"/>
      <c r="M219" s="35"/>
      <c r="N219" s="35"/>
      <c r="O219" s="35"/>
      <c r="P219" s="35"/>
      <c r="Q219" s="35"/>
      <c r="R219" s="154"/>
      <c r="S219" s="115"/>
      <c r="T219" s="155"/>
    </row>
    <row r="220" spans="1:20" s="1" customFormat="1">
      <c r="A220" s="27"/>
      <c r="B220" s="35"/>
      <c r="C220" s="35"/>
      <c r="D220" s="35"/>
      <c r="E220" s="35"/>
      <c r="F220" s="35"/>
      <c r="G220" s="35"/>
      <c r="H220" s="35"/>
      <c r="I220" s="35"/>
      <c r="J220" s="35"/>
      <c r="K220" s="35"/>
      <c r="L220" s="35"/>
      <c r="M220" s="35"/>
      <c r="N220" s="35"/>
      <c r="O220" s="35"/>
      <c r="P220" s="35"/>
      <c r="Q220" s="35"/>
      <c r="R220" s="154"/>
      <c r="S220" s="115"/>
      <c r="T220" s="155"/>
    </row>
    <row r="221" spans="1:20" s="1" customFormat="1">
      <c r="A221" s="27"/>
      <c r="B221" s="35"/>
      <c r="C221" s="35"/>
      <c r="D221" s="35"/>
      <c r="E221" s="35"/>
      <c r="F221" s="35"/>
      <c r="G221" s="35"/>
      <c r="H221" s="35"/>
      <c r="I221" s="35"/>
      <c r="J221" s="35"/>
      <c r="K221" s="35"/>
      <c r="L221" s="35"/>
      <c r="M221" s="35"/>
      <c r="N221" s="35"/>
      <c r="O221" s="35"/>
      <c r="P221" s="35"/>
      <c r="Q221" s="35"/>
      <c r="R221" s="154"/>
      <c r="S221" s="115"/>
      <c r="T221" s="155"/>
    </row>
    <row r="222" spans="1:20" s="1" customFormat="1">
      <c r="A222" s="27"/>
      <c r="B222" s="35"/>
      <c r="C222" s="35"/>
      <c r="D222" s="35"/>
      <c r="E222" s="35"/>
      <c r="F222" s="35"/>
      <c r="G222" s="35"/>
      <c r="H222" s="35"/>
      <c r="I222" s="35"/>
      <c r="J222" s="35"/>
      <c r="K222" s="35"/>
      <c r="L222" s="35"/>
      <c r="M222" s="35"/>
      <c r="N222" s="35"/>
      <c r="O222" s="35"/>
      <c r="P222" s="35"/>
      <c r="Q222" s="35"/>
      <c r="R222" s="154"/>
      <c r="S222" s="115"/>
      <c r="T222" s="155"/>
    </row>
    <row r="223" spans="1:20" s="12" customFormat="1">
      <c r="A223" s="99"/>
      <c r="B223" s="156"/>
      <c r="C223" s="156"/>
      <c r="D223" s="156"/>
      <c r="E223" s="156"/>
      <c r="F223" s="156"/>
      <c r="G223" s="156"/>
      <c r="H223" s="156"/>
      <c r="I223" s="156"/>
      <c r="J223" s="156"/>
      <c r="K223" s="156"/>
      <c r="L223" s="156"/>
      <c r="M223" s="156"/>
      <c r="N223" s="156"/>
      <c r="O223" s="156"/>
      <c r="P223" s="156"/>
      <c r="Q223" s="156"/>
      <c r="R223" s="157"/>
      <c r="S223" s="120"/>
      <c r="T223" s="158"/>
    </row>
    <row r="224" spans="1:20" s="1" customFormat="1">
      <c r="A224" s="27"/>
      <c r="B224" s="35"/>
      <c r="C224" s="35"/>
      <c r="D224" s="35"/>
      <c r="E224" s="35"/>
      <c r="F224" s="35"/>
      <c r="G224" s="35"/>
      <c r="H224" s="35"/>
      <c r="I224" s="35"/>
      <c r="J224" s="35"/>
      <c r="K224" s="35"/>
      <c r="L224" s="35"/>
      <c r="M224" s="35"/>
      <c r="N224" s="35"/>
      <c r="O224" s="35"/>
      <c r="P224" s="35"/>
      <c r="Q224" s="35"/>
      <c r="R224" s="154"/>
      <c r="S224" s="115"/>
      <c r="T224" s="155"/>
    </row>
    <row r="225" spans="1:20" s="1" customFormat="1">
      <c r="A225" s="27"/>
      <c r="B225" s="35"/>
      <c r="C225" s="35"/>
      <c r="D225" s="35"/>
      <c r="E225" s="35"/>
      <c r="F225" s="35"/>
      <c r="G225" s="35"/>
      <c r="H225" s="35"/>
      <c r="I225" s="35"/>
      <c r="J225" s="35"/>
      <c r="K225" s="35"/>
      <c r="L225" s="35"/>
      <c r="M225" s="35"/>
      <c r="N225" s="35"/>
      <c r="O225" s="35"/>
      <c r="P225" s="35"/>
      <c r="Q225" s="35"/>
      <c r="R225" s="154"/>
      <c r="S225" s="115"/>
      <c r="T225" s="155"/>
    </row>
    <row r="226" spans="1:20" s="1" customFormat="1">
      <c r="A226" s="27"/>
      <c r="B226" s="35"/>
      <c r="C226" s="35"/>
      <c r="D226" s="35"/>
      <c r="E226" s="35"/>
      <c r="F226" s="35"/>
      <c r="G226" s="35"/>
      <c r="H226" s="35"/>
      <c r="I226" s="35"/>
      <c r="J226" s="35"/>
      <c r="K226" s="35"/>
      <c r="L226" s="35"/>
      <c r="M226" s="35"/>
      <c r="N226" s="35"/>
      <c r="O226" s="35"/>
      <c r="P226" s="35"/>
      <c r="Q226" s="35"/>
      <c r="R226" s="154"/>
      <c r="S226" s="115"/>
      <c r="T226" s="155"/>
    </row>
    <row r="227" spans="1:20" s="1" customFormat="1">
      <c r="A227" s="27"/>
      <c r="B227" s="35"/>
      <c r="C227" s="35"/>
      <c r="D227" s="35"/>
      <c r="E227" s="35"/>
      <c r="F227" s="35"/>
      <c r="G227" s="35"/>
      <c r="H227" s="35"/>
      <c r="I227" s="35"/>
      <c r="J227" s="35"/>
      <c r="K227" s="35"/>
      <c r="L227" s="35"/>
      <c r="M227" s="35"/>
      <c r="N227" s="35"/>
      <c r="O227" s="35"/>
      <c r="P227" s="35"/>
      <c r="Q227" s="35"/>
      <c r="R227" s="154"/>
      <c r="S227" s="115"/>
      <c r="T227" s="155"/>
    </row>
    <row r="228" spans="1:20" s="1" customFormat="1">
      <c r="A228" s="27"/>
      <c r="B228" s="35"/>
      <c r="C228" s="35"/>
      <c r="D228" s="35"/>
      <c r="E228" s="35"/>
      <c r="F228" s="35"/>
      <c r="G228" s="35"/>
      <c r="H228" s="35"/>
      <c r="I228" s="35"/>
      <c r="J228" s="35"/>
      <c r="K228" s="35"/>
      <c r="L228" s="35"/>
      <c r="M228" s="35"/>
      <c r="N228" s="35"/>
      <c r="O228" s="35"/>
      <c r="P228" s="35"/>
      <c r="Q228" s="35"/>
      <c r="R228" s="154"/>
      <c r="S228" s="115"/>
      <c r="T228" s="155"/>
    </row>
    <row r="229" spans="1:20" s="1" customFormat="1">
      <c r="A229" s="27"/>
      <c r="B229" s="35"/>
      <c r="C229" s="35"/>
      <c r="D229" s="35"/>
      <c r="E229" s="35"/>
      <c r="F229" s="35"/>
      <c r="G229" s="35"/>
      <c r="H229" s="35"/>
      <c r="I229" s="35"/>
      <c r="J229" s="35"/>
      <c r="K229" s="35"/>
      <c r="L229" s="35"/>
      <c r="M229" s="35"/>
      <c r="N229" s="35"/>
      <c r="O229" s="35"/>
      <c r="P229" s="35"/>
      <c r="Q229" s="35"/>
      <c r="R229" s="154"/>
      <c r="S229" s="115"/>
      <c r="T229" s="155"/>
    </row>
    <row r="230" spans="1:20" s="1" customFormat="1">
      <c r="A230" s="27"/>
      <c r="B230" s="35"/>
      <c r="C230" s="35"/>
      <c r="D230" s="35"/>
      <c r="E230" s="35"/>
      <c r="F230" s="35"/>
      <c r="G230" s="35"/>
      <c r="H230" s="35"/>
      <c r="I230" s="35"/>
      <c r="J230" s="35"/>
      <c r="K230" s="35"/>
      <c r="L230" s="35"/>
      <c r="M230" s="35"/>
      <c r="N230" s="35"/>
      <c r="O230" s="35"/>
      <c r="P230" s="35"/>
      <c r="Q230" s="35"/>
      <c r="R230" s="154"/>
      <c r="S230" s="115"/>
      <c r="T230" s="155"/>
    </row>
    <row r="231" spans="1:20" s="1" customFormat="1">
      <c r="A231" s="27"/>
      <c r="B231" s="35"/>
      <c r="C231" s="35"/>
      <c r="D231" s="35"/>
      <c r="E231" s="35"/>
      <c r="F231" s="35"/>
      <c r="G231" s="35"/>
      <c r="H231" s="35"/>
      <c r="I231" s="35"/>
      <c r="J231" s="35"/>
      <c r="K231" s="35"/>
      <c r="L231" s="35"/>
      <c r="M231" s="35"/>
      <c r="N231" s="35"/>
      <c r="O231" s="35"/>
      <c r="P231" s="35"/>
      <c r="Q231" s="35"/>
      <c r="R231" s="154"/>
      <c r="S231" s="115"/>
      <c r="T231" s="155"/>
    </row>
    <row r="232" spans="1:20" s="1" customFormat="1">
      <c r="A232" s="27"/>
      <c r="B232" s="35"/>
      <c r="C232" s="35"/>
      <c r="D232" s="35"/>
      <c r="E232" s="35"/>
      <c r="F232" s="35"/>
      <c r="G232" s="35"/>
      <c r="H232" s="35"/>
      <c r="I232" s="35"/>
      <c r="J232" s="35"/>
      <c r="K232" s="35"/>
      <c r="L232" s="35"/>
      <c r="M232" s="35"/>
      <c r="N232" s="35"/>
      <c r="O232" s="35"/>
      <c r="P232" s="35"/>
      <c r="Q232" s="35"/>
      <c r="R232" s="154"/>
      <c r="S232" s="115"/>
      <c r="T232" s="155"/>
    </row>
    <row r="233" spans="1:20" s="1" customFormat="1">
      <c r="A233" s="27"/>
      <c r="B233" s="35"/>
      <c r="C233" s="35"/>
      <c r="D233" s="35"/>
      <c r="E233" s="35"/>
      <c r="F233" s="35"/>
      <c r="G233" s="35"/>
      <c r="H233" s="35"/>
      <c r="I233" s="35"/>
      <c r="J233" s="35"/>
      <c r="K233" s="35"/>
      <c r="L233" s="35"/>
      <c r="M233" s="35"/>
      <c r="N233" s="35"/>
      <c r="O233" s="35"/>
      <c r="P233" s="35"/>
      <c r="Q233" s="35"/>
      <c r="R233" s="154"/>
      <c r="S233" s="115"/>
      <c r="T233" s="155"/>
    </row>
    <row r="234" spans="1:20" s="1" customFormat="1">
      <c r="A234" s="27"/>
      <c r="B234" s="35"/>
      <c r="C234" s="35"/>
      <c r="D234" s="35"/>
      <c r="E234" s="35"/>
      <c r="F234" s="35"/>
      <c r="G234" s="35"/>
      <c r="H234" s="35"/>
      <c r="I234" s="35"/>
      <c r="J234" s="35"/>
      <c r="K234" s="35"/>
      <c r="L234" s="35"/>
      <c r="M234" s="35"/>
      <c r="N234" s="35"/>
      <c r="O234" s="35"/>
      <c r="P234" s="35"/>
      <c r="Q234" s="35"/>
      <c r="R234" s="154"/>
      <c r="S234" s="115"/>
      <c r="T234" s="155"/>
    </row>
    <row r="235" spans="1:20" s="12" customFormat="1">
      <c r="A235" s="99"/>
      <c r="B235" s="156"/>
      <c r="C235" s="156"/>
      <c r="D235" s="156"/>
      <c r="E235" s="156"/>
      <c r="F235" s="156"/>
      <c r="G235" s="156"/>
      <c r="H235" s="156"/>
      <c r="I235" s="156"/>
      <c r="J235" s="156"/>
      <c r="K235" s="156"/>
      <c r="L235" s="156"/>
      <c r="M235" s="156"/>
      <c r="N235" s="156"/>
      <c r="O235" s="156"/>
      <c r="P235" s="156"/>
      <c r="Q235" s="156"/>
      <c r="R235" s="157"/>
      <c r="S235" s="120"/>
      <c r="T235" s="158"/>
    </row>
    <row r="236" spans="1:20" s="1" customFormat="1">
      <c r="A236" s="27"/>
      <c r="B236" s="35"/>
      <c r="C236" s="35"/>
      <c r="D236" s="35"/>
      <c r="E236" s="35"/>
      <c r="F236" s="35"/>
      <c r="G236" s="35"/>
      <c r="H236" s="35"/>
      <c r="I236" s="35"/>
      <c r="J236" s="35"/>
      <c r="K236" s="35"/>
      <c r="L236" s="35"/>
      <c r="M236" s="35"/>
      <c r="N236" s="35"/>
      <c r="O236" s="35"/>
      <c r="P236" s="35"/>
      <c r="Q236" s="35"/>
      <c r="R236" s="154"/>
      <c r="S236" s="115"/>
      <c r="T236" s="155"/>
    </row>
    <row r="237" spans="1:20" s="1" customFormat="1">
      <c r="A237" s="27"/>
      <c r="B237" s="35"/>
      <c r="C237" s="35"/>
      <c r="D237" s="35"/>
      <c r="E237" s="35"/>
      <c r="F237" s="35"/>
      <c r="G237" s="35"/>
      <c r="H237" s="35"/>
      <c r="I237" s="35"/>
      <c r="J237" s="35"/>
      <c r="K237" s="35"/>
      <c r="L237" s="35"/>
      <c r="M237" s="35"/>
      <c r="N237" s="35"/>
      <c r="O237" s="35"/>
      <c r="P237" s="35"/>
      <c r="Q237" s="35"/>
      <c r="R237" s="154"/>
      <c r="S237" s="115"/>
      <c r="T237" s="155"/>
    </row>
    <row r="238" spans="1:20" s="1" customFormat="1">
      <c r="A238" s="27"/>
      <c r="B238" s="35"/>
      <c r="C238" s="35"/>
      <c r="D238" s="35"/>
      <c r="E238" s="35"/>
      <c r="F238" s="35"/>
      <c r="G238" s="35"/>
      <c r="H238" s="35"/>
      <c r="I238" s="35"/>
      <c r="J238" s="35"/>
      <c r="K238" s="35"/>
      <c r="L238" s="35"/>
      <c r="M238" s="35"/>
      <c r="N238" s="35"/>
      <c r="O238" s="35"/>
      <c r="P238" s="35"/>
      <c r="Q238" s="35"/>
      <c r="R238" s="154"/>
      <c r="S238" s="115"/>
      <c r="T238" s="155"/>
    </row>
    <row r="239" spans="1:20" s="1" customFormat="1">
      <c r="A239" s="27"/>
      <c r="B239" s="35"/>
      <c r="C239" s="35"/>
      <c r="D239" s="35"/>
      <c r="E239" s="35"/>
      <c r="F239" s="35"/>
      <c r="G239" s="35"/>
      <c r="H239" s="35"/>
      <c r="I239" s="35"/>
      <c r="J239" s="35"/>
      <c r="K239" s="35"/>
      <c r="L239" s="35"/>
      <c r="M239" s="35"/>
      <c r="N239" s="35"/>
      <c r="O239" s="35"/>
      <c r="P239" s="35"/>
      <c r="Q239" s="35"/>
      <c r="R239" s="154"/>
      <c r="S239" s="115"/>
      <c r="T239" s="155"/>
    </row>
    <row r="240" spans="1:20" s="1" customFormat="1">
      <c r="A240" s="27"/>
      <c r="B240" s="35"/>
      <c r="C240" s="35"/>
      <c r="D240" s="35"/>
      <c r="E240" s="35"/>
      <c r="F240" s="35"/>
      <c r="G240" s="35"/>
      <c r="H240" s="35"/>
      <c r="I240" s="35"/>
      <c r="J240" s="35"/>
      <c r="K240" s="35"/>
      <c r="L240" s="35"/>
      <c r="M240" s="35"/>
      <c r="N240" s="35"/>
      <c r="O240" s="35"/>
      <c r="P240" s="35"/>
      <c r="Q240" s="35"/>
      <c r="R240" s="154"/>
      <c r="S240" s="115"/>
      <c r="T240" s="155"/>
    </row>
    <row r="241" spans="1:20" s="1" customFormat="1">
      <c r="A241" s="27"/>
      <c r="B241" s="35"/>
      <c r="C241" s="35"/>
      <c r="D241" s="35"/>
      <c r="E241" s="35"/>
      <c r="F241" s="35"/>
      <c r="G241" s="35"/>
      <c r="H241" s="35"/>
      <c r="I241" s="35"/>
      <c r="J241" s="35"/>
      <c r="K241" s="35"/>
      <c r="L241" s="35"/>
      <c r="M241" s="35"/>
      <c r="N241" s="35"/>
      <c r="O241" s="35"/>
      <c r="P241" s="35"/>
      <c r="Q241" s="35"/>
      <c r="R241" s="154"/>
      <c r="S241" s="115"/>
      <c r="T241" s="155"/>
    </row>
    <row r="242" spans="1:20" s="1" customFormat="1">
      <c r="A242" s="27"/>
      <c r="B242" s="35"/>
      <c r="C242" s="35"/>
      <c r="D242" s="35"/>
      <c r="E242" s="35"/>
      <c r="F242" s="35"/>
      <c r="G242" s="35"/>
      <c r="H242" s="35"/>
      <c r="I242" s="35"/>
      <c r="J242" s="35"/>
      <c r="K242" s="35"/>
      <c r="L242" s="35"/>
      <c r="M242" s="35"/>
      <c r="N242" s="35"/>
      <c r="O242" s="35"/>
      <c r="P242" s="35"/>
      <c r="Q242" s="35"/>
      <c r="R242" s="154"/>
      <c r="S242" s="115"/>
      <c r="T242" s="155"/>
    </row>
    <row r="243" spans="1:20" s="1" customFormat="1">
      <c r="A243" s="27"/>
      <c r="B243" s="35"/>
      <c r="C243" s="35"/>
      <c r="D243" s="35"/>
      <c r="E243" s="35"/>
      <c r="F243" s="35"/>
      <c r="G243" s="35"/>
      <c r="H243" s="35"/>
      <c r="I243" s="35"/>
      <c r="J243" s="35"/>
      <c r="K243" s="35"/>
      <c r="L243" s="35"/>
      <c r="M243" s="35"/>
      <c r="N243" s="35"/>
      <c r="O243" s="35"/>
      <c r="P243" s="35"/>
      <c r="Q243" s="35"/>
      <c r="R243" s="154"/>
      <c r="S243" s="115"/>
      <c r="T243" s="155"/>
    </row>
    <row r="244" spans="1:20" s="1" customFormat="1">
      <c r="A244" s="27"/>
      <c r="B244" s="35"/>
      <c r="C244" s="35"/>
      <c r="D244" s="35"/>
      <c r="E244" s="35"/>
      <c r="F244" s="35"/>
      <c r="G244" s="35"/>
      <c r="H244" s="35"/>
      <c r="I244" s="35"/>
      <c r="J244" s="35"/>
      <c r="K244" s="35"/>
      <c r="L244" s="35"/>
      <c r="M244" s="35"/>
      <c r="N244" s="35"/>
      <c r="O244" s="35"/>
      <c r="P244" s="35"/>
      <c r="Q244" s="35"/>
      <c r="R244" s="154"/>
      <c r="S244" s="115"/>
      <c r="T244" s="155"/>
    </row>
    <row r="245" spans="1:20" s="1" customFormat="1">
      <c r="A245" s="27"/>
      <c r="B245" s="35"/>
      <c r="C245" s="35"/>
      <c r="D245" s="35"/>
      <c r="E245" s="35"/>
      <c r="F245" s="35"/>
      <c r="G245" s="35"/>
      <c r="H245" s="35"/>
      <c r="I245" s="35"/>
      <c r="J245" s="35"/>
      <c r="K245" s="35"/>
      <c r="L245" s="35"/>
      <c r="M245" s="35"/>
      <c r="N245" s="35"/>
      <c r="O245" s="35"/>
      <c r="P245" s="35"/>
      <c r="Q245" s="35"/>
      <c r="R245" s="154"/>
      <c r="S245" s="115"/>
      <c r="T245" s="155"/>
    </row>
    <row r="246" spans="1:20" s="1" customFormat="1">
      <c r="A246" s="27"/>
      <c r="B246" s="35"/>
      <c r="C246" s="35"/>
      <c r="D246" s="35"/>
      <c r="E246" s="35"/>
      <c r="F246" s="35"/>
      <c r="G246" s="35"/>
      <c r="H246" s="35"/>
      <c r="I246" s="35"/>
      <c r="J246" s="35"/>
      <c r="K246" s="35"/>
      <c r="L246" s="35"/>
      <c r="M246" s="35"/>
      <c r="N246" s="35"/>
      <c r="O246" s="35"/>
      <c r="P246" s="35"/>
      <c r="Q246" s="35"/>
      <c r="R246" s="154"/>
      <c r="S246" s="115"/>
      <c r="T246" s="155"/>
    </row>
    <row r="247" spans="1:20" s="12" customFormat="1">
      <c r="A247" s="99"/>
      <c r="B247" s="156"/>
      <c r="C247" s="156"/>
      <c r="D247" s="156"/>
      <c r="E247" s="156"/>
      <c r="F247" s="156"/>
      <c r="G247" s="156"/>
      <c r="H247" s="156"/>
      <c r="I247" s="156"/>
      <c r="J247" s="156"/>
      <c r="K247" s="156"/>
      <c r="L247" s="156"/>
      <c r="M247" s="156"/>
      <c r="N247" s="156"/>
      <c r="O247" s="156"/>
      <c r="P247" s="156"/>
      <c r="Q247" s="156"/>
      <c r="R247" s="157"/>
      <c r="S247" s="120"/>
      <c r="T247" s="158"/>
    </row>
    <row r="248" spans="1:20" s="1" customFormat="1">
      <c r="A248" s="27"/>
      <c r="B248" s="35"/>
      <c r="C248" s="35"/>
      <c r="D248" s="35"/>
      <c r="E248" s="35"/>
      <c r="F248" s="35"/>
      <c r="G248" s="35"/>
      <c r="H248" s="35"/>
      <c r="I248" s="35"/>
      <c r="J248" s="35"/>
      <c r="K248" s="35"/>
      <c r="L248" s="35"/>
      <c r="M248" s="35"/>
      <c r="N248" s="35"/>
      <c r="O248" s="35"/>
      <c r="P248" s="35"/>
      <c r="Q248" s="35"/>
      <c r="R248" s="154"/>
      <c r="S248" s="115"/>
      <c r="T248" s="155"/>
    </row>
    <row r="249" spans="1:20" s="1" customFormat="1">
      <c r="A249" s="27"/>
      <c r="B249" s="35"/>
      <c r="C249" s="35"/>
      <c r="D249" s="35"/>
      <c r="E249" s="35"/>
      <c r="F249" s="35"/>
      <c r="G249" s="35"/>
      <c r="H249" s="35"/>
      <c r="I249" s="35"/>
      <c r="J249" s="35"/>
      <c r="K249" s="35"/>
      <c r="L249" s="35"/>
      <c r="M249" s="35"/>
      <c r="N249" s="35"/>
      <c r="O249" s="35"/>
      <c r="P249" s="35"/>
      <c r="Q249" s="35"/>
      <c r="R249" s="154"/>
      <c r="S249" s="115"/>
      <c r="T249" s="155"/>
    </row>
    <row r="250" spans="1:20" s="1" customFormat="1">
      <c r="A250" s="27"/>
      <c r="B250" s="35"/>
      <c r="C250" s="35"/>
      <c r="D250" s="35"/>
      <c r="E250" s="35"/>
      <c r="F250" s="35"/>
      <c r="G250" s="35"/>
      <c r="H250" s="35"/>
      <c r="I250" s="35"/>
      <c r="J250" s="35"/>
      <c r="K250" s="35"/>
      <c r="L250" s="35"/>
      <c r="M250" s="35"/>
      <c r="N250" s="35"/>
      <c r="O250" s="35"/>
      <c r="P250" s="35"/>
      <c r="Q250" s="35"/>
      <c r="R250" s="154"/>
      <c r="S250" s="115"/>
      <c r="T250" s="155"/>
    </row>
    <row r="251" spans="1:20" s="1" customFormat="1">
      <c r="A251" s="27"/>
      <c r="B251" s="35"/>
      <c r="C251" s="35"/>
      <c r="D251" s="35"/>
      <c r="E251" s="35"/>
      <c r="F251" s="35"/>
      <c r="G251" s="35"/>
      <c r="H251" s="35"/>
      <c r="I251" s="35"/>
      <c r="J251" s="35"/>
      <c r="K251" s="35"/>
      <c r="L251" s="35"/>
      <c r="M251" s="35"/>
      <c r="N251" s="35"/>
      <c r="O251" s="35"/>
      <c r="P251" s="35"/>
      <c r="Q251" s="35"/>
      <c r="R251" s="154"/>
      <c r="S251" s="115"/>
      <c r="T251" s="155"/>
    </row>
    <row r="252" spans="1:20" s="1" customFormat="1">
      <c r="A252" s="104"/>
      <c r="B252" s="35"/>
      <c r="C252" s="35"/>
      <c r="D252" s="35"/>
      <c r="E252" s="35"/>
      <c r="F252" s="35"/>
      <c r="G252" s="35"/>
      <c r="H252" s="35"/>
      <c r="I252" s="35"/>
      <c r="J252" s="35"/>
      <c r="K252" s="35"/>
      <c r="L252" s="35"/>
      <c r="M252" s="35"/>
      <c r="N252" s="35"/>
      <c r="O252" s="35"/>
      <c r="P252" s="35"/>
      <c r="Q252" s="35"/>
      <c r="R252" s="154"/>
      <c r="S252" s="115"/>
      <c r="T252" s="155"/>
    </row>
    <row r="253" spans="1:20" s="1" customFormat="1">
      <c r="A253" s="104"/>
      <c r="B253" s="35"/>
      <c r="C253" s="35"/>
      <c r="D253" s="35"/>
      <c r="E253" s="35"/>
      <c r="F253" s="35"/>
      <c r="G253" s="35"/>
      <c r="H253" s="35"/>
      <c r="I253" s="35"/>
      <c r="J253" s="35"/>
      <c r="K253" s="35"/>
      <c r="L253" s="35"/>
      <c r="M253" s="35"/>
      <c r="N253" s="35"/>
      <c r="O253" s="35"/>
      <c r="P253" s="35"/>
      <c r="Q253" s="35"/>
      <c r="R253" s="154"/>
      <c r="S253" s="115"/>
      <c r="T253" s="155"/>
    </row>
    <row r="254" spans="1:20" s="1" customFormat="1">
      <c r="A254" s="104"/>
      <c r="B254" s="35"/>
      <c r="C254" s="35"/>
      <c r="D254" s="35"/>
      <c r="E254" s="35"/>
      <c r="F254" s="35"/>
      <c r="G254" s="35"/>
      <c r="H254" s="35"/>
      <c r="I254" s="35"/>
      <c r="J254" s="35"/>
      <c r="K254" s="35"/>
      <c r="L254" s="35"/>
      <c r="M254" s="35"/>
      <c r="N254" s="35"/>
      <c r="O254" s="35"/>
      <c r="P254" s="35"/>
      <c r="Q254" s="35"/>
      <c r="R254" s="154"/>
      <c r="S254" s="115"/>
      <c r="T254" s="155"/>
    </row>
    <row r="255" spans="1:20" s="1" customFormat="1">
      <c r="A255" s="104"/>
      <c r="B255" s="35"/>
      <c r="C255" s="35"/>
      <c r="D255" s="35"/>
      <c r="E255" s="35"/>
      <c r="F255" s="35"/>
      <c r="G255" s="35"/>
      <c r="H255" s="35"/>
      <c r="I255" s="35"/>
      <c r="J255" s="35"/>
      <c r="K255" s="35"/>
      <c r="L255" s="35"/>
      <c r="M255" s="35"/>
      <c r="N255" s="35"/>
      <c r="O255" s="35"/>
      <c r="P255" s="35"/>
      <c r="Q255" s="35"/>
      <c r="R255" s="154"/>
      <c r="S255" s="115"/>
      <c r="T255" s="155"/>
    </row>
    <row r="256" spans="1:20" s="1" customFormat="1">
      <c r="A256" s="104"/>
      <c r="B256" s="35"/>
      <c r="C256" s="35"/>
      <c r="D256" s="35"/>
      <c r="E256" s="35"/>
      <c r="F256" s="35"/>
      <c r="G256" s="35"/>
      <c r="H256" s="35"/>
      <c r="I256" s="35"/>
      <c r="J256" s="35"/>
      <c r="K256" s="35"/>
      <c r="L256" s="35"/>
      <c r="M256" s="35"/>
      <c r="N256" s="35"/>
      <c r="O256" s="35"/>
      <c r="P256" s="35"/>
      <c r="Q256" s="35"/>
      <c r="R256" s="154"/>
      <c r="S256" s="115"/>
      <c r="T256" s="155"/>
    </row>
    <row r="257" spans="1:20" s="1" customFormat="1">
      <c r="A257" s="104"/>
      <c r="B257" s="35"/>
      <c r="C257" s="35"/>
      <c r="D257" s="35"/>
      <c r="E257" s="35"/>
      <c r="F257" s="35"/>
      <c r="G257" s="35"/>
      <c r="H257" s="35"/>
      <c r="I257" s="35"/>
      <c r="J257" s="35"/>
      <c r="K257" s="35"/>
      <c r="L257" s="35"/>
      <c r="M257" s="35"/>
      <c r="N257" s="35"/>
      <c r="O257" s="35"/>
      <c r="P257" s="35"/>
      <c r="Q257" s="35"/>
      <c r="R257" s="154"/>
      <c r="S257" s="115"/>
      <c r="T257" s="155"/>
    </row>
    <row r="258" spans="1:20" s="1" customFormat="1">
      <c r="A258" s="104"/>
      <c r="B258" s="35"/>
      <c r="C258" s="35"/>
      <c r="D258" s="35"/>
      <c r="E258" s="35"/>
      <c r="F258" s="35"/>
      <c r="G258" s="35"/>
      <c r="H258" s="35"/>
      <c r="I258" s="35"/>
      <c r="J258" s="35"/>
      <c r="K258" s="35"/>
      <c r="L258" s="35"/>
      <c r="M258" s="35"/>
      <c r="N258" s="35"/>
      <c r="O258" s="35"/>
      <c r="P258" s="35"/>
      <c r="Q258" s="35"/>
      <c r="R258" s="154"/>
      <c r="S258" s="115"/>
      <c r="T258" s="155"/>
    </row>
    <row r="259" spans="1:20" s="12" customFormat="1">
      <c r="A259" s="99"/>
      <c r="B259" s="156"/>
      <c r="C259" s="156"/>
      <c r="D259" s="156"/>
      <c r="E259" s="156"/>
      <c r="F259" s="156"/>
      <c r="G259" s="156"/>
      <c r="H259" s="156"/>
      <c r="I259" s="156"/>
      <c r="J259" s="156"/>
      <c r="K259" s="156"/>
      <c r="L259" s="156"/>
      <c r="M259" s="156"/>
      <c r="N259" s="156"/>
      <c r="O259" s="156"/>
      <c r="P259" s="156"/>
      <c r="Q259" s="156"/>
      <c r="R259" s="157"/>
      <c r="S259" s="120"/>
      <c r="T259" s="158"/>
    </row>
    <row r="260" spans="1:20" s="1" customFormat="1">
      <c r="A260" s="104"/>
      <c r="B260" s="35"/>
      <c r="C260" s="35"/>
      <c r="D260" s="35"/>
      <c r="E260" s="35"/>
      <c r="F260" s="35"/>
      <c r="G260" s="35"/>
      <c r="H260" s="35"/>
      <c r="I260" s="35"/>
      <c r="J260" s="35"/>
      <c r="K260" s="35"/>
      <c r="L260" s="35"/>
      <c r="M260" s="35"/>
      <c r="N260" s="35"/>
      <c r="O260" s="35"/>
      <c r="P260" s="35"/>
      <c r="Q260" s="35"/>
      <c r="R260" s="154"/>
      <c r="S260" s="115"/>
      <c r="T260" s="155"/>
    </row>
    <row r="261" spans="1:20" s="1" customFormat="1">
      <c r="A261" s="104"/>
      <c r="B261" s="35"/>
      <c r="C261" s="35"/>
      <c r="D261" s="35"/>
      <c r="E261" s="35"/>
      <c r="F261" s="35"/>
      <c r="G261" s="35"/>
      <c r="H261" s="35"/>
      <c r="I261" s="35"/>
      <c r="J261" s="35"/>
      <c r="K261" s="35"/>
      <c r="L261" s="35"/>
      <c r="M261" s="35"/>
      <c r="N261" s="35"/>
      <c r="O261" s="35"/>
      <c r="P261" s="35"/>
      <c r="Q261" s="35"/>
      <c r="R261" s="154"/>
      <c r="S261" s="115"/>
      <c r="T261" s="155"/>
    </row>
    <row r="262" spans="1:20" s="1" customFormat="1">
      <c r="A262" s="104"/>
      <c r="B262" s="35"/>
      <c r="C262" s="35"/>
      <c r="D262" s="35"/>
      <c r="E262" s="35"/>
      <c r="F262" s="35"/>
      <c r="G262" s="35"/>
      <c r="H262" s="35"/>
      <c r="I262" s="35"/>
      <c r="J262" s="35"/>
      <c r="K262" s="35"/>
      <c r="L262" s="35"/>
      <c r="M262" s="35"/>
      <c r="N262" s="35"/>
      <c r="O262" s="35"/>
      <c r="P262" s="35"/>
      <c r="Q262" s="35"/>
      <c r="R262" s="154"/>
      <c r="S262" s="115"/>
      <c r="T262" s="155"/>
    </row>
    <row r="263" spans="1:20" s="1" customFormat="1">
      <c r="A263" s="104"/>
      <c r="B263" s="35"/>
      <c r="C263" s="35"/>
      <c r="D263" s="35"/>
      <c r="E263" s="35"/>
      <c r="F263" s="35"/>
      <c r="G263" s="35"/>
      <c r="H263" s="35"/>
      <c r="I263" s="35"/>
      <c r="J263" s="35"/>
      <c r="K263" s="35"/>
      <c r="L263" s="35"/>
      <c r="M263" s="35"/>
      <c r="N263" s="35"/>
      <c r="O263" s="35"/>
      <c r="P263" s="35"/>
      <c r="Q263" s="35"/>
      <c r="R263" s="154"/>
      <c r="S263" s="115"/>
      <c r="T263" s="155"/>
    </row>
    <row r="264" spans="1:20" s="1" customFormat="1">
      <c r="A264" s="104"/>
      <c r="B264" s="35"/>
      <c r="C264" s="35"/>
      <c r="D264" s="35"/>
      <c r="E264" s="35"/>
      <c r="F264" s="35"/>
      <c r="G264" s="35"/>
      <c r="H264" s="35"/>
      <c r="I264" s="35"/>
      <c r="J264" s="35"/>
      <c r="K264" s="35"/>
      <c r="L264" s="35"/>
      <c r="M264" s="35"/>
      <c r="N264" s="35"/>
      <c r="O264" s="35"/>
      <c r="P264" s="35"/>
      <c r="Q264" s="35"/>
      <c r="R264" s="154"/>
      <c r="S264" s="115"/>
      <c r="T264" s="155"/>
    </row>
    <row r="265" spans="1:20" s="1" customFormat="1">
      <c r="A265" s="104"/>
      <c r="B265" s="35"/>
      <c r="C265" s="35"/>
      <c r="D265" s="35"/>
      <c r="E265" s="35"/>
      <c r="F265" s="35"/>
      <c r="G265" s="35"/>
      <c r="H265" s="35"/>
      <c r="I265" s="35"/>
      <c r="J265" s="35"/>
      <c r="K265" s="35"/>
      <c r="L265" s="35"/>
      <c r="M265" s="35"/>
      <c r="N265" s="35"/>
      <c r="O265" s="35"/>
      <c r="P265" s="35"/>
      <c r="Q265" s="35"/>
      <c r="R265" s="154"/>
      <c r="S265" s="115"/>
      <c r="T265" s="155"/>
    </row>
    <row r="266" spans="1:20" s="1" customFormat="1">
      <c r="A266" s="104"/>
      <c r="B266" s="35"/>
      <c r="C266" s="35"/>
      <c r="D266" s="35"/>
      <c r="E266" s="35"/>
      <c r="F266" s="35"/>
      <c r="G266" s="35"/>
      <c r="H266" s="35"/>
      <c r="I266" s="35"/>
      <c r="J266" s="35"/>
      <c r="K266" s="35"/>
      <c r="L266" s="35"/>
      <c r="M266" s="35"/>
      <c r="N266" s="35"/>
      <c r="O266" s="35"/>
      <c r="P266" s="35"/>
      <c r="Q266" s="35"/>
      <c r="R266" s="154"/>
      <c r="S266" s="115"/>
      <c r="T266" s="155"/>
    </row>
    <row r="267" spans="1:20" s="1" customFormat="1">
      <c r="A267" s="104"/>
      <c r="B267" s="35"/>
      <c r="C267" s="35"/>
      <c r="D267" s="35"/>
      <c r="E267" s="35"/>
      <c r="F267" s="35"/>
      <c r="G267" s="35"/>
      <c r="H267" s="35"/>
      <c r="I267" s="35"/>
      <c r="J267" s="35"/>
      <c r="K267" s="35"/>
      <c r="L267" s="35"/>
      <c r="M267" s="35"/>
      <c r="N267" s="35"/>
      <c r="O267" s="35"/>
      <c r="P267" s="35"/>
      <c r="Q267" s="35"/>
      <c r="R267" s="154"/>
      <c r="S267" s="115"/>
      <c r="T267" s="155"/>
    </row>
    <row r="268" spans="1:20" s="1" customFormat="1">
      <c r="A268" s="104"/>
      <c r="B268" s="35"/>
      <c r="C268" s="35"/>
      <c r="D268" s="35"/>
      <c r="E268" s="35"/>
      <c r="F268" s="35"/>
      <c r="G268" s="35"/>
      <c r="H268" s="35"/>
      <c r="I268" s="35"/>
      <c r="J268" s="35"/>
      <c r="K268" s="35"/>
      <c r="L268" s="35"/>
      <c r="M268" s="35"/>
      <c r="N268" s="35"/>
      <c r="O268" s="35"/>
      <c r="P268" s="35"/>
      <c r="Q268" s="35"/>
      <c r="R268" s="154"/>
      <c r="S268" s="115"/>
      <c r="T268" s="155"/>
    </row>
    <row r="269" spans="1:20" s="1" customFormat="1">
      <c r="A269" s="104"/>
      <c r="B269" s="35"/>
      <c r="C269" s="35"/>
      <c r="D269" s="35"/>
      <c r="E269" s="35"/>
      <c r="F269" s="35"/>
      <c r="G269" s="35"/>
      <c r="H269" s="35"/>
      <c r="I269" s="35"/>
      <c r="J269" s="35"/>
      <c r="K269" s="35"/>
      <c r="L269" s="35"/>
      <c r="M269" s="35"/>
      <c r="N269" s="35"/>
      <c r="O269" s="35"/>
      <c r="P269" s="35"/>
      <c r="Q269" s="35"/>
      <c r="R269" s="154"/>
      <c r="S269" s="115"/>
      <c r="T269" s="155"/>
    </row>
    <row r="270" spans="1:20" s="1" customFormat="1">
      <c r="A270" s="104"/>
      <c r="B270" s="35"/>
      <c r="C270" s="35"/>
      <c r="D270" s="35"/>
      <c r="E270" s="35"/>
      <c r="F270" s="35"/>
      <c r="G270" s="35"/>
      <c r="H270" s="35"/>
      <c r="I270" s="35"/>
      <c r="J270" s="35"/>
      <c r="K270" s="35"/>
      <c r="L270" s="35"/>
      <c r="M270" s="35"/>
      <c r="N270" s="35"/>
      <c r="O270" s="35"/>
      <c r="P270" s="35"/>
      <c r="Q270" s="35"/>
      <c r="R270" s="154"/>
      <c r="S270" s="115"/>
      <c r="T270" s="155"/>
    </row>
    <row r="271" spans="1:20" s="12" customFormat="1">
      <c r="A271" s="99"/>
      <c r="B271" s="156"/>
      <c r="C271" s="156"/>
      <c r="D271" s="156"/>
      <c r="E271" s="156"/>
      <c r="F271" s="156"/>
      <c r="G271" s="156"/>
      <c r="H271" s="156"/>
      <c r="I271" s="156"/>
      <c r="J271" s="156"/>
      <c r="K271" s="156"/>
      <c r="L271" s="156"/>
      <c r="M271" s="156"/>
      <c r="N271" s="156"/>
      <c r="O271" s="156"/>
      <c r="P271" s="156"/>
      <c r="Q271" s="156"/>
      <c r="R271" s="157"/>
      <c r="S271" s="120"/>
      <c r="T271" s="158"/>
    </row>
    <row r="272" spans="1:20" s="1" customFormat="1">
      <c r="A272" s="104"/>
      <c r="B272" s="35"/>
      <c r="C272" s="35"/>
      <c r="D272" s="35"/>
      <c r="E272" s="35"/>
      <c r="F272" s="35"/>
      <c r="G272" s="35"/>
      <c r="H272" s="35"/>
      <c r="I272" s="35"/>
      <c r="J272" s="35"/>
      <c r="K272" s="35"/>
      <c r="L272" s="35"/>
      <c r="M272" s="35"/>
      <c r="N272" s="35"/>
      <c r="O272" s="35"/>
      <c r="P272" s="35"/>
      <c r="Q272" s="35"/>
      <c r="R272" s="154"/>
      <c r="S272" s="115"/>
      <c r="T272" s="155"/>
    </row>
    <row r="273" spans="1:20" s="1" customFormat="1">
      <c r="A273" s="99"/>
      <c r="B273" s="35"/>
      <c r="C273" s="35"/>
      <c r="D273" s="35"/>
      <c r="E273" s="35"/>
      <c r="F273" s="35"/>
      <c r="G273" s="35"/>
      <c r="H273" s="35"/>
      <c r="I273" s="35"/>
      <c r="J273" s="35"/>
      <c r="K273" s="35"/>
      <c r="L273" s="35"/>
      <c r="M273" s="35"/>
      <c r="N273" s="35"/>
      <c r="O273" s="35"/>
      <c r="P273" s="35"/>
      <c r="Q273" s="35"/>
      <c r="R273" s="154"/>
      <c r="S273" s="115"/>
      <c r="T273" s="155"/>
    </row>
    <row r="274" spans="1:20" s="1" customFormat="1">
      <c r="A274" s="32"/>
      <c r="B274" s="159"/>
      <c r="C274" s="160"/>
      <c r="D274" s="160"/>
      <c r="E274" s="160"/>
      <c r="F274" s="160"/>
      <c r="G274" s="160"/>
      <c r="H274" s="160"/>
      <c r="I274" s="160"/>
      <c r="J274" s="160"/>
      <c r="K274" s="160"/>
      <c r="L274" s="160"/>
      <c r="M274" s="160"/>
      <c r="N274" s="160"/>
      <c r="O274" s="160"/>
      <c r="P274" s="160"/>
      <c r="Q274" s="160"/>
      <c r="R274" s="160"/>
      <c r="S274" s="122"/>
      <c r="T274" s="122"/>
    </row>
    <row r="275" spans="1:20" s="1" customFormat="1">
      <c r="A275" s="32"/>
      <c r="B275" s="159"/>
      <c r="C275" s="160"/>
      <c r="D275" s="160"/>
      <c r="E275" s="160"/>
      <c r="F275" s="160"/>
      <c r="G275" s="160"/>
      <c r="H275" s="160"/>
      <c r="I275" s="160"/>
      <c r="J275" s="160"/>
      <c r="K275" s="160"/>
      <c r="L275" s="160"/>
      <c r="M275" s="160"/>
      <c r="N275" s="160"/>
      <c r="O275" s="160"/>
      <c r="P275" s="160"/>
      <c r="Q275" s="160"/>
      <c r="R275" s="160"/>
      <c r="S275" s="122"/>
      <c r="T275" s="122"/>
    </row>
    <row r="276" spans="1:20" s="1" customFormat="1">
      <c r="A276" s="32"/>
      <c r="B276" s="159"/>
      <c r="C276" s="160"/>
      <c r="D276" s="160"/>
      <c r="E276" s="160"/>
      <c r="F276" s="160"/>
      <c r="G276" s="160"/>
      <c r="H276" s="160"/>
      <c r="I276" s="160"/>
      <c r="J276" s="160"/>
      <c r="K276" s="160"/>
      <c r="L276" s="160"/>
      <c r="M276" s="160"/>
      <c r="N276" s="160"/>
      <c r="O276" s="160"/>
      <c r="P276" s="160"/>
      <c r="Q276" s="160"/>
      <c r="R276" s="160"/>
      <c r="S276" s="122"/>
      <c r="T276" s="122"/>
    </row>
    <row r="277" spans="1:20" s="1" customFormat="1">
      <c r="A277" s="32"/>
      <c r="B277" s="159"/>
      <c r="C277" s="160"/>
      <c r="D277" s="160"/>
      <c r="E277" s="160"/>
      <c r="F277" s="160"/>
      <c r="G277" s="160"/>
      <c r="H277" s="160"/>
      <c r="I277" s="160"/>
      <c r="J277" s="160"/>
      <c r="K277" s="160"/>
      <c r="L277" s="160"/>
      <c r="M277" s="160"/>
      <c r="N277" s="160"/>
      <c r="O277" s="160"/>
      <c r="P277" s="160"/>
      <c r="Q277" s="160"/>
      <c r="R277" s="160"/>
      <c r="S277" s="122"/>
      <c r="T277" s="122"/>
    </row>
    <row r="278" spans="1:20" s="1" customFormat="1">
      <c r="A278" s="32"/>
      <c r="B278" s="159"/>
      <c r="C278" s="160"/>
      <c r="D278" s="160"/>
      <c r="E278" s="160"/>
      <c r="F278" s="160"/>
      <c r="G278" s="160"/>
      <c r="H278" s="160"/>
      <c r="I278" s="160"/>
      <c r="J278" s="160"/>
      <c r="K278" s="160"/>
      <c r="L278" s="160"/>
      <c r="M278" s="160"/>
      <c r="N278" s="160"/>
      <c r="O278" s="160"/>
      <c r="P278" s="160"/>
      <c r="Q278" s="160"/>
      <c r="R278" s="160"/>
      <c r="S278" s="122"/>
      <c r="T278" s="122"/>
    </row>
    <row r="279" spans="1:20" s="1" customFormat="1">
      <c r="A279" s="32"/>
      <c r="B279" s="159"/>
      <c r="C279" s="160"/>
      <c r="D279" s="160"/>
      <c r="E279" s="160"/>
      <c r="F279" s="160"/>
      <c r="G279" s="160"/>
      <c r="H279" s="160"/>
      <c r="I279" s="160"/>
      <c r="J279" s="160"/>
      <c r="K279" s="160"/>
      <c r="L279" s="160"/>
      <c r="M279" s="160"/>
      <c r="N279" s="160"/>
      <c r="O279" s="160"/>
      <c r="P279" s="160"/>
      <c r="Q279" s="160"/>
      <c r="R279" s="160"/>
      <c r="S279" s="122"/>
      <c r="T279" s="122"/>
    </row>
    <row r="280" spans="1:20" s="1" customFormat="1">
      <c r="A280" s="32"/>
      <c r="B280" s="159"/>
      <c r="C280" s="160"/>
      <c r="D280" s="160"/>
      <c r="E280" s="160"/>
      <c r="F280" s="160"/>
      <c r="G280" s="160"/>
      <c r="H280" s="160"/>
      <c r="I280" s="160"/>
      <c r="J280" s="160"/>
      <c r="K280" s="160"/>
      <c r="L280" s="160"/>
      <c r="M280" s="160"/>
      <c r="N280" s="160"/>
      <c r="O280" s="160"/>
      <c r="P280" s="160"/>
      <c r="Q280" s="160"/>
      <c r="R280" s="160"/>
      <c r="S280" s="122"/>
      <c r="T280" s="122"/>
    </row>
    <row r="281" spans="1:20" s="1" customFormat="1">
      <c r="A281" s="32"/>
      <c r="B281" s="159"/>
      <c r="C281" s="160"/>
      <c r="D281" s="160"/>
      <c r="E281" s="160"/>
      <c r="F281" s="160"/>
      <c r="G281" s="160"/>
      <c r="H281" s="160"/>
      <c r="I281" s="160"/>
      <c r="J281" s="160"/>
      <c r="K281" s="160"/>
      <c r="L281" s="160"/>
      <c r="M281" s="160"/>
      <c r="N281" s="160"/>
      <c r="O281" s="160"/>
      <c r="P281" s="160"/>
      <c r="Q281" s="160"/>
      <c r="R281" s="160"/>
      <c r="S281" s="122"/>
      <c r="T281" s="122"/>
    </row>
    <row r="282" spans="1:20" s="1" customFormat="1">
      <c r="A282" s="32"/>
      <c r="B282" s="159"/>
      <c r="C282" s="160"/>
      <c r="D282" s="160"/>
      <c r="E282" s="160"/>
      <c r="F282" s="160"/>
      <c r="G282" s="160"/>
      <c r="H282" s="160"/>
      <c r="I282" s="160"/>
      <c r="J282" s="160"/>
      <c r="K282" s="160"/>
      <c r="L282" s="160"/>
      <c r="M282" s="160"/>
      <c r="N282" s="160"/>
      <c r="O282" s="160"/>
      <c r="P282" s="160"/>
      <c r="Q282" s="160"/>
      <c r="R282" s="160"/>
      <c r="S282" s="122"/>
      <c r="T282" s="122"/>
    </row>
    <row r="283" spans="1:20" s="1" customFormat="1">
      <c r="A283" s="32"/>
      <c r="B283" s="159"/>
      <c r="C283" s="160"/>
      <c r="D283" s="160"/>
      <c r="E283" s="160"/>
      <c r="F283" s="160"/>
      <c r="G283" s="160"/>
      <c r="H283" s="160"/>
      <c r="I283" s="160"/>
      <c r="J283" s="160"/>
      <c r="K283" s="160"/>
      <c r="L283" s="160"/>
      <c r="M283" s="160"/>
      <c r="N283" s="160"/>
      <c r="O283" s="160"/>
      <c r="P283" s="160"/>
      <c r="Q283" s="160"/>
      <c r="R283" s="160"/>
      <c r="S283" s="122"/>
      <c r="T283" s="122"/>
    </row>
    <row r="284" spans="1:20" s="1" customFormat="1">
      <c r="A284" s="32"/>
      <c r="B284" s="159"/>
      <c r="C284" s="160"/>
      <c r="D284" s="160"/>
      <c r="E284" s="160"/>
      <c r="F284" s="160"/>
      <c r="G284" s="160"/>
      <c r="H284" s="160"/>
      <c r="I284" s="160"/>
      <c r="J284" s="160"/>
      <c r="K284" s="160"/>
      <c r="L284" s="160"/>
      <c r="M284" s="160"/>
      <c r="N284" s="160"/>
      <c r="O284" s="160"/>
      <c r="P284" s="160"/>
      <c r="Q284" s="160"/>
      <c r="R284" s="160"/>
      <c r="S284" s="122"/>
      <c r="T284" s="122"/>
    </row>
    <row r="285" spans="1:20" s="1" customFormat="1">
      <c r="A285" s="32"/>
      <c r="B285" s="159"/>
      <c r="C285" s="160"/>
      <c r="D285" s="160"/>
      <c r="E285" s="160"/>
      <c r="F285" s="160"/>
      <c r="G285" s="160"/>
      <c r="H285" s="160"/>
      <c r="I285" s="160"/>
      <c r="J285" s="160"/>
      <c r="K285" s="160"/>
      <c r="L285" s="160"/>
      <c r="M285" s="160"/>
      <c r="N285" s="160"/>
      <c r="O285" s="160"/>
      <c r="P285" s="160"/>
      <c r="Q285" s="160"/>
      <c r="R285" s="160"/>
      <c r="S285" s="122"/>
      <c r="T285" s="122"/>
    </row>
    <row r="286" spans="1:20" s="1" customFormat="1">
      <c r="A286" s="32"/>
      <c r="B286" s="159"/>
      <c r="C286" s="160"/>
      <c r="D286" s="160"/>
      <c r="E286" s="160"/>
      <c r="F286" s="160"/>
      <c r="G286" s="160"/>
      <c r="H286" s="160"/>
      <c r="I286" s="160"/>
      <c r="J286" s="160"/>
      <c r="K286" s="160"/>
      <c r="L286" s="160"/>
      <c r="M286" s="160"/>
      <c r="N286" s="160"/>
      <c r="O286" s="160"/>
      <c r="P286" s="160"/>
      <c r="Q286" s="160"/>
      <c r="R286" s="160"/>
      <c r="S286" s="122"/>
      <c r="T286" s="122"/>
    </row>
    <row r="287" spans="1:20" s="1" customFormat="1">
      <c r="A287" s="32"/>
      <c r="B287" s="159"/>
      <c r="C287" s="160"/>
      <c r="D287" s="160"/>
      <c r="E287" s="160"/>
      <c r="F287" s="160"/>
      <c r="G287" s="160"/>
      <c r="H287" s="160"/>
      <c r="I287" s="160"/>
      <c r="J287" s="160"/>
      <c r="K287" s="160"/>
      <c r="L287" s="160"/>
      <c r="M287" s="160"/>
      <c r="N287" s="160"/>
      <c r="O287" s="160"/>
      <c r="P287" s="160"/>
      <c r="Q287" s="160"/>
      <c r="R287" s="160"/>
      <c r="S287" s="122"/>
      <c r="T287" s="122"/>
    </row>
    <row r="288" spans="1:20" s="1" customFormat="1">
      <c r="A288" s="32"/>
      <c r="B288" s="159"/>
      <c r="C288" s="160"/>
      <c r="D288" s="160"/>
      <c r="E288" s="160"/>
      <c r="F288" s="160"/>
      <c r="G288" s="160"/>
      <c r="H288" s="160"/>
      <c r="I288" s="160"/>
      <c r="J288" s="160"/>
      <c r="K288" s="160"/>
      <c r="L288" s="160"/>
      <c r="M288" s="160"/>
      <c r="N288" s="160"/>
      <c r="O288" s="160"/>
      <c r="P288" s="160"/>
      <c r="Q288" s="160"/>
      <c r="R288" s="160"/>
      <c r="S288" s="122"/>
      <c r="T288" s="122"/>
    </row>
    <row r="289" spans="1:20" s="1" customFormat="1">
      <c r="A289" s="32"/>
      <c r="B289" s="159"/>
      <c r="C289" s="160"/>
      <c r="D289" s="160"/>
      <c r="E289" s="160"/>
      <c r="F289" s="160"/>
      <c r="G289" s="160"/>
      <c r="H289" s="160"/>
      <c r="I289" s="160"/>
      <c r="J289" s="160"/>
      <c r="K289" s="160"/>
      <c r="L289" s="160"/>
      <c r="M289" s="160"/>
      <c r="N289" s="160"/>
      <c r="O289" s="160"/>
      <c r="P289" s="160"/>
      <c r="Q289" s="160"/>
      <c r="R289" s="160"/>
      <c r="S289" s="122"/>
      <c r="T289" s="122"/>
    </row>
    <row r="290" spans="1:20" s="1" customFormat="1">
      <c r="A290" s="32"/>
      <c r="B290" s="159"/>
      <c r="C290" s="160"/>
      <c r="D290" s="160"/>
      <c r="E290" s="160"/>
      <c r="F290" s="160"/>
      <c r="G290" s="160"/>
      <c r="H290" s="160"/>
      <c r="I290" s="160"/>
      <c r="J290" s="160"/>
      <c r="K290" s="160"/>
      <c r="L290" s="160"/>
      <c r="M290" s="160"/>
      <c r="N290" s="160"/>
      <c r="O290" s="160"/>
      <c r="P290" s="160"/>
      <c r="Q290" s="160"/>
      <c r="R290" s="160"/>
      <c r="S290" s="122"/>
      <c r="T290" s="122"/>
    </row>
    <row r="291" spans="1:20" s="1" customFormat="1">
      <c r="A291" s="32"/>
      <c r="B291" s="159"/>
      <c r="C291" s="160"/>
      <c r="D291" s="160"/>
      <c r="E291" s="160"/>
      <c r="F291" s="160"/>
      <c r="G291" s="160"/>
      <c r="H291" s="160"/>
      <c r="I291" s="160"/>
      <c r="J291" s="160"/>
      <c r="K291" s="160"/>
      <c r="L291" s="160"/>
      <c r="M291" s="160"/>
      <c r="N291" s="160"/>
      <c r="O291" s="160"/>
      <c r="P291" s="160"/>
      <c r="Q291" s="160"/>
      <c r="R291" s="160"/>
      <c r="S291" s="122"/>
      <c r="T291" s="122"/>
    </row>
    <row r="292" spans="1:20" s="1" customFormat="1">
      <c r="A292" s="32"/>
      <c r="B292" s="159"/>
      <c r="C292" s="160"/>
      <c r="D292" s="160"/>
      <c r="E292" s="160"/>
      <c r="F292" s="160"/>
      <c r="G292" s="160"/>
      <c r="H292" s="160"/>
      <c r="I292" s="160"/>
      <c r="J292" s="160"/>
      <c r="K292" s="160"/>
      <c r="L292" s="160"/>
      <c r="M292" s="160"/>
      <c r="N292" s="160"/>
      <c r="O292" s="160"/>
      <c r="P292" s="160"/>
      <c r="Q292" s="160"/>
      <c r="R292" s="160"/>
      <c r="S292" s="122"/>
      <c r="T292" s="122"/>
    </row>
    <row r="293" spans="1:20" s="1" customFormat="1">
      <c r="A293" s="32"/>
      <c r="B293" s="159"/>
      <c r="C293" s="160"/>
      <c r="D293" s="160"/>
      <c r="E293" s="160"/>
      <c r="F293" s="160"/>
      <c r="G293" s="160"/>
      <c r="H293" s="160"/>
      <c r="I293" s="160"/>
      <c r="J293" s="160"/>
      <c r="K293" s="160"/>
      <c r="L293" s="160"/>
      <c r="M293" s="160"/>
      <c r="N293" s="160"/>
      <c r="O293" s="160"/>
      <c r="P293" s="160"/>
      <c r="Q293" s="160"/>
      <c r="R293" s="160"/>
      <c r="S293" s="122"/>
      <c r="T293" s="122"/>
    </row>
    <row r="294" spans="1:20" s="1" customFormat="1">
      <c r="A294" s="32"/>
      <c r="B294" s="159"/>
      <c r="C294" s="160"/>
      <c r="D294" s="160"/>
      <c r="E294" s="160"/>
      <c r="F294" s="160"/>
      <c r="G294" s="160"/>
      <c r="H294" s="160"/>
      <c r="I294" s="160"/>
      <c r="J294" s="160"/>
      <c r="K294" s="160"/>
      <c r="L294" s="160"/>
      <c r="M294" s="160"/>
      <c r="N294" s="160"/>
      <c r="O294" s="160"/>
      <c r="P294" s="160"/>
      <c r="Q294" s="160"/>
      <c r="R294" s="160"/>
      <c r="S294" s="122"/>
      <c r="T294" s="122"/>
    </row>
    <row r="295" spans="1:20" s="1" customFormat="1">
      <c r="A295" s="32"/>
      <c r="B295" s="159"/>
      <c r="C295" s="160"/>
      <c r="D295" s="160"/>
      <c r="E295" s="160"/>
      <c r="F295" s="160"/>
      <c r="G295" s="160"/>
      <c r="H295" s="160"/>
      <c r="I295" s="160"/>
      <c r="J295" s="160"/>
      <c r="K295" s="160"/>
      <c r="L295" s="160"/>
      <c r="M295" s="160"/>
      <c r="N295" s="160"/>
      <c r="O295" s="160"/>
      <c r="P295" s="160"/>
      <c r="Q295" s="160"/>
      <c r="R295" s="160"/>
      <c r="S295" s="122"/>
      <c r="T295" s="122"/>
    </row>
    <row r="296" spans="1:20" s="1" customFormat="1">
      <c r="A296" s="32"/>
      <c r="B296" s="159"/>
      <c r="C296" s="160"/>
      <c r="D296" s="160"/>
      <c r="E296" s="160"/>
      <c r="F296" s="160"/>
      <c r="G296" s="160"/>
      <c r="H296" s="160"/>
      <c r="I296" s="160"/>
      <c r="J296" s="160"/>
      <c r="K296" s="160"/>
      <c r="L296" s="160"/>
      <c r="M296" s="160"/>
      <c r="N296" s="160"/>
      <c r="O296" s="160"/>
      <c r="P296" s="160"/>
      <c r="Q296" s="160"/>
      <c r="R296" s="160"/>
      <c r="S296" s="122"/>
      <c r="T296" s="122"/>
    </row>
    <row r="297" spans="1:20" s="1" customFormat="1">
      <c r="A297" s="32"/>
      <c r="B297" s="159"/>
      <c r="C297" s="160"/>
      <c r="D297" s="160"/>
      <c r="E297" s="160"/>
      <c r="F297" s="160"/>
      <c r="G297" s="160"/>
      <c r="H297" s="160"/>
      <c r="I297" s="160"/>
      <c r="J297" s="160"/>
      <c r="K297" s="160"/>
      <c r="L297" s="160"/>
      <c r="M297" s="160"/>
      <c r="N297" s="160"/>
      <c r="O297" s="160"/>
      <c r="P297" s="160"/>
      <c r="Q297" s="160"/>
      <c r="R297" s="160"/>
      <c r="S297" s="122"/>
      <c r="T297" s="122"/>
    </row>
    <row r="298" spans="1:20" s="1" customFormat="1">
      <c r="A298" s="32"/>
      <c r="B298" s="159"/>
      <c r="C298" s="160"/>
      <c r="D298" s="160"/>
      <c r="E298" s="160"/>
      <c r="F298" s="160"/>
      <c r="G298" s="160"/>
      <c r="H298" s="160"/>
      <c r="I298" s="160"/>
      <c r="J298" s="160"/>
      <c r="K298" s="160"/>
      <c r="L298" s="160"/>
      <c r="M298" s="160"/>
      <c r="N298" s="160"/>
      <c r="O298" s="160"/>
      <c r="P298" s="160"/>
      <c r="Q298" s="160"/>
      <c r="R298" s="160"/>
      <c r="S298" s="122"/>
      <c r="T298" s="122"/>
    </row>
    <row r="299" spans="1:20" s="1" customFormat="1">
      <c r="A299" s="32"/>
      <c r="B299" s="159"/>
      <c r="C299" s="160"/>
      <c r="D299" s="160"/>
      <c r="E299" s="160"/>
      <c r="F299" s="160"/>
      <c r="G299" s="160"/>
      <c r="H299" s="160"/>
      <c r="I299" s="160"/>
      <c r="J299" s="160"/>
      <c r="K299" s="160"/>
      <c r="L299" s="160"/>
      <c r="M299" s="160"/>
      <c r="N299" s="160"/>
      <c r="O299" s="160"/>
      <c r="P299" s="160"/>
      <c r="Q299" s="160"/>
      <c r="R299" s="160"/>
      <c r="S299" s="122"/>
      <c r="T299" s="122"/>
    </row>
    <row r="300" spans="1:20" s="1" customFormat="1">
      <c r="A300" s="32"/>
      <c r="B300" s="159"/>
      <c r="C300" s="160"/>
      <c r="D300" s="160"/>
      <c r="E300" s="160"/>
      <c r="F300" s="160"/>
      <c r="G300" s="160"/>
      <c r="H300" s="160"/>
      <c r="I300" s="160"/>
      <c r="J300" s="160"/>
      <c r="K300" s="160"/>
      <c r="L300" s="160"/>
      <c r="M300" s="160"/>
      <c r="N300" s="160"/>
      <c r="O300" s="160"/>
      <c r="P300" s="160"/>
      <c r="Q300" s="160"/>
      <c r="R300" s="160"/>
      <c r="S300" s="122"/>
      <c r="T300" s="122"/>
    </row>
    <row r="301" spans="1:20" s="1" customFormat="1">
      <c r="A301" s="32"/>
      <c r="B301" s="159"/>
      <c r="C301" s="160"/>
      <c r="D301" s="160"/>
      <c r="E301" s="160"/>
      <c r="F301" s="160"/>
      <c r="G301" s="160"/>
      <c r="H301" s="160"/>
      <c r="I301" s="160"/>
      <c r="J301" s="160"/>
      <c r="K301" s="160"/>
      <c r="L301" s="160"/>
      <c r="M301" s="160"/>
      <c r="N301" s="160"/>
      <c r="O301" s="160"/>
      <c r="P301" s="160"/>
      <c r="Q301" s="160"/>
      <c r="R301" s="160"/>
      <c r="S301" s="122"/>
      <c r="T301" s="122"/>
    </row>
    <row r="302" spans="1:20" s="1" customFormat="1">
      <c r="A302" s="32"/>
      <c r="B302" s="159"/>
      <c r="C302" s="160"/>
      <c r="D302" s="160"/>
      <c r="E302" s="160"/>
      <c r="F302" s="160"/>
      <c r="G302" s="160"/>
      <c r="H302" s="160"/>
      <c r="I302" s="160"/>
      <c r="J302" s="160"/>
      <c r="K302" s="160"/>
      <c r="L302" s="160"/>
      <c r="M302" s="160"/>
      <c r="N302" s="160"/>
      <c r="O302" s="160"/>
      <c r="P302" s="160"/>
      <c r="Q302" s="160"/>
      <c r="R302" s="160"/>
      <c r="S302" s="122"/>
      <c r="T302" s="122"/>
    </row>
    <row r="303" spans="1:20" s="1" customFormat="1">
      <c r="A303" s="32"/>
      <c r="B303" s="159"/>
      <c r="C303" s="160"/>
      <c r="D303" s="160"/>
      <c r="E303" s="160"/>
      <c r="F303" s="160"/>
      <c r="G303" s="160"/>
      <c r="H303" s="160"/>
      <c r="I303" s="160"/>
      <c r="J303" s="160"/>
      <c r="K303" s="160"/>
      <c r="L303" s="160"/>
      <c r="M303" s="160"/>
      <c r="N303" s="160"/>
      <c r="O303" s="160"/>
      <c r="P303" s="160"/>
      <c r="Q303" s="160"/>
      <c r="R303" s="160"/>
      <c r="S303" s="122"/>
      <c r="T303" s="122"/>
    </row>
    <row r="304" spans="1:20" s="1" customFormat="1">
      <c r="A304" s="32"/>
      <c r="B304" s="159"/>
      <c r="C304" s="160"/>
      <c r="D304" s="160"/>
      <c r="E304" s="160"/>
      <c r="F304" s="160"/>
      <c r="G304" s="160"/>
      <c r="H304" s="160"/>
      <c r="I304" s="160"/>
      <c r="J304" s="160"/>
      <c r="K304" s="160"/>
      <c r="L304" s="160"/>
      <c r="M304" s="160"/>
      <c r="N304" s="160"/>
      <c r="O304" s="160"/>
      <c r="P304" s="160"/>
      <c r="Q304" s="160"/>
      <c r="R304" s="160"/>
      <c r="S304" s="122"/>
      <c r="T304" s="122"/>
    </row>
    <row r="305" spans="1:20" s="1" customFormat="1">
      <c r="A305" s="32"/>
      <c r="B305" s="159"/>
      <c r="C305" s="160"/>
      <c r="D305" s="160"/>
      <c r="E305" s="160"/>
      <c r="F305" s="160"/>
      <c r="G305" s="160"/>
      <c r="H305" s="160"/>
      <c r="I305" s="160"/>
      <c r="J305" s="160"/>
      <c r="K305" s="160"/>
      <c r="L305" s="160"/>
      <c r="M305" s="160"/>
      <c r="N305" s="160"/>
      <c r="O305" s="160"/>
      <c r="P305" s="160"/>
      <c r="Q305" s="160"/>
      <c r="R305" s="160"/>
      <c r="S305" s="122"/>
      <c r="T305" s="122"/>
    </row>
    <row r="306" spans="1:20" s="1" customFormat="1">
      <c r="A306" s="32"/>
      <c r="B306" s="159"/>
      <c r="C306" s="160"/>
      <c r="D306" s="160"/>
      <c r="E306" s="160"/>
      <c r="F306" s="160"/>
      <c r="G306" s="160"/>
      <c r="H306" s="160"/>
      <c r="I306" s="160"/>
      <c r="J306" s="160"/>
      <c r="K306" s="160"/>
      <c r="L306" s="160"/>
      <c r="M306" s="160"/>
      <c r="N306" s="160"/>
      <c r="O306" s="160"/>
      <c r="P306" s="160"/>
      <c r="Q306" s="160"/>
      <c r="R306" s="160"/>
      <c r="S306" s="122"/>
      <c r="T306" s="122"/>
    </row>
    <row r="307" spans="1:20" s="1" customFormat="1">
      <c r="A307" s="32"/>
      <c r="B307" s="159"/>
      <c r="C307" s="160"/>
      <c r="D307" s="160"/>
      <c r="E307" s="160"/>
      <c r="F307" s="160"/>
      <c r="G307" s="160"/>
      <c r="H307" s="160"/>
      <c r="I307" s="160"/>
      <c r="J307" s="160"/>
      <c r="K307" s="160"/>
      <c r="L307" s="160"/>
      <c r="M307" s="160"/>
      <c r="N307" s="160"/>
      <c r="O307" s="160"/>
      <c r="P307" s="160"/>
      <c r="Q307" s="160"/>
      <c r="R307" s="160"/>
      <c r="S307" s="122"/>
      <c r="T307" s="122"/>
    </row>
    <row r="308" spans="1:20" s="1" customFormat="1">
      <c r="A308" s="32"/>
      <c r="B308" s="159"/>
      <c r="C308" s="160"/>
      <c r="D308" s="160"/>
      <c r="E308" s="160"/>
      <c r="F308" s="160"/>
      <c r="G308" s="160"/>
      <c r="H308" s="160"/>
      <c r="I308" s="160"/>
      <c r="J308" s="160"/>
      <c r="K308" s="160"/>
      <c r="L308" s="160"/>
      <c r="M308" s="160"/>
      <c r="N308" s="160"/>
      <c r="O308" s="160"/>
      <c r="P308" s="160"/>
      <c r="Q308" s="160"/>
      <c r="R308" s="160"/>
      <c r="S308" s="122"/>
      <c r="T308" s="122"/>
    </row>
    <row r="309" spans="1:20" s="1" customFormat="1">
      <c r="A309" s="32"/>
      <c r="B309" s="159"/>
      <c r="C309" s="160"/>
      <c r="D309" s="160"/>
      <c r="E309" s="160"/>
      <c r="F309" s="160"/>
      <c r="G309" s="160"/>
      <c r="H309" s="160"/>
      <c r="I309" s="160"/>
      <c r="J309" s="160"/>
      <c r="K309" s="160"/>
      <c r="L309" s="160"/>
      <c r="M309" s="160"/>
      <c r="N309" s="160"/>
      <c r="O309" s="160"/>
      <c r="P309" s="160"/>
      <c r="Q309" s="160"/>
      <c r="R309" s="160"/>
      <c r="S309" s="122"/>
      <c r="T309" s="122"/>
    </row>
    <row r="310" spans="1:20" s="1" customFormat="1">
      <c r="A310" s="32"/>
      <c r="B310" s="159"/>
      <c r="C310" s="160"/>
      <c r="D310" s="160"/>
      <c r="E310" s="160"/>
      <c r="F310" s="160"/>
      <c r="G310" s="160"/>
      <c r="H310" s="160"/>
      <c r="I310" s="160"/>
      <c r="J310" s="160"/>
      <c r="K310" s="160"/>
      <c r="L310" s="160"/>
      <c r="M310" s="160"/>
      <c r="N310" s="160"/>
      <c r="O310" s="160"/>
      <c r="P310" s="160"/>
      <c r="Q310" s="160"/>
      <c r="R310" s="160"/>
      <c r="S310" s="122"/>
      <c r="T310" s="122"/>
    </row>
    <row r="311" spans="1:20" s="1" customFormat="1">
      <c r="A311" s="32"/>
      <c r="B311" s="159"/>
      <c r="C311" s="160"/>
      <c r="D311" s="160"/>
      <c r="E311" s="160"/>
      <c r="F311" s="160"/>
      <c r="G311" s="160"/>
      <c r="H311" s="160"/>
      <c r="I311" s="160"/>
      <c r="J311" s="160"/>
      <c r="K311" s="160"/>
      <c r="L311" s="160"/>
      <c r="M311" s="160"/>
      <c r="N311" s="160"/>
      <c r="O311" s="160"/>
      <c r="P311" s="160"/>
      <c r="Q311" s="160"/>
      <c r="R311" s="160"/>
      <c r="S311" s="122"/>
      <c r="T311" s="122"/>
    </row>
    <row r="312" spans="1:20" s="1" customFormat="1">
      <c r="A312" s="32"/>
      <c r="B312" s="159"/>
      <c r="C312" s="160"/>
      <c r="D312" s="160"/>
      <c r="E312" s="160"/>
      <c r="F312" s="160"/>
      <c r="G312" s="160"/>
      <c r="H312" s="160"/>
      <c r="I312" s="160"/>
      <c r="J312" s="160"/>
      <c r="K312" s="160"/>
      <c r="L312" s="160"/>
      <c r="M312" s="160"/>
      <c r="N312" s="160"/>
      <c r="O312" s="160"/>
      <c r="P312" s="160"/>
      <c r="Q312" s="160"/>
      <c r="R312" s="160"/>
      <c r="S312" s="122"/>
      <c r="T312" s="122"/>
    </row>
    <row r="313" spans="1:20" s="1" customFormat="1">
      <c r="A313" s="32"/>
      <c r="B313" s="159"/>
      <c r="C313" s="160"/>
      <c r="D313" s="160"/>
      <c r="E313" s="160"/>
      <c r="F313" s="160"/>
      <c r="G313" s="160"/>
      <c r="H313" s="160"/>
      <c r="I313" s="160"/>
      <c r="J313" s="160"/>
      <c r="K313" s="160"/>
      <c r="L313" s="160"/>
      <c r="M313" s="160"/>
      <c r="N313" s="160"/>
      <c r="O313" s="160"/>
      <c r="P313" s="160"/>
      <c r="Q313" s="160"/>
      <c r="R313" s="160"/>
      <c r="S313" s="122"/>
      <c r="T313" s="122"/>
    </row>
    <row r="314" spans="1:20" s="1" customFormat="1">
      <c r="A314" s="32"/>
      <c r="B314" s="159"/>
      <c r="C314" s="160"/>
      <c r="D314" s="160"/>
      <c r="E314" s="160"/>
      <c r="F314" s="160"/>
      <c r="G314" s="160"/>
      <c r="H314" s="160"/>
      <c r="I314" s="160"/>
      <c r="J314" s="160"/>
      <c r="K314" s="160"/>
      <c r="L314" s="160"/>
      <c r="M314" s="160"/>
      <c r="N314" s="160"/>
      <c r="O314" s="160"/>
      <c r="P314" s="160"/>
      <c r="Q314" s="160"/>
      <c r="R314" s="160"/>
      <c r="S314" s="122"/>
      <c r="T314" s="122"/>
    </row>
    <row r="315" spans="1:20" s="1" customFormat="1">
      <c r="A315" s="32"/>
      <c r="B315" s="159"/>
      <c r="C315" s="160"/>
      <c r="D315" s="160"/>
      <c r="E315" s="160"/>
      <c r="F315" s="160"/>
      <c r="G315" s="160"/>
      <c r="H315" s="160"/>
      <c r="I315" s="160"/>
      <c r="J315" s="160"/>
      <c r="K315" s="160"/>
      <c r="L315" s="160"/>
      <c r="M315" s="160"/>
      <c r="N315" s="160"/>
      <c r="O315" s="160"/>
      <c r="P315" s="160"/>
      <c r="Q315" s="160"/>
      <c r="R315" s="160"/>
      <c r="S315" s="122"/>
      <c r="T315" s="122"/>
    </row>
    <row r="316" spans="1:20" s="1" customFormat="1">
      <c r="A316" s="32"/>
      <c r="B316" s="159"/>
      <c r="C316" s="160"/>
      <c r="D316" s="160"/>
      <c r="E316" s="160"/>
      <c r="F316" s="160"/>
      <c r="G316" s="160"/>
      <c r="H316" s="160"/>
      <c r="I316" s="160"/>
      <c r="J316" s="160"/>
      <c r="K316" s="160"/>
      <c r="L316" s="160"/>
      <c r="M316" s="160"/>
      <c r="N316" s="160"/>
      <c r="O316" s="160"/>
      <c r="P316" s="160"/>
      <c r="Q316" s="160"/>
      <c r="R316" s="160"/>
      <c r="S316" s="122"/>
      <c r="T316" s="122"/>
    </row>
    <row r="317" spans="1:20" s="1" customFormat="1">
      <c r="A317" s="32"/>
      <c r="B317" s="159"/>
      <c r="C317" s="160"/>
      <c r="D317" s="160"/>
      <c r="E317" s="160"/>
      <c r="F317" s="160"/>
      <c r="G317" s="160"/>
      <c r="H317" s="160"/>
      <c r="I317" s="160"/>
      <c r="J317" s="160"/>
      <c r="K317" s="160"/>
      <c r="L317" s="160"/>
      <c r="M317" s="160"/>
      <c r="N317" s="160"/>
      <c r="O317" s="160"/>
      <c r="P317" s="160"/>
      <c r="Q317" s="160"/>
      <c r="R317" s="160"/>
      <c r="S317" s="122"/>
      <c r="T317" s="122"/>
    </row>
    <row r="318" spans="1:20" s="1" customFormat="1">
      <c r="A318" s="32"/>
      <c r="B318" s="159"/>
      <c r="C318" s="160"/>
      <c r="D318" s="160"/>
      <c r="E318" s="160"/>
      <c r="F318" s="160"/>
      <c r="G318" s="160"/>
      <c r="H318" s="160"/>
      <c r="I318" s="160"/>
      <c r="J318" s="160"/>
      <c r="K318" s="160"/>
      <c r="L318" s="160"/>
      <c r="M318" s="160"/>
      <c r="N318" s="160"/>
      <c r="O318" s="160"/>
      <c r="P318" s="160"/>
      <c r="Q318" s="160"/>
      <c r="R318" s="160"/>
      <c r="S318" s="122"/>
      <c r="T318" s="122"/>
    </row>
    <row r="319" spans="1:20" s="1" customFormat="1">
      <c r="A319" s="32"/>
      <c r="B319" s="159"/>
      <c r="C319" s="160"/>
      <c r="D319" s="160"/>
      <c r="E319" s="160"/>
      <c r="F319" s="160"/>
      <c r="G319" s="160"/>
      <c r="H319" s="160"/>
      <c r="I319" s="160"/>
      <c r="J319" s="160"/>
      <c r="K319" s="160"/>
      <c r="L319" s="160"/>
      <c r="M319" s="160"/>
      <c r="N319" s="160"/>
      <c r="O319" s="160"/>
      <c r="P319" s="160"/>
      <c r="Q319" s="160"/>
      <c r="R319" s="160"/>
      <c r="S319" s="122"/>
      <c r="T319" s="122"/>
    </row>
    <row r="320" spans="1:20" s="1" customFormat="1">
      <c r="A320" s="32"/>
      <c r="B320" s="159"/>
      <c r="C320" s="160"/>
      <c r="D320" s="160"/>
      <c r="E320" s="160"/>
      <c r="F320" s="160"/>
      <c r="G320" s="160"/>
      <c r="H320" s="160"/>
      <c r="I320" s="160"/>
      <c r="J320" s="160"/>
      <c r="K320" s="160"/>
      <c r="L320" s="160"/>
      <c r="M320" s="160"/>
      <c r="N320" s="160"/>
      <c r="O320" s="160"/>
      <c r="P320" s="160"/>
      <c r="Q320" s="160"/>
      <c r="R320" s="160"/>
      <c r="S320" s="122"/>
      <c r="T320" s="122"/>
    </row>
    <row r="321" spans="1:20" s="1" customFormat="1">
      <c r="A321" s="32"/>
      <c r="B321" s="159"/>
      <c r="C321" s="160"/>
      <c r="D321" s="160"/>
      <c r="E321" s="160"/>
      <c r="F321" s="160"/>
      <c r="G321" s="160"/>
      <c r="H321" s="160"/>
      <c r="I321" s="160"/>
      <c r="J321" s="160"/>
      <c r="K321" s="160"/>
      <c r="L321" s="160"/>
      <c r="M321" s="160"/>
      <c r="N321" s="160"/>
      <c r="O321" s="160"/>
      <c r="P321" s="160"/>
      <c r="Q321" s="160"/>
      <c r="R321" s="160"/>
      <c r="S321" s="122"/>
      <c r="T321" s="122"/>
    </row>
    <row r="322" spans="1:20" s="1" customFormat="1">
      <c r="A322" s="32"/>
      <c r="B322" s="159"/>
      <c r="C322" s="160"/>
      <c r="D322" s="160"/>
      <c r="E322" s="160"/>
      <c r="F322" s="160"/>
      <c r="G322" s="160"/>
      <c r="H322" s="160"/>
      <c r="I322" s="160"/>
      <c r="J322" s="160"/>
      <c r="K322" s="160"/>
      <c r="L322" s="160"/>
      <c r="M322" s="160"/>
      <c r="N322" s="160"/>
      <c r="O322" s="160"/>
      <c r="P322" s="160"/>
      <c r="Q322" s="160"/>
      <c r="R322" s="160"/>
      <c r="S322" s="122"/>
      <c r="T322" s="122"/>
    </row>
    <row r="323" spans="1:20" s="1" customFormat="1">
      <c r="A323" s="32"/>
      <c r="B323" s="159"/>
      <c r="C323" s="160"/>
      <c r="D323" s="160"/>
      <c r="E323" s="160"/>
      <c r="F323" s="160"/>
      <c r="G323" s="160"/>
      <c r="H323" s="160"/>
      <c r="I323" s="160"/>
      <c r="J323" s="160"/>
      <c r="K323" s="160"/>
      <c r="L323" s="160"/>
      <c r="M323" s="160"/>
      <c r="N323" s="160"/>
      <c r="O323" s="160"/>
      <c r="P323" s="160"/>
      <c r="Q323" s="160"/>
      <c r="R323" s="160"/>
      <c r="S323" s="122"/>
      <c r="T323" s="122"/>
    </row>
    <row r="324" spans="1:20" s="1" customFormat="1">
      <c r="A324" s="32"/>
      <c r="B324" s="159"/>
      <c r="C324" s="160"/>
      <c r="D324" s="160"/>
      <c r="E324" s="160"/>
      <c r="F324" s="160"/>
      <c r="G324" s="160"/>
      <c r="H324" s="160"/>
      <c r="I324" s="160"/>
      <c r="J324" s="160"/>
      <c r="K324" s="160"/>
      <c r="L324" s="160"/>
      <c r="M324" s="160"/>
      <c r="N324" s="160"/>
      <c r="O324" s="160"/>
      <c r="P324" s="160"/>
      <c r="Q324" s="160"/>
      <c r="R324" s="160"/>
      <c r="S324" s="122"/>
      <c r="T324" s="122"/>
    </row>
    <row r="325" spans="1:20" s="1" customFormat="1">
      <c r="A325" s="32"/>
      <c r="B325" s="159"/>
      <c r="C325" s="160"/>
      <c r="D325" s="160"/>
      <c r="E325" s="160"/>
      <c r="F325" s="160"/>
      <c r="G325" s="160"/>
      <c r="H325" s="160"/>
      <c r="I325" s="160"/>
      <c r="J325" s="160"/>
      <c r="K325" s="160"/>
      <c r="L325" s="160"/>
      <c r="M325" s="160"/>
      <c r="N325" s="160"/>
      <c r="O325" s="160"/>
      <c r="P325" s="160"/>
      <c r="Q325" s="160"/>
      <c r="R325" s="160"/>
      <c r="S325" s="122"/>
      <c r="T325" s="122"/>
    </row>
    <row r="326" spans="1:20" s="1" customFormat="1">
      <c r="A326" s="32"/>
      <c r="B326" s="159"/>
      <c r="C326" s="160"/>
      <c r="D326" s="160"/>
      <c r="E326" s="160"/>
      <c r="F326" s="160"/>
      <c r="G326" s="160"/>
      <c r="H326" s="160"/>
      <c r="I326" s="160"/>
      <c r="J326" s="160"/>
      <c r="K326" s="160"/>
      <c r="L326" s="160"/>
      <c r="M326" s="160"/>
      <c r="N326" s="160"/>
      <c r="O326" s="160"/>
      <c r="P326" s="160"/>
      <c r="Q326" s="160"/>
      <c r="R326" s="160"/>
      <c r="S326" s="122"/>
      <c r="T326" s="122"/>
    </row>
    <row r="327" spans="1:20" s="1" customFormat="1">
      <c r="A327" s="32"/>
      <c r="B327" s="159"/>
      <c r="C327" s="160"/>
      <c r="D327" s="160"/>
      <c r="E327" s="160"/>
      <c r="F327" s="160"/>
      <c r="G327" s="160"/>
      <c r="H327" s="160"/>
      <c r="I327" s="160"/>
      <c r="J327" s="160"/>
      <c r="K327" s="160"/>
      <c r="L327" s="160"/>
      <c r="M327" s="160"/>
      <c r="N327" s="160"/>
      <c r="O327" s="160"/>
      <c r="P327" s="160"/>
      <c r="Q327" s="160"/>
      <c r="R327" s="160"/>
      <c r="S327" s="122"/>
      <c r="T327" s="122"/>
    </row>
    <row r="328" spans="1:20" s="1" customFormat="1">
      <c r="A328" s="32"/>
      <c r="B328" s="159"/>
      <c r="C328" s="160"/>
      <c r="D328" s="160"/>
      <c r="E328" s="160"/>
      <c r="F328" s="160"/>
      <c r="G328" s="160"/>
      <c r="H328" s="160"/>
      <c r="I328" s="160"/>
      <c r="J328" s="160"/>
      <c r="K328" s="160"/>
      <c r="L328" s="160"/>
      <c r="M328" s="160"/>
      <c r="N328" s="160"/>
      <c r="O328" s="160"/>
      <c r="P328" s="160"/>
      <c r="Q328" s="160"/>
      <c r="R328" s="160"/>
      <c r="S328" s="122"/>
      <c r="T328" s="122"/>
    </row>
    <row r="329" spans="1:20" s="1" customFormat="1">
      <c r="A329" s="32"/>
      <c r="B329" s="159"/>
      <c r="C329" s="160"/>
      <c r="D329" s="160"/>
      <c r="E329" s="160"/>
      <c r="F329" s="160"/>
      <c r="G329" s="160"/>
      <c r="H329" s="160"/>
      <c r="I329" s="160"/>
      <c r="J329" s="160"/>
      <c r="K329" s="160"/>
      <c r="L329" s="160"/>
      <c r="M329" s="160"/>
      <c r="N329" s="160"/>
      <c r="O329" s="160"/>
      <c r="P329" s="160"/>
      <c r="Q329" s="160"/>
      <c r="R329" s="160"/>
      <c r="S329" s="122"/>
      <c r="T329" s="122"/>
    </row>
    <row r="330" spans="1:20" s="1" customFormat="1">
      <c r="A330" s="32"/>
      <c r="B330" s="159"/>
      <c r="C330" s="160"/>
      <c r="D330" s="160"/>
      <c r="E330" s="160"/>
      <c r="F330" s="160"/>
      <c r="G330" s="160"/>
      <c r="H330" s="160"/>
      <c r="I330" s="160"/>
      <c r="J330" s="160"/>
      <c r="K330" s="160"/>
      <c r="L330" s="160"/>
      <c r="M330" s="160"/>
      <c r="N330" s="160"/>
      <c r="O330" s="160"/>
      <c r="P330" s="160"/>
      <c r="Q330" s="160"/>
      <c r="R330" s="160"/>
      <c r="S330" s="122"/>
      <c r="T330" s="122"/>
    </row>
    <row r="331" spans="1:20" s="1" customFormat="1">
      <c r="A331" s="32"/>
      <c r="B331" s="159"/>
      <c r="C331" s="160"/>
      <c r="D331" s="160"/>
      <c r="E331" s="160"/>
      <c r="F331" s="160"/>
      <c r="G331" s="160"/>
      <c r="H331" s="160"/>
      <c r="I331" s="160"/>
      <c r="J331" s="160"/>
      <c r="K331" s="160"/>
      <c r="L331" s="160"/>
      <c r="M331" s="160"/>
      <c r="N331" s="160"/>
      <c r="O331" s="160"/>
      <c r="P331" s="160"/>
      <c r="Q331" s="160"/>
      <c r="R331" s="160"/>
      <c r="S331" s="122"/>
      <c r="T331" s="122"/>
    </row>
    <row r="332" spans="1:20" s="1" customFormat="1">
      <c r="A332" s="32"/>
      <c r="B332" s="159"/>
      <c r="C332" s="160"/>
      <c r="D332" s="160"/>
      <c r="E332" s="160"/>
      <c r="F332" s="160"/>
      <c r="G332" s="160"/>
      <c r="H332" s="160"/>
      <c r="I332" s="160"/>
      <c r="J332" s="160"/>
      <c r="K332" s="160"/>
      <c r="L332" s="160"/>
      <c r="M332" s="160"/>
      <c r="N332" s="160"/>
      <c r="O332" s="160"/>
      <c r="P332" s="160"/>
      <c r="Q332" s="160"/>
      <c r="R332" s="160"/>
      <c r="S332" s="122"/>
      <c r="T332" s="122"/>
    </row>
    <row r="333" spans="1:20" s="1" customFormat="1">
      <c r="A333" s="32"/>
      <c r="B333" s="159"/>
      <c r="C333" s="160"/>
      <c r="D333" s="160"/>
      <c r="E333" s="160"/>
      <c r="F333" s="160"/>
      <c r="G333" s="160"/>
      <c r="H333" s="160"/>
      <c r="I333" s="160"/>
      <c r="J333" s="160"/>
      <c r="K333" s="160"/>
      <c r="L333" s="160"/>
      <c r="M333" s="160"/>
      <c r="N333" s="160"/>
      <c r="O333" s="160"/>
      <c r="P333" s="160"/>
      <c r="Q333" s="160"/>
      <c r="R333" s="160"/>
      <c r="S333" s="122"/>
      <c r="T333" s="122"/>
    </row>
    <row r="334" spans="1:20" s="1" customFormat="1">
      <c r="A334" s="32"/>
      <c r="B334" s="159"/>
      <c r="C334" s="160"/>
      <c r="D334" s="160"/>
      <c r="E334" s="160"/>
      <c r="F334" s="160"/>
      <c r="G334" s="160"/>
      <c r="H334" s="160"/>
      <c r="I334" s="160"/>
      <c r="J334" s="160"/>
      <c r="K334" s="160"/>
      <c r="L334" s="160"/>
      <c r="M334" s="160"/>
      <c r="N334" s="160"/>
      <c r="O334" s="160"/>
      <c r="P334" s="160"/>
      <c r="Q334" s="160"/>
      <c r="R334" s="160"/>
      <c r="S334" s="122"/>
      <c r="T334" s="122"/>
    </row>
    <row r="335" spans="1:20" s="1" customFormat="1">
      <c r="A335" s="32"/>
      <c r="B335" s="159"/>
      <c r="C335" s="160"/>
      <c r="D335" s="160"/>
      <c r="E335" s="160"/>
      <c r="F335" s="160"/>
      <c r="G335" s="160"/>
      <c r="H335" s="160"/>
      <c r="I335" s="160"/>
      <c r="J335" s="160"/>
      <c r="K335" s="160"/>
      <c r="L335" s="160"/>
      <c r="M335" s="160"/>
      <c r="N335" s="160"/>
      <c r="O335" s="160"/>
      <c r="P335" s="160"/>
      <c r="Q335" s="160"/>
      <c r="R335" s="160"/>
      <c r="S335" s="122"/>
      <c r="T335" s="122"/>
    </row>
    <row r="336" spans="1:20" s="1" customFormat="1">
      <c r="A336" s="32"/>
      <c r="B336" s="159"/>
      <c r="C336" s="160"/>
      <c r="D336" s="160"/>
      <c r="E336" s="160"/>
      <c r="F336" s="160"/>
      <c r="G336" s="160"/>
      <c r="H336" s="160"/>
      <c r="I336" s="160"/>
      <c r="J336" s="160"/>
      <c r="K336" s="160"/>
      <c r="L336" s="160"/>
      <c r="M336" s="160"/>
      <c r="N336" s="160"/>
      <c r="O336" s="160"/>
      <c r="P336" s="160"/>
      <c r="Q336" s="160"/>
      <c r="R336" s="160"/>
      <c r="S336" s="122"/>
      <c r="T336" s="122"/>
    </row>
    <row r="337" spans="1:20" s="1" customFormat="1">
      <c r="A337" s="32"/>
      <c r="B337" s="159"/>
      <c r="C337" s="160"/>
      <c r="D337" s="160"/>
      <c r="E337" s="160"/>
      <c r="F337" s="160"/>
      <c r="G337" s="160"/>
      <c r="H337" s="160"/>
      <c r="I337" s="160"/>
      <c r="J337" s="160"/>
      <c r="K337" s="160"/>
      <c r="L337" s="160"/>
      <c r="M337" s="160"/>
      <c r="N337" s="160"/>
      <c r="O337" s="160"/>
      <c r="P337" s="160"/>
      <c r="Q337" s="160"/>
      <c r="R337" s="160"/>
      <c r="S337" s="122"/>
      <c r="T337" s="122"/>
    </row>
    <row r="338" spans="1:20" s="1" customFormat="1">
      <c r="A338" s="32"/>
      <c r="B338" s="159"/>
      <c r="C338" s="160"/>
      <c r="D338" s="160"/>
      <c r="E338" s="160"/>
      <c r="F338" s="160"/>
      <c r="G338" s="160"/>
      <c r="H338" s="160"/>
      <c r="I338" s="160"/>
      <c r="J338" s="160"/>
      <c r="K338" s="160"/>
      <c r="L338" s="160"/>
      <c r="M338" s="160"/>
      <c r="N338" s="160"/>
      <c r="O338" s="160"/>
      <c r="P338" s="160"/>
      <c r="Q338" s="160"/>
      <c r="R338" s="160"/>
      <c r="S338" s="122"/>
      <c r="T338" s="122"/>
    </row>
    <row r="339" spans="1:20" s="1" customFormat="1">
      <c r="A339" s="32"/>
      <c r="B339" s="159"/>
      <c r="C339" s="160"/>
      <c r="D339" s="160"/>
      <c r="E339" s="160"/>
      <c r="F339" s="160"/>
      <c r="G339" s="160"/>
      <c r="H339" s="160"/>
      <c r="I339" s="160"/>
      <c r="J339" s="160"/>
      <c r="K339" s="160"/>
      <c r="L339" s="160"/>
      <c r="M339" s="160"/>
      <c r="N339" s="160"/>
      <c r="O339" s="160"/>
      <c r="P339" s="160"/>
      <c r="Q339" s="160"/>
      <c r="R339" s="160"/>
      <c r="S339" s="122"/>
      <c r="T339" s="122"/>
    </row>
    <row r="340" spans="1:20" s="1" customFormat="1">
      <c r="A340" s="32"/>
      <c r="B340" s="159"/>
      <c r="C340" s="160"/>
      <c r="D340" s="160"/>
      <c r="E340" s="160"/>
      <c r="F340" s="160"/>
      <c r="G340" s="160"/>
      <c r="H340" s="160"/>
      <c r="I340" s="160"/>
      <c r="J340" s="160"/>
      <c r="K340" s="160"/>
      <c r="L340" s="160"/>
      <c r="M340" s="160"/>
      <c r="N340" s="160"/>
      <c r="O340" s="160"/>
      <c r="P340" s="160"/>
      <c r="Q340" s="160"/>
      <c r="R340" s="160"/>
      <c r="S340" s="122"/>
      <c r="T340" s="122"/>
    </row>
    <row r="341" spans="1:20" s="1" customFormat="1">
      <c r="A341" s="32"/>
      <c r="B341" s="159"/>
      <c r="C341" s="160"/>
      <c r="D341" s="160"/>
      <c r="E341" s="160"/>
      <c r="F341" s="160"/>
      <c r="G341" s="160"/>
      <c r="H341" s="160"/>
      <c r="I341" s="160"/>
      <c r="J341" s="160"/>
      <c r="K341" s="160"/>
      <c r="L341" s="160"/>
      <c r="M341" s="160"/>
      <c r="N341" s="160"/>
      <c r="O341" s="160"/>
      <c r="P341" s="160"/>
      <c r="Q341" s="160"/>
      <c r="R341" s="160"/>
      <c r="S341" s="122"/>
      <c r="T341" s="122"/>
    </row>
    <row r="342" spans="1:20" s="1" customFormat="1">
      <c r="A342" s="32"/>
      <c r="B342" s="159"/>
      <c r="C342" s="160"/>
      <c r="D342" s="160"/>
      <c r="E342" s="160"/>
      <c r="F342" s="160"/>
      <c r="G342" s="160"/>
      <c r="H342" s="160"/>
      <c r="I342" s="160"/>
      <c r="J342" s="160"/>
      <c r="K342" s="160"/>
      <c r="L342" s="160"/>
      <c r="M342" s="160"/>
      <c r="N342" s="160"/>
      <c r="O342" s="160"/>
      <c r="P342" s="160"/>
      <c r="Q342" s="160"/>
      <c r="R342" s="160"/>
      <c r="S342" s="122"/>
      <c r="T342" s="122"/>
    </row>
    <row r="343" spans="1:20" s="1" customFormat="1">
      <c r="A343" s="32"/>
      <c r="B343" s="159"/>
      <c r="C343" s="160"/>
      <c r="D343" s="160"/>
      <c r="E343" s="160"/>
      <c r="F343" s="160"/>
      <c r="G343" s="160"/>
      <c r="H343" s="160"/>
      <c r="I343" s="160"/>
      <c r="J343" s="160"/>
      <c r="K343" s="160"/>
      <c r="L343" s="160"/>
      <c r="M343" s="160"/>
      <c r="N343" s="160"/>
      <c r="O343" s="160"/>
      <c r="P343" s="160"/>
      <c r="Q343" s="160"/>
      <c r="R343" s="160"/>
      <c r="S343" s="122"/>
      <c r="T343" s="122"/>
    </row>
    <row r="344" spans="1:20" s="1" customFormat="1">
      <c r="A344" s="32"/>
      <c r="B344" s="159"/>
      <c r="C344" s="160"/>
      <c r="D344" s="160"/>
      <c r="E344" s="160"/>
      <c r="F344" s="160"/>
      <c r="G344" s="160"/>
      <c r="H344" s="160"/>
      <c r="I344" s="160"/>
      <c r="J344" s="160"/>
      <c r="K344" s="160"/>
      <c r="L344" s="160"/>
      <c r="M344" s="160"/>
      <c r="N344" s="160"/>
      <c r="O344" s="160"/>
      <c r="P344" s="160"/>
      <c r="Q344" s="160"/>
      <c r="R344" s="160"/>
      <c r="S344" s="122"/>
      <c r="T344" s="122"/>
    </row>
    <row r="345" spans="1:20" s="1" customFormat="1">
      <c r="A345" s="32"/>
      <c r="B345" s="159"/>
      <c r="C345" s="160"/>
      <c r="D345" s="160"/>
      <c r="E345" s="160"/>
      <c r="F345" s="160"/>
      <c r="G345" s="160"/>
      <c r="H345" s="160"/>
      <c r="I345" s="160"/>
      <c r="J345" s="160"/>
      <c r="K345" s="160"/>
      <c r="L345" s="160"/>
      <c r="M345" s="160"/>
      <c r="N345" s="160"/>
      <c r="O345" s="160"/>
      <c r="P345" s="160"/>
      <c r="Q345" s="160"/>
      <c r="R345" s="160"/>
      <c r="S345" s="122"/>
      <c r="T345" s="122"/>
    </row>
    <row r="346" spans="1:20" s="1" customFormat="1">
      <c r="A346" s="32"/>
      <c r="B346" s="159"/>
      <c r="C346" s="160"/>
      <c r="D346" s="160"/>
      <c r="E346" s="160"/>
      <c r="F346" s="160"/>
      <c r="G346" s="160"/>
      <c r="H346" s="160"/>
      <c r="I346" s="160"/>
      <c r="J346" s="160"/>
      <c r="K346" s="160"/>
      <c r="L346" s="160"/>
      <c r="M346" s="160"/>
      <c r="N346" s="160"/>
      <c r="O346" s="160"/>
      <c r="P346" s="160"/>
      <c r="Q346" s="160"/>
      <c r="R346" s="160"/>
      <c r="S346" s="122"/>
      <c r="T346" s="122"/>
    </row>
    <row r="347" spans="1:20" s="1" customFormat="1">
      <c r="A347" s="32"/>
      <c r="B347" s="159"/>
      <c r="C347" s="160"/>
      <c r="D347" s="160"/>
      <c r="E347" s="160"/>
      <c r="F347" s="160"/>
      <c r="G347" s="160"/>
      <c r="H347" s="160"/>
      <c r="I347" s="160"/>
      <c r="J347" s="160"/>
      <c r="K347" s="160"/>
      <c r="L347" s="160"/>
      <c r="M347" s="160"/>
      <c r="N347" s="160"/>
      <c r="O347" s="160"/>
      <c r="P347" s="160"/>
      <c r="Q347" s="160"/>
      <c r="R347" s="160"/>
      <c r="S347" s="122"/>
      <c r="T347" s="122"/>
    </row>
    <row r="348" spans="1:20" s="1" customFormat="1">
      <c r="A348" s="32"/>
      <c r="B348" s="159"/>
      <c r="C348" s="160"/>
      <c r="D348" s="160"/>
      <c r="E348" s="160"/>
      <c r="F348" s="160"/>
      <c r="G348" s="160"/>
      <c r="H348" s="160"/>
      <c r="I348" s="160"/>
      <c r="J348" s="160"/>
      <c r="K348" s="160"/>
      <c r="L348" s="160"/>
      <c r="M348" s="160"/>
      <c r="N348" s="160"/>
      <c r="O348" s="160"/>
      <c r="P348" s="160"/>
      <c r="Q348" s="160"/>
      <c r="R348" s="160"/>
      <c r="S348" s="122"/>
      <c r="T348" s="122"/>
    </row>
    <row r="349" spans="1:20" s="1" customFormat="1">
      <c r="A349" s="32"/>
      <c r="B349" s="159"/>
      <c r="C349" s="160"/>
      <c r="D349" s="160"/>
      <c r="E349" s="160"/>
      <c r="F349" s="160"/>
      <c r="G349" s="160"/>
      <c r="H349" s="160"/>
      <c r="I349" s="160"/>
      <c r="J349" s="160"/>
      <c r="K349" s="160"/>
      <c r="L349" s="160"/>
      <c r="M349" s="160"/>
      <c r="N349" s="160"/>
      <c r="O349" s="160"/>
      <c r="P349" s="160"/>
      <c r="Q349" s="160"/>
      <c r="R349" s="160"/>
      <c r="S349" s="122"/>
      <c r="T349" s="122"/>
    </row>
    <row r="350" spans="1:20" s="1" customFormat="1">
      <c r="A350" s="32"/>
      <c r="B350" s="159"/>
      <c r="C350" s="160"/>
      <c r="D350" s="160"/>
      <c r="E350" s="160"/>
      <c r="F350" s="160"/>
      <c r="G350" s="160"/>
      <c r="H350" s="160"/>
      <c r="I350" s="160"/>
      <c r="J350" s="160"/>
      <c r="K350" s="160"/>
      <c r="L350" s="160"/>
      <c r="M350" s="160"/>
      <c r="N350" s="160"/>
      <c r="O350" s="160"/>
      <c r="P350" s="160"/>
      <c r="Q350" s="160"/>
      <c r="R350" s="160"/>
      <c r="S350" s="122"/>
      <c r="T350" s="122"/>
    </row>
    <row r="351" spans="1:20" s="1" customFormat="1">
      <c r="A351" s="32"/>
      <c r="B351" s="159"/>
      <c r="C351" s="160"/>
      <c r="D351" s="160"/>
      <c r="E351" s="160"/>
      <c r="F351" s="160"/>
      <c r="G351" s="160"/>
      <c r="H351" s="160"/>
      <c r="I351" s="160"/>
      <c r="J351" s="160"/>
      <c r="K351" s="160"/>
      <c r="L351" s="160"/>
      <c r="M351" s="160"/>
      <c r="N351" s="160"/>
      <c r="O351" s="160"/>
      <c r="P351" s="160"/>
      <c r="Q351" s="160"/>
      <c r="R351" s="160"/>
      <c r="S351" s="122"/>
      <c r="T351" s="122"/>
    </row>
    <row r="352" spans="1:20" s="1" customFormat="1">
      <c r="A352" s="32"/>
      <c r="B352" s="159"/>
      <c r="C352" s="160"/>
      <c r="D352" s="160"/>
      <c r="E352" s="160"/>
      <c r="F352" s="160"/>
      <c r="G352" s="160"/>
      <c r="H352" s="160"/>
      <c r="I352" s="160"/>
      <c r="J352" s="160"/>
      <c r="K352" s="160"/>
      <c r="L352" s="160"/>
      <c r="M352" s="160"/>
      <c r="N352" s="160"/>
      <c r="O352" s="160"/>
      <c r="P352" s="160"/>
      <c r="Q352" s="160"/>
      <c r="R352" s="160"/>
      <c r="S352" s="122"/>
      <c r="T352" s="122"/>
    </row>
    <row r="353" spans="1:20" s="1" customFormat="1">
      <c r="A353" s="32"/>
      <c r="B353" s="159"/>
      <c r="C353" s="160"/>
      <c r="D353" s="160"/>
      <c r="E353" s="160"/>
      <c r="F353" s="160"/>
      <c r="G353" s="160"/>
      <c r="H353" s="160"/>
      <c r="I353" s="160"/>
      <c r="J353" s="160"/>
      <c r="K353" s="160"/>
      <c r="L353" s="160"/>
      <c r="M353" s="160"/>
      <c r="N353" s="160"/>
      <c r="O353" s="160"/>
      <c r="P353" s="160"/>
      <c r="Q353" s="160"/>
      <c r="R353" s="160"/>
      <c r="S353" s="122"/>
      <c r="T353" s="122"/>
    </row>
    <row r="354" spans="1:20" s="1" customFormat="1">
      <c r="A354" s="32"/>
      <c r="B354" s="159"/>
      <c r="C354" s="160"/>
      <c r="D354" s="160"/>
      <c r="E354" s="160"/>
      <c r="F354" s="160"/>
      <c r="G354" s="160"/>
      <c r="H354" s="160"/>
      <c r="I354" s="160"/>
      <c r="J354" s="160"/>
      <c r="K354" s="160"/>
      <c r="L354" s="160"/>
      <c r="M354" s="160"/>
      <c r="N354" s="160"/>
      <c r="O354" s="160"/>
      <c r="P354" s="160"/>
      <c r="Q354" s="160"/>
      <c r="R354" s="160"/>
      <c r="S354" s="122"/>
      <c r="T354" s="122"/>
    </row>
    <row r="355" spans="1:20" s="1" customFormat="1">
      <c r="A355" s="32"/>
      <c r="B355" s="159"/>
      <c r="C355" s="160"/>
      <c r="D355" s="160"/>
      <c r="E355" s="160"/>
      <c r="F355" s="160"/>
      <c r="G355" s="160"/>
      <c r="H355" s="160"/>
      <c r="I355" s="160"/>
      <c r="J355" s="160"/>
      <c r="K355" s="160"/>
      <c r="L355" s="160"/>
      <c r="M355" s="160"/>
      <c r="N355" s="160"/>
      <c r="O355" s="160"/>
      <c r="P355" s="160"/>
      <c r="Q355" s="160"/>
      <c r="R355" s="160"/>
      <c r="S355" s="122"/>
      <c r="T355" s="122"/>
    </row>
    <row r="356" spans="1:20">
      <c r="A356" s="55"/>
      <c r="B356" s="161"/>
      <c r="C356" s="161"/>
      <c r="D356" s="161"/>
      <c r="E356" s="161"/>
      <c r="F356" s="161"/>
      <c r="G356" s="161"/>
      <c r="H356" s="161"/>
      <c r="I356" s="161"/>
      <c r="J356" s="161"/>
      <c r="K356" s="161"/>
      <c r="L356" s="161"/>
      <c r="M356" s="161"/>
      <c r="N356" s="161"/>
      <c r="O356" s="161"/>
      <c r="P356" s="161"/>
      <c r="Q356" s="161"/>
      <c r="R356" s="161"/>
      <c r="S356" s="124"/>
      <c r="T356" s="123"/>
    </row>
    <row r="357" spans="1:20">
      <c r="A357" s="55"/>
      <c r="B357" s="161"/>
      <c r="C357" s="161"/>
      <c r="D357" s="94"/>
      <c r="E357" s="94"/>
      <c r="F357" s="94"/>
      <c r="G357" s="94"/>
      <c r="H357" s="94"/>
      <c r="I357" s="94"/>
      <c r="J357" s="94"/>
      <c r="K357" s="94"/>
      <c r="L357" s="161"/>
      <c r="M357" s="161"/>
      <c r="N357" s="161"/>
      <c r="O357" s="161"/>
      <c r="P357" s="161"/>
      <c r="Q357" s="161"/>
      <c r="R357" s="161"/>
      <c r="S357" s="123"/>
      <c r="T357" s="123"/>
    </row>
    <row r="358" spans="1:20">
      <c r="A358" s="55"/>
      <c r="B358" s="161"/>
      <c r="C358" s="161"/>
      <c r="D358" s="94"/>
      <c r="E358" s="94"/>
      <c r="F358" s="94"/>
      <c r="G358" s="94"/>
      <c r="H358" s="94"/>
      <c r="I358" s="94"/>
      <c r="J358" s="94"/>
      <c r="K358" s="94"/>
      <c r="L358" s="161"/>
      <c r="M358" s="161"/>
      <c r="N358" s="161"/>
      <c r="O358" s="161"/>
      <c r="P358" s="161"/>
      <c r="Q358" s="161"/>
      <c r="R358" s="161"/>
      <c r="S358" s="123"/>
      <c r="T358" s="123"/>
    </row>
    <row r="359" spans="1:20">
      <c r="A359" s="55"/>
      <c r="B359" s="161"/>
      <c r="C359" s="161"/>
      <c r="D359" s="94"/>
      <c r="E359" s="94"/>
      <c r="F359" s="94"/>
      <c r="G359" s="94"/>
      <c r="H359" s="94"/>
      <c r="I359" s="94"/>
      <c r="J359" s="94"/>
      <c r="K359" s="94"/>
      <c r="L359" s="161"/>
      <c r="M359" s="161"/>
      <c r="N359" s="161"/>
      <c r="O359" s="161"/>
      <c r="P359" s="161"/>
      <c r="Q359" s="161"/>
      <c r="R359" s="161"/>
      <c r="S359" s="123"/>
      <c r="T359" s="123"/>
    </row>
    <row r="360" spans="1:20">
      <c r="A360" s="55"/>
      <c r="B360" s="161"/>
      <c r="C360" s="161"/>
      <c r="D360" s="94"/>
      <c r="E360" s="94"/>
      <c r="F360" s="94"/>
      <c r="G360" s="94"/>
      <c r="H360" s="94"/>
      <c r="I360" s="94"/>
      <c r="J360" s="94"/>
      <c r="K360" s="94"/>
      <c r="L360" s="161"/>
      <c r="M360" s="161"/>
      <c r="N360" s="161"/>
      <c r="O360" s="161"/>
      <c r="P360" s="161"/>
      <c r="Q360" s="161"/>
      <c r="R360" s="161"/>
      <c r="S360" s="123"/>
      <c r="T360" s="123"/>
    </row>
    <row r="361" spans="1:20">
      <c r="A361" s="55"/>
      <c r="B361" s="161"/>
      <c r="C361" s="161"/>
      <c r="D361" s="94"/>
      <c r="E361" s="94"/>
      <c r="F361" s="94"/>
      <c r="G361" s="94"/>
      <c r="H361" s="94"/>
      <c r="I361" s="94"/>
      <c r="J361" s="94"/>
      <c r="K361" s="94"/>
      <c r="L361" s="161"/>
      <c r="M361" s="161"/>
      <c r="N361" s="161"/>
      <c r="O361" s="161"/>
      <c r="P361" s="161"/>
      <c r="Q361" s="161"/>
      <c r="R361" s="161"/>
      <c r="S361" s="123"/>
      <c r="T361" s="123"/>
    </row>
    <row r="362" spans="1:20">
      <c r="A362" s="55"/>
      <c r="B362" s="161"/>
      <c r="C362" s="161"/>
      <c r="D362" s="94"/>
      <c r="E362" s="94"/>
      <c r="F362" s="94"/>
      <c r="G362" s="94"/>
      <c r="H362" s="94"/>
      <c r="I362" s="94"/>
      <c r="J362" s="94"/>
      <c r="K362" s="94"/>
      <c r="L362" s="161"/>
      <c r="M362" s="161"/>
      <c r="N362" s="161"/>
      <c r="O362" s="161"/>
      <c r="P362" s="161"/>
      <c r="Q362" s="161"/>
      <c r="R362" s="161"/>
      <c r="S362" s="123"/>
      <c r="T362" s="123"/>
    </row>
    <row r="363" spans="1:20">
      <c r="A363" s="55"/>
      <c r="B363" s="161"/>
      <c r="C363" s="161"/>
      <c r="D363" s="94"/>
      <c r="E363" s="94"/>
      <c r="F363" s="94"/>
      <c r="G363" s="94"/>
      <c r="H363" s="94"/>
      <c r="I363" s="94"/>
      <c r="J363" s="94"/>
      <c r="K363" s="94"/>
      <c r="L363" s="161"/>
      <c r="M363" s="161"/>
      <c r="N363" s="161"/>
      <c r="O363" s="161"/>
      <c r="P363" s="161"/>
      <c r="Q363" s="161"/>
      <c r="R363" s="161"/>
      <c r="S363" s="123"/>
      <c r="T363" s="123"/>
    </row>
    <row r="364" spans="1:20">
      <c r="A364" s="55"/>
      <c r="B364" s="161"/>
      <c r="C364" s="161"/>
      <c r="D364" s="94"/>
      <c r="E364" s="94"/>
      <c r="F364" s="94"/>
      <c r="G364" s="94"/>
      <c r="H364" s="94"/>
      <c r="I364" s="94"/>
      <c r="J364" s="94"/>
      <c r="K364" s="94"/>
      <c r="L364" s="161"/>
      <c r="M364" s="161"/>
      <c r="N364" s="161"/>
      <c r="O364" s="161"/>
      <c r="P364" s="161"/>
      <c r="Q364" s="161"/>
      <c r="R364" s="161"/>
      <c r="S364" s="123"/>
      <c r="T364" s="123"/>
    </row>
    <row r="365" spans="1:20">
      <c r="A365" s="55"/>
      <c r="B365" s="161"/>
      <c r="C365" s="161"/>
      <c r="D365" s="94"/>
      <c r="E365" s="94"/>
      <c r="F365" s="94"/>
      <c r="G365" s="94"/>
      <c r="H365" s="94"/>
      <c r="I365" s="94"/>
      <c r="J365" s="94"/>
      <c r="K365" s="94"/>
      <c r="L365" s="161"/>
      <c r="M365" s="161"/>
      <c r="N365" s="161"/>
      <c r="O365" s="161"/>
      <c r="P365" s="161"/>
      <c r="Q365" s="161"/>
      <c r="R365" s="161"/>
      <c r="S365" s="123"/>
      <c r="T365" s="123"/>
    </row>
    <row r="366" spans="1:20">
      <c r="A366" s="55"/>
      <c r="B366" s="161"/>
      <c r="C366" s="161"/>
      <c r="D366" s="94"/>
      <c r="E366" s="94"/>
      <c r="F366" s="94"/>
      <c r="G366" s="94"/>
      <c r="H366" s="94"/>
      <c r="I366" s="94"/>
      <c r="J366" s="94"/>
      <c r="K366" s="94"/>
      <c r="L366" s="161"/>
      <c r="M366" s="161"/>
      <c r="N366" s="161"/>
      <c r="O366" s="161"/>
      <c r="P366" s="161"/>
      <c r="Q366" s="161"/>
      <c r="R366" s="161"/>
      <c r="S366" s="123"/>
      <c r="T366" s="123"/>
    </row>
    <row r="367" spans="1:20">
      <c r="A367" s="55"/>
      <c r="B367" s="161"/>
      <c r="C367" s="161"/>
      <c r="D367" s="94"/>
      <c r="E367" s="94"/>
      <c r="F367" s="94"/>
      <c r="G367" s="94"/>
      <c r="H367" s="94"/>
      <c r="I367" s="94"/>
      <c r="J367" s="94"/>
      <c r="K367" s="94"/>
      <c r="L367" s="161"/>
      <c r="M367" s="161"/>
      <c r="N367" s="161"/>
      <c r="O367" s="161"/>
      <c r="P367" s="161"/>
      <c r="Q367" s="161"/>
      <c r="R367" s="161"/>
      <c r="S367" s="123"/>
      <c r="T367" s="123"/>
    </row>
    <row r="368" spans="1:20">
      <c r="A368" s="55"/>
      <c r="B368" s="161"/>
      <c r="C368" s="161"/>
      <c r="D368" s="94"/>
      <c r="E368" s="94"/>
      <c r="F368" s="94"/>
      <c r="G368" s="94"/>
      <c r="H368" s="94"/>
      <c r="I368" s="94"/>
      <c r="J368" s="94"/>
      <c r="K368" s="94"/>
      <c r="L368" s="161"/>
      <c r="M368" s="161"/>
      <c r="N368" s="161"/>
      <c r="O368" s="161"/>
      <c r="P368" s="161"/>
      <c r="Q368" s="161"/>
      <c r="R368" s="161"/>
      <c r="S368" s="123"/>
      <c r="T368" s="123"/>
    </row>
    <row r="369" spans="4:11">
      <c r="D369" s="94"/>
      <c r="E369" s="94"/>
      <c r="F369" s="94"/>
      <c r="G369" s="94"/>
      <c r="H369" s="94"/>
      <c r="I369" s="94"/>
      <c r="J369" s="94"/>
      <c r="K369" s="94"/>
    </row>
    <row r="370" spans="4:11">
      <c r="D370" s="94"/>
      <c r="E370" s="94"/>
      <c r="F370" s="94"/>
      <c r="G370" s="94"/>
      <c r="H370" s="94"/>
      <c r="I370" s="94"/>
      <c r="J370" s="94"/>
      <c r="K370" s="94"/>
    </row>
    <row r="371" spans="4:11">
      <c r="D371" s="94"/>
      <c r="E371" s="94"/>
      <c r="F371" s="94"/>
      <c r="G371" s="94"/>
      <c r="H371" s="94"/>
      <c r="I371" s="94"/>
      <c r="J371" s="94"/>
      <c r="K371" s="94"/>
    </row>
    <row r="372" spans="4:11">
      <c r="D372" s="94"/>
      <c r="E372" s="94"/>
      <c r="F372" s="94"/>
      <c r="G372" s="94"/>
      <c r="H372" s="94"/>
      <c r="I372" s="94"/>
      <c r="J372" s="94"/>
      <c r="K372" s="94"/>
    </row>
    <row r="373" spans="4:11">
      <c r="D373" s="94"/>
      <c r="E373" s="94"/>
      <c r="F373" s="94"/>
      <c r="G373" s="94"/>
      <c r="H373" s="94"/>
      <c r="I373" s="94"/>
      <c r="J373" s="94"/>
      <c r="K373" s="94"/>
    </row>
    <row r="374" spans="4:11">
      <c r="D374" s="94"/>
      <c r="E374" s="94"/>
      <c r="F374" s="94"/>
      <c r="G374" s="94"/>
      <c r="H374" s="94"/>
      <c r="I374" s="94"/>
      <c r="J374" s="94"/>
      <c r="K374" s="94"/>
    </row>
    <row r="375" spans="4:11">
      <c r="D375" s="94"/>
      <c r="E375" s="94"/>
      <c r="F375" s="94"/>
      <c r="G375" s="94"/>
      <c r="H375" s="94"/>
      <c r="I375" s="94"/>
      <c r="J375" s="94"/>
      <c r="K375" s="94"/>
    </row>
    <row r="376" spans="4:11">
      <c r="D376" s="94"/>
      <c r="E376" s="94"/>
      <c r="F376" s="94"/>
      <c r="G376" s="94"/>
      <c r="H376" s="94"/>
      <c r="I376" s="94"/>
      <c r="J376" s="94"/>
      <c r="K376" s="94"/>
    </row>
    <row r="377" spans="4:11">
      <c r="D377" s="94"/>
      <c r="E377" s="94"/>
      <c r="F377" s="94"/>
      <c r="G377" s="94"/>
      <c r="H377" s="94"/>
      <c r="I377" s="94"/>
      <c r="J377" s="94"/>
      <c r="K377" s="94"/>
    </row>
    <row r="378" spans="4:11">
      <c r="D378" s="94"/>
      <c r="E378" s="94"/>
      <c r="F378" s="94"/>
      <c r="G378" s="94"/>
      <c r="H378" s="94"/>
      <c r="I378" s="94"/>
      <c r="J378" s="94"/>
      <c r="K378" s="94"/>
    </row>
    <row r="379" spans="4:11">
      <c r="D379" s="94"/>
      <c r="E379" s="94"/>
      <c r="F379" s="94"/>
      <c r="G379" s="94"/>
      <c r="H379" s="94"/>
      <c r="I379" s="94"/>
      <c r="J379" s="94"/>
      <c r="K379" s="94"/>
    </row>
    <row r="380" spans="4:11">
      <c r="D380" s="94"/>
      <c r="E380" s="94"/>
      <c r="F380" s="94"/>
      <c r="G380" s="94"/>
      <c r="H380" s="94"/>
      <c r="I380" s="94"/>
      <c r="J380" s="94"/>
      <c r="K380" s="94"/>
    </row>
    <row r="381" spans="4:11">
      <c r="D381" s="94"/>
      <c r="E381" s="94"/>
      <c r="F381" s="94"/>
      <c r="G381" s="94"/>
      <c r="H381" s="94"/>
      <c r="I381" s="94"/>
      <c r="J381" s="94"/>
      <c r="K381" s="94"/>
    </row>
    <row r="382" spans="4:11">
      <c r="D382" s="94"/>
      <c r="E382" s="94"/>
      <c r="F382" s="94"/>
      <c r="G382" s="94"/>
      <c r="H382" s="94"/>
      <c r="I382" s="94"/>
      <c r="J382" s="94"/>
      <c r="K382" s="94"/>
    </row>
    <row r="383" spans="4:11">
      <c r="D383" s="94"/>
      <c r="E383" s="94"/>
      <c r="F383" s="94"/>
      <c r="G383" s="94"/>
      <c r="H383" s="94"/>
      <c r="I383" s="94"/>
      <c r="J383" s="94"/>
      <c r="K383" s="94"/>
    </row>
    <row r="384" spans="4:11">
      <c r="D384" s="94"/>
      <c r="E384" s="94"/>
      <c r="F384" s="94"/>
      <c r="G384" s="94"/>
      <c r="H384" s="94"/>
      <c r="I384" s="94"/>
      <c r="J384" s="94"/>
      <c r="K384" s="94"/>
    </row>
    <row r="385" spans="4:11">
      <c r="D385" s="94"/>
      <c r="E385" s="94"/>
      <c r="F385" s="94"/>
      <c r="G385" s="94"/>
      <c r="H385" s="94"/>
      <c r="I385" s="94"/>
      <c r="J385" s="94"/>
      <c r="K385" s="94"/>
    </row>
    <row r="386" spans="4:11">
      <c r="D386" s="94"/>
      <c r="E386" s="94"/>
      <c r="F386" s="94"/>
      <c r="G386" s="94"/>
      <c r="H386" s="94"/>
      <c r="I386" s="94"/>
      <c r="J386" s="94"/>
      <c r="K386" s="94"/>
    </row>
    <row r="387" spans="4:11">
      <c r="D387" s="94"/>
      <c r="E387" s="94"/>
      <c r="F387" s="94"/>
      <c r="G387" s="94"/>
      <c r="H387" s="94"/>
      <c r="I387" s="94"/>
      <c r="J387" s="94"/>
      <c r="K387" s="94"/>
    </row>
    <row r="388" spans="4:11">
      <c r="D388" s="94"/>
      <c r="E388" s="94"/>
      <c r="F388" s="94"/>
      <c r="G388" s="94"/>
      <c r="H388" s="94"/>
      <c r="I388" s="94"/>
      <c r="J388" s="94"/>
      <c r="K388" s="94"/>
    </row>
    <row r="389" spans="4:11">
      <c r="D389" s="94"/>
      <c r="E389" s="94"/>
      <c r="F389" s="94"/>
      <c r="G389" s="94"/>
      <c r="H389" s="94"/>
      <c r="I389" s="94"/>
      <c r="J389" s="94"/>
      <c r="K389" s="94"/>
    </row>
    <row r="390" spans="4:11">
      <c r="D390" s="94"/>
      <c r="E390" s="94"/>
      <c r="F390" s="94"/>
      <c r="G390" s="94"/>
      <c r="H390" s="94"/>
      <c r="I390" s="94"/>
      <c r="J390" s="94"/>
      <c r="K390" s="94"/>
    </row>
    <row r="391" spans="4:11">
      <c r="D391" s="94"/>
      <c r="E391" s="94"/>
      <c r="F391" s="94"/>
      <c r="G391" s="94"/>
      <c r="H391" s="94"/>
      <c r="I391" s="94"/>
      <c r="J391" s="94"/>
      <c r="K391" s="94"/>
    </row>
    <row r="392" spans="4:11">
      <c r="D392" s="94"/>
      <c r="E392" s="94"/>
      <c r="F392" s="94"/>
      <c r="G392" s="94"/>
      <c r="H392" s="94"/>
      <c r="I392" s="94"/>
      <c r="J392" s="94"/>
      <c r="K392" s="94"/>
    </row>
    <row r="393" spans="4:11">
      <c r="D393" s="94"/>
      <c r="E393" s="94"/>
      <c r="F393" s="94"/>
      <c r="G393" s="94"/>
      <c r="H393" s="94"/>
      <c r="I393" s="94"/>
      <c r="J393" s="94"/>
      <c r="K393" s="94"/>
    </row>
    <row r="394" spans="4:11">
      <c r="D394" s="94"/>
      <c r="E394" s="94"/>
      <c r="F394" s="94"/>
      <c r="G394" s="94"/>
      <c r="H394" s="94"/>
      <c r="I394" s="94"/>
      <c r="J394" s="94"/>
      <c r="K394" s="94"/>
    </row>
    <row r="395" spans="4:11">
      <c r="D395" s="94"/>
      <c r="E395" s="94"/>
      <c r="F395" s="94"/>
      <c r="G395" s="94"/>
      <c r="H395" s="94"/>
      <c r="I395" s="94"/>
      <c r="J395" s="94"/>
      <c r="K395" s="94"/>
    </row>
    <row r="396" spans="4:11">
      <c r="D396" s="94"/>
      <c r="E396" s="94"/>
      <c r="F396" s="94"/>
      <c r="G396" s="94"/>
      <c r="H396" s="94"/>
      <c r="I396" s="94"/>
      <c r="J396" s="94"/>
      <c r="K396" s="94"/>
    </row>
    <row r="397" spans="4:11">
      <c r="D397" s="94"/>
      <c r="E397" s="94"/>
      <c r="F397" s="94"/>
      <c r="G397" s="94"/>
      <c r="H397" s="94"/>
      <c r="I397" s="94"/>
      <c r="J397" s="94"/>
      <c r="K397" s="94"/>
    </row>
    <row r="398" spans="4:11">
      <c r="D398" s="94"/>
      <c r="E398" s="94"/>
      <c r="F398" s="94"/>
      <c r="G398" s="94"/>
      <c r="H398" s="94"/>
      <c r="I398" s="94"/>
      <c r="J398" s="94"/>
      <c r="K398" s="94"/>
    </row>
    <row r="399" spans="4:11">
      <c r="D399" s="94"/>
      <c r="E399" s="94"/>
      <c r="F399" s="94"/>
      <c r="G399" s="94"/>
      <c r="H399" s="94"/>
      <c r="I399" s="94"/>
      <c r="J399" s="94"/>
      <c r="K399" s="94"/>
    </row>
    <row r="400" spans="4:11">
      <c r="D400" s="94"/>
      <c r="E400" s="94"/>
      <c r="F400" s="94"/>
      <c r="G400" s="94"/>
      <c r="H400" s="94"/>
      <c r="I400" s="94"/>
      <c r="J400" s="94"/>
      <c r="K400" s="94"/>
    </row>
    <row r="401" spans="4:11">
      <c r="D401" s="94"/>
      <c r="E401" s="94"/>
      <c r="F401" s="94"/>
      <c r="G401" s="94"/>
      <c r="H401" s="94"/>
      <c r="I401" s="94"/>
      <c r="J401" s="94"/>
      <c r="K401" s="94"/>
    </row>
    <row r="402" spans="4:11">
      <c r="D402" s="94"/>
      <c r="E402" s="94"/>
      <c r="F402" s="94"/>
      <c r="G402" s="94"/>
      <c r="H402" s="94"/>
      <c r="I402" s="94"/>
      <c r="J402" s="94"/>
      <c r="K402" s="94"/>
    </row>
    <row r="403" spans="4:11">
      <c r="D403" s="94"/>
      <c r="E403" s="94"/>
      <c r="F403" s="94"/>
      <c r="G403" s="94"/>
      <c r="H403" s="94"/>
      <c r="I403" s="94"/>
      <c r="J403" s="94"/>
      <c r="K403" s="94"/>
    </row>
    <row r="404" spans="4:11">
      <c r="D404" s="94"/>
      <c r="E404" s="94"/>
      <c r="F404" s="94"/>
      <c r="G404" s="94"/>
      <c r="H404" s="94"/>
      <c r="I404" s="94"/>
      <c r="J404" s="94"/>
      <c r="K404" s="94"/>
    </row>
    <row r="405" spans="4:11">
      <c r="D405" s="94"/>
      <c r="E405" s="94"/>
      <c r="F405" s="94"/>
      <c r="G405" s="94"/>
      <c r="H405" s="94"/>
      <c r="I405" s="94"/>
      <c r="J405" s="94"/>
      <c r="K405" s="94"/>
    </row>
    <row r="406" spans="4:11">
      <c r="D406" s="94"/>
      <c r="E406" s="94"/>
      <c r="F406" s="94"/>
      <c r="G406" s="94"/>
      <c r="H406" s="94"/>
      <c r="I406" s="94"/>
      <c r="J406" s="94"/>
      <c r="K406" s="94"/>
    </row>
    <row r="407" spans="4:11">
      <c r="D407" s="94"/>
      <c r="E407" s="94"/>
      <c r="F407" s="94"/>
      <c r="G407" s="94"/>
      <c r="H407" s="94"/>
      <c r="I407" s="94"/>
      <c r="J407" s="94"/>
      <c r="K407" s="94"/>
    </row>
    <row r="408" spans="4:11">
      <c r="D408" s="94"/>
      <c r="E408" s="94"/>
      <c r="F408" s="94"/>
      <c r="G408" s="94"/>
      <c r="H408" s="94"/>
      <c r="I408" s="94"/>
      <c r="J408" s="94"/>
      <c r="K408" s="94"/>
    </row>
    <row r="409" spans="4:11">
      <c r="D409" s="94"/>
      <c r="E409" s="94"/>
      <c r="F409" s="94"/>
      <c r="G409" s="94"/>
      <c r="H409" s="94"/>
      <c r="I409" s="94"/>
      <c r="J409" s="94"/>
      <c r="K409" s="94"/>
    </row>
    <row r="410" spans="4:11">
      <c r="D410" s="94"/>
      <c r="E410" s="94"/>
      <c r="F410" s="94"/>
      <c r="G410" s="94"/>
      <c r="H410" s="94"/>
      <c r="I410" s="94"/>
      <c r="J410" s="94"/>
      <c r="K410" s="94"/>
    </row>
    <row r="411" spans="4:11">
      <c r="D411" s="94"/>
      <c r="E411" s="94"/>
      <c r="F411" s="94"/>
      <c r="G411" s="94"/>
      <c r="H411" s="94"/>
      <c r="I411" s="94"/>
      <c r="J411" s="94"/>
      <c r="K411" s="94"/>
    </row>
    <row r="412" spans="4:11">
      <c r="D412" s="94"/>
      <c r="E412" s="94"/>
      <c r="F412" s="94"/>
      <c r="G412" s="94"/>
      <c r="H412" s="94"/>
      <c r="I412" s="94"/>
      <c r="J412" s="94"/>
      <c r="K412" s="94"/>
    </row>
    <row r="413" spans="4:11">
      <c r="D413" s="94"/>
      <c r="E413" s="94"/>
      <c r="F413" s="94"/>
      <c r="G413" s="94"/>
      <c r="H413" s="94"/>
      <c r="I413" s="94"/>
      <c r="J413" s="94"/>
      <c r="K413" s="94"/>
    </row>
    <row r="414" spans="4:11">
      <c r="D414" s="94"/>
      <c r="E414" s="94"/>
      <c r="F414" s="94"/>
      <c r="G414" s="94"/>
      <c r="H414" s="94"/>
      <c r="I414" s="94"/>
      <c r="J414" s="94"/>
      <c r="K414" s="94"/>
    </row>
    <row r="415" spans="4:11">
      <c r="D415" s="94"/>
      <c r="E415" s="94"/>
      <c r="F415" s="94"/>
      <c r="G415" s="94"/>
      <c r="H415" s="94"/>
      <c r="I415" s="94"/>
      <c r="J415" s="94"/>
      <c r="K415" s="94"/>
    </row>
    <row r="416" spans="4:11">
      <c r="D416" s="94"/>
      <c r="E416" s="94"/>
      <c r="F416" s="94"/>
      <c r="G416" s="94"/>
      <c r="H416" s="94"/>
      <c r="I416" s="94"/>
      <c r="J416" s="94"/>
      <c r="K416" s="94"/>
    </row>
    <row r="417" spans="4:11">
      <c r="D417" s="94"/>
      <c r="E417" s="94"/>
      <c r="F417" s="94"/>
      <c r="G417" s="94"/>
      <c r="H417" s="94"/>
      <c r="I417" s="94"/>
      <c r="J417" s="94"/>
      <c r="K417" s="94"/>
    </row>
    <row r="418" spans="4:11">
      <c r="D418" s="94"/>
      <c r="E418" s="94"/>
      <c r="F418" s="94"/>
      <c r="G418" s="94"/>
      <c r="H418" s="94"/>
      <c r="I418" s="94"/>
      <c r="J418" s="94"/>
      <c r="K418" s="94"/>
    </row>
    <row r="419" spans="4:11">
      <c r="D419" s="94"/>
      <c r="E419" s="94"/>
      <c r="F419" s="94"/>
      <c r="G419" s="94"/>
      <c r="H419" s="94"/>
      <c r="I419" s="94"/>
      <c r="J419" s="94"/>
      <c r="K419" s="94"/>
    </row>
    <row r="420" spans="4:11">
      <c r="D420" s="94"/>
      <c r="E420" s="94"/>
      <c r="F420" s="94"/>
      <c r="G420" s="94"/>
      <c r="H420" s="94"/>
      <c r="I420" s="94"/>
      <c r="J420" s="94"/>
      <c r="K420" s="94"/>
    </row>
    <row r="421" spans="4:11">
      <c r="D421" s="94"/>
      <c r="E421" s="94"/>
      <c r="F421" s="94"/>
      <c r="G421" s="94"/>
      <c r="H421" s="94"/>
      <c r="I421" s="94"/>
      <c r="J421" s="94"/>
      <c r="K421" s="94"/>
    </row>
    <row r="422" spans="4:11">
      <c r="D422" s="94"/>
      <c r="E422" s="94"/>
      <c r="F422" s="94"/>
      <c r="G422" s="94"/>
      <c r="H422" s="94"/>
      <c r="I422" s="94"/>
      <c r="J422" s="94"/>
      <c r="K422" s="94"/>
    </row>
    <row r="423" spans="4:11">
      <c r="D423" s="94"/>
      <c r="E423" s="94"/>
      <c r="F423" s="94"/>
      <c r="G423" s="94"/>
      <c r="H423" s="94"/>
      <c r="I423" s="94"/>
      <c r="J423" s="94"/>
      <c r="K423" s="94"/>
    </row>
    <row r="424" spans="4:11">
      <c r="D424" s="94"/>
      <c r="E424" s="94"/>
      <c r="F424" s="94"/>
      <c r="G424" s="94"/>
      <c r="H424" s="94"/>
      <c r="I424" s="94"/>
      <c r="J424" s="94"/>
      <c r="K424" s="94"/>
    </row>
    <row r="425" spans="4:11">
      <c r="D425" s="94"/>
      <c r="E425" s="94"/>
      <c r="F425" s="94"/>
      <c r="G425" s="94"/>
      <c r="H425" s="94"/>
      <c r="I425" s="94"/>
      <c r="J425" s="94"/>
      <c r="K425" s="94"/>
    </row>
    <row r="426" spans="4:11">
      <c r="D426" s="94"/>
      <c r="E426" s="94"/>
      <c r="F426" s="94"/>
      <c r="G426" s="94"/>
      <c r="H426" s="94"/>
      <c r="I426" s="94"/>
      <c r="J426" s="94"/>
      <c r="K426" s="94"/>
    </row>
    <row r="427" spans="4:11">
      <c r="D427" s="94"/>
      <c r="E427" s="94"/>
      <c r="F427" s="94"/>
      <c r="G427" s="94"/>
      <c r="H427" s="94"/>
      <c r="I427" s="94"/>
      <c r="J427" s="94"/>
      <c r="K427" s="94"/>
    </row>
    <row r="428" spans="4:11">
      <c r="D428" s="94"/>
      <c r="E428" s="94"/>
      <c r="F428" s="94"/>
      <c r="G428" s="94"/>
      <c r="H428" s="94"/>
      <c r="I428" s="94"/>
      <c r="J428" s="94"/>
      <c r="K428" s="94"/>
    </row>
    <row r="429" spans="4:11">
      <c r="D429" s="94"/>
      <c r="E429" s="94"/>
      <c r="F429" s="94"/>
      <c r="G429" s="94"/>
      <c r="H429" s="94"/>
      <c r="I429" s="94"/>
      <c r="J429" s="94"/>
      <c r="K429" s="94"/>
    </row>
    <row r="430" spans="4:11">
      <c r="D430" s="94"/>
      <c r="E430" s="94"/>
      <c r="F430" s="94"/>
      <c r="G430" s="94"/>
      <c r="H430" s="94"/>
      <c r="I430" s="94"/>
      <c r="J430" s="94"/>
      <c r="K430" s="94"/>
    </row>
    <row r="431" spans="4:11">
      <c r="D431" s="94"/>
      <c r="E431" s="94"/>
      <c r="F431" s="94"/>
      <c r="G431" s="94"/>
      <c r="H431" s="94"/>
      <c r="I431" s="94"/>
      <c r="J431" s="94"/>
      <c r="K431" s="94"/>
    </row>
    <row r="432" spans="4:11">
      <c r="D432" s="94"/>
      <c r="E432" s="94"/>
      <c r="F432" s="94"/>
      <c r="G432" s="94"/>
      <c r="H432" s="94"/>
      <c r="I432" s="94"/>
      <c r="J432" s="94"/>
      <c r="K432" s="94"/>
    </row>
    <row r="433" spans="4:11">
      <c r="D433" s="94"/>
      <c r="E433" s="94"/>
      <c r="F433" s="94"/>
      <c r="G433" s="94"/>
      <c r="H433" s="94"/>
      <c r="I433" s="94"/>
      <c r="J433" s="94"/>
      <c r="K433" s="94"/>
    </row>
    <row r="434" spans="4:11">
      <c r="D434" s="94"/>
      <c r="E434" s="94"/>
      <c r="F434" s="94"/>
      <c r="G434" s="94"/>
      <c r="H434" s="94"/>
      <c r="I434" s="94"/>
      <c r="J434" s="94"/>
      <c r="K434" s="94"/>
    </row>
    <row r="435" spans="4:11">
      <c r="D435" s="94"/>
      <c r="E435" s="94"/>
      <c r="F435" s="94"/>
      <c r="G435" s="94"/>
      <c r="H435" s="94"/>
      <c r="I435" s="94"/>
      <c r="J435" s="94"/>
      <c r="K435" s="94"/>
    </row>
    <row r="436" spans="4:11">
      <c r="D436" s="94"/>
      <c r="E436" s="94"/>
      <c r="F436" s="94"/>
      <c r="G436" s="94"/>
      <c r="H436" s="94"/>
      <c r="I436" s="94"/>
      <c r="J436" s="94"/>
      <c r="K436" s="94"/>
    </row>
    <row r="437" spans="4:11">
      <c r="D437" s="94"/>
      <c r="E437" s="94"/>
      <c r="F437" s="94"/>
      <c r="G437" s="94"/>
      <c r="H437" s="94"/>
      <c r="I437" s="94"/>
      <c r="J437" s="94"/>
      <c r="K437" s="94"/>
    </row>
    <row r="438" spans="4:11">
      <c r="D438" s="94"/>
      <c r="E438" s="94"/>
      <c r="F438" s="94"/>
      <c r="G438" s="94"/>
      <c r="H438" s="94"/>
      <c r="I438" s="94"/>
      <c r="J438" s="94"/>
      <c r="K438" s="94"/>
    </row>
    <row r="439" spans="4:11">
      <c r="D439" s="94"/>
      <c r="E439" s="94"/>
      <c r="F439" s="94"/>
      <c r="G439" s="94"/>
      <c r="H439" s="94"/>
      <c r="I439" s="94"/>
      <c r="J439" s="94"/>
      <c r="K439" s="94"/>
    </row>
    <row r="440" spans="4:11">
      <c r="D440" s="94"/>
      <c r="E440" s="94"/>
      <c r="F440" s="94"/>
      <c r="G440" s="94"/>
      <c r="H440" s="94"/>
      <c r="I440" s="94"/>
      <c r="J440" s="94"/>
      <c r="K440" s="94"/>
    </row>
    <row r="441" spans="4:11">
      <c r="D441" s="94"/>
      <c r="E441" s="94"/>
      <c r="F441" s="94"/>
      <c r="G441" s="94"/>
      <c r="H441" s="94"/>
      <c r="I441" s="94"/>
      <c r="J441" s="94"/>
      <c r="K441" s="94"/>
    </row>
    <row r="442" spans="4:11">
      <c r="D442" s="94"/>
      <c r="E442" s="94"/>
      <c r="F442" s="94"/>
      <c r="G442" s="94"/>
      <c r="H442" s="94"/>
      <c r="I442" s="94"/>
      <c r="J442" s="94"/>
      <c r="K442" s="94"/>
    </row>
    <row r="443" spans="4:11">
      <c r="D443" s="94"/>
      <c r="E443" s="94"/>
      <c r="F443" s="94"/>
      <c r="G443" s="94"/>
      <c r="H443" s="94"/>
      <c r="I443" s="94"/>
      <c r="J443" s="94"/>
      <c r="K443" s="94"/>
    </row>
    <row r="444" spans="4:11">
      <c r="D444" s="94"/>
      <c r="E444" s="94"/>
      <c r="F444" s="94"/>
      <c r="G444" s="94"/>
      <c r="H444" s="94"/>
      <c r="I444" s="94"/>
      <c r="J444" s="94"/>
      <c r="K444" s="94"/>
    </row>
    <row r="445" spans="4:11">
      <c r="D445" s="94"/>
      <c r="E445" s="94"/>
      <c r="F445" s="94"/>
      <c r="G445" s="94"/>
      <c r="H445" s="94"/>
      <c r="I445" s="94"/>
      <c r="J445" s="94"/>
      <c r="K445" s="94"/>
    </row>
    <row r="446" spans="4:11">
      <c r="D446" s="94"/>
      <c r="E446" s="94"/>
      <c r="F446" s="94"/>
      <c r="G446" s="94"/>
      <c r="H446" s="94"/>
      <c r="I446" s="94"/>
      <c r="J446" s="94"/>
      <c r="K446" s="94"/>
    </row>
    <row r="447" spans="4:11">
      <c r="D447" s="94"/>
      <c r="E447" s="94"/>
      <c r="F447" s="94"/>
      <c r="G447" s="94"/>
      <c r="H447" s="94"/>
      <c r="I447" s="94"/>
      <c r="J447" s="94"/>
      <c r="K447" s="94"/>
    </row>
    <row r="448" spans="4:11">
      <c r="D448" s="94"/>
      <c r="E448" s="94"/>
      <c r="F448" s="94"/>
      <c r="G448" s="94"/>
      <c r="H448" s="94"/>
      <c r="I448" s="94"/>
      <c r="J448" s="94"/>
      <c r="K448" s="94"/>
    </row>
    <row r="449" spans="4:11">
      <c r="D449" s="94"/>
      <c r="E449" s="94"/>
      <c r="F449" s="94"/>
      <c r="G449" s="94"/>
      <c r="H449" s="94"/>
      <c r="I449" s="94"/>
      <c r="J449" s="94"/>
      <c r="K449" s="94"/>
    </row>
    <row r="450" spans="4:11">
      <c r="D450" s="94"/>
      <c r="E450" s="94"/>
      <c r="F450" s="94"/>
      <c r="G450" s="94"/>
      <c r="H450" s="94"/>
      <c r="I450" s="94"/>
      <c r="J450" s="94"/>
      <c r="K450" s="94"/>
    </row>
    <row r="451" spans="4:11">
      <c r="D451" s="94"/>
      <c r="E451" s="94"/>
      <c r="F451" s="94"/>
      <c r="G451" s="94"/>
      <c r="H451" s="94"/>
      <c r="I451" s="94"/>
      <c r="J451" s="94"/>
      <c r="K451" s="94"/>
    </row>
    <row r="452" spans="4:11">
      <c r="D452" s="94"/>
      <c r="E452" s="94"/>
      <c r="F452" s="94"/>
      <c r="G452" s="94"/>
      <c r="H452" s="94"/>
      <c r="I452" s="94"/>
      <c r="J452" s="94"/>
      <c r="K452" s="94"/>
    </row>
    <row r="453" spans="4:11">
      <c r="D453" s="94"/>
      <c r="E453" s="94"/>
      <c r="F453" s="94"/>
      <c r="G453" s="94"/>
      <c r="H453" s="94"/>
      <c r="I453" s="94"/>
      <c r="J453" s="94"/>
      <c r="K453" s="94"/>
    </row>
    <row r="454" spans="4:11">
      <c r="D454" s="94"/>
      <c r="E454" s="94"/>
      <c r="F454" s="94"/>
      <c r="G454" s="94"/>
      <c r="H454" s="94"/>
      <c r="I454" s="94"/>
      <c r="J454" s="94"/>
      <c r="K454" s="94"/>
    </row>
    <row r="455" spans="4:11">
      <c r="D455" s="94"/>
      <c r="E455" s="94"/>
      <c r="F455" s="94"/>
      <c r="G455" s="94"/>
      <c r="H455" s="94"/>
      <c r="I455" s="94"/>
      <c r="J455" s="94"/>
      <c r="K455" s="94"/>
    </row>
    <row r="456" spans="4:11">
      <c r="D456" s="94"/>
      <c r="E456" s="94"/>
      <c r="F456" s="94"/>
      <c r="G456" s="94"/>
      <c r="H456" s="94"/>
      <c r="I456" s="94"/>
      <c r="J456" s="94"/>
      <c r="K456" s="94"/>
    </row>
    <row r="457" spans="4:11">
      <c r="D457" s="94"/>
      <c r="E457" s="94"/>
      <c r="F457" s="94"/>
      <c r="G457" s="94"/>
      <c r="H457" s="94"/>
      <c r="I457" s="94"/>
      <c r="J457" s="94"/>
      <c r="K457" s="94"/>
    </row>
    <row r="458" spans="4:11">
      <c r="D458" s="94"/>
      <c r="E458" s="94"/>
      <c r="F458" s="94"/>
      <c r="G458" s="94"/>
      <c r="H458" s="94"/>
      <c r="I458" s="94"/>
      <c r="J458" s="94"/>
      <c r="K458" s="94"/>
    </row>
    <row r="459" spans="4:11">
      <c r="D459" s="94"/>
      <c r="E459" s="94"/>
      <c r="F459" s="94"/>
      <c r="G459" s="94"/>
      <c r="H459" s="94"/>
      <c r="I459" s="94"/>
      <c r="J459" s="94"/>
      <c r="K459" s="94"/>
    </row>
    <row r="460" spans="4:11">
      <c r="D460" s="94"/>
      <c r="E460" s="94"/>
      <c r="F460" s="94"/>
      <c r="G460" s="94"/>
      <c r="H460" s="94"/>
      <c r="I460" s="94"/>
      <c r="J460" s="94"/>
      <c r="K460" s="94"/>
    </row>
    <row r="461" spans="4:11">
      <c r="D461" s="94"/>
      <c r="E461" s="94"/>
      <c r="F461" s="94"/>
      <c r="G461" s="94"/>
      <c r="H461" s="94"/>
      <c r="I461" s="94"/>
      <c r="J461" s="94"/>
      <c r="K461" s="94"/>
    </row>
    <row r="462" spans="4:11">
      <c r="D462" s="94"/>
      <c r="E462" s="94"/>
      <c r="F462" s="94"/>
      <c r="G462" s="94"/>
      <c r="H462" s="94"/>
      <c r="I462" s="94"/>
      <c r="J462" s="94"/>
      <c r="K462" s="94"/>
    </row>
    <row r="463" spans="4:11">
      <c r="D463" s="94"/>
      <c r="E463" s="94"/>
      <c r="F463" s="94"/>
      <c r="G463" s="94"/>
      <c r="H463" s="94"/>
      <c r="I463" s="94"/>
      <c r="J463" s="94"/>
      <c r="K463" s="94"/>
    </row>
    <row r="464" spans="4:11">
      <c r="D464" s="94"/>
      <c r="E464" s="94"/>
      <c r="F464" s="94"/>
      <c r="G464" s="94"/>
      <c r="H464" s="94"/>
      <c r="I464" s="94"/>
      <c r="J464" s="94"/>
      <c r="K464" s="94"/>
    </row>
    <row r="465" spans="4:11">
      <c r="D465" s="94"/>
      <c r="E465" s="94"/>
      <c r="F465" s="94"/>
      <c r="G465" s="94"/>
      <c r="H465" s="94"/>
      <c r="I465" s="94"/>
      <c r="J465" s="94"/>
      <c r="K465" s="94"/>
    </row>
    <row r="466" spans="4:11">
      <c r="D466" s="94"/>
      <c r="E466" s="94"/>
      <c r="F466" s="94"/>
      <c r="G466" s="94"/>
      <c r="H466" s="94"/>
      <c r="I466" s="94"/>
      <c r="J466" s="94"/>
      <c r="K466" s="94"/>
    </row>
    <row r="467" spans="4:11">
      <c r="D467" s="94"/>
      <c r="E467" s="94"/>
      <c r="F467" s="94"/>
      <c r="G467" s="94"/>
      <c r="H467" s="94"/>
      <c r="I467" s="94"/>
      <c r="J467" s="94"/>
      <c r="K467" s="94"/>
    </row>
    <row r="468" spans="4:11">
      <c r="D468" s="94"/>
      <c r="E468" s="94"/>
      <c r="F468" s="94"/>
      <c r="G468" s="94"/>
      <c r="H468" s="94"/>
      <c r="I468" s="94"/>
      <c r="J468" s="94"/>
      <c r="K468" s="94"/>
    </row>
    <row r="469" spans="4:11">
      <c r="D469" s="94"/>
      <c r="E469" s="94"/>
      <c r="F469" s="94"/>
      <c r="G469" s="94"/>
      <c r="H469" s="94"/>
      <c r="I469" s="94"/>
      <c r="J469" s="94"/>
      <c r="K469" s="94"/>
    </row>
    <row r="470" spans="4:11">
      <c r="D470" s="94"/>
      <c r="E470" s="94"/>
      <c r="F470" s="94"/>
      <c r="G470" s="94"/>
      <c r="H470" s="94"/>
      <c r="I470" s="94"/>
      <c r="J470" s="94"/>
      <c r="K470" s="94"/>
    </row>
    <row r="471" spans="4:11">
      <c r="D471" s="94"/>
      <c r="E471" s="94"/>
      <c r="F471" s="94"/>
      <c r="G471" s="94"/>
      <c r="H471" s="94"/>
      <c r="I471" s="94"/>
      <c r="J471" s="94"/>
      <c r="K471" s="94"/>
    </row>
    <row r="472" spans="4:11">
      <c r="D472" s="94"/>
      <c r="E472" s="94"/>
      <c r="F472" s="94"/>
      <c r="G472" s="94"/>
      <c r="H472" s="94"/>
      <c r="I472" s="94"/>
      <c r="J472" s="94"/>
      <c r="K472" s="94"/>
    </row>
    <row r="473" spans="4:11">
      <c r="D473" s="94"/>
      <c r="E473" s="94"/>
      <c r="F473" s="94"/>
      <c r="G473" s="94"/>
      <c r="H473" s="94"/>
      <c r="I473" s="94"/>
      <c r="J473" s="94"/>
      <c r="K473" s="94"/>
    </row>
    <row r="474" spans="4:11">
      <c r="D474" s="94"/>
      <c r="E474" s="94"/>
      <c r="F474" s="94"/>
      <c r="G474" s="94"/>
      <c r="H474" s="94"/>
      <c r="I474" s="94"/>
      <c r="J474" s="94"/>
      <c r="K474" s="94"/>
    </row>
    <row r="475" spans="4:11">
      <c r="D475" s="94"/>
      <c r="E475" s="94"/>
      <c r="F475" s="94"/>
      <c r="G475" s="94"/>
      <c r="H475" s="94"/>
      <c r="I475" s="94"/>
      <c r="J475" s="94"/>
      <c r="K475" s="94"/>
    </row>
    <row r="476" spans="4:11">
      <c r="D476" s="94"/>
      <c r="E476" s="94"/>
      <c r="F476" s="94"/>
      <c r="G476" s="94"/>
      <c r="H476" s="94"/>
      <c r="I476" s="94"/>
      <c r="J476" s="94"/>
      <c r="K476" s="94"/>
    </row>
    <row r="477" spans="4:11">
      <c r="D477" s="94"/>
      <c r="E477" s="94"/>
      <c r="F477" s="94"/>
      <c r="G477" s="94"/>
      <c r="H477" s="94"/>
      <c r="I477" s="94"/>
      <c r="J477" s="94"/>
      <c r="K477" s="94"/>
    </row>
    <row r="478" spans="4:11">
      <c r="D478" s="94"/>
      <c r="E478" s="94"/>
      <c r="F478" s="94"/>
      <c r="G478" s="94"/>
      <c r="H478" s="94"/>
      <c r="I478" s="94"/>
      <c r="J478" s="94"/>
      <c r="K478" s="94"/>
    </row>
    <row r="479" spans="4:11">
      <c r="D479" s="94"/>
      <c r="E479" s="94"/>
      <c r="F479" s="94"/>
      <c r="G479" s="94"/>
      <c r="H479" s="94"/>
      <c r="I479" s="94"/>
      <c r="J479" s="94"/>
      <c r="K479" s="94"/>
    </row>
    <row r="480" spans="4:11">
      <c r="D480" s="94"/>
      <c r="E480" s="94"/>
      <c r="F480" s="94"/>
      <c r="G480" s="94"/>
      <c r="H480" s="94"/>
      <c r="I480" s="94"/>
      <c r="J480" s="94"/>
      <c r="K480" s="94"/>
    </row>
    <row r="481" spans="4:11">
      <c r="D481" s="94"/>
      <c r="E481" s="94"/>
      <c r="F481" s="94"/>
      <c r="G481" s="94"/>
      <c r="H481" s="94"/>
      <c r="I481" s="94"/>
      <c r="J481" s="94"/>
      <c r="K481" s="94"/>
    </row>
    <row r="482" spans="4:11">
      <c r="D482" s="94"/>
      <c r="E482" s="94"/>
      <c r="F482" s="94"/>
      <c r="G482" s="94"/>
      <c r="H482" s="94"/>
      <c r="I482" s="94"/>
      <c r="J482" s="94"/>
      <c r="K482" s="94"/>
    </row>
    <row r="483" spans="4:11">
      <c r="D483" s="94"/>
      <c r="E483" s="94"/>
      <c r="F483" s="94"/>
      <c r="G483" s="94"/>
      <c r="H483" s="94"/>
      <c r="I483" s="94"/>
      <c r="J483" s="94"/>
      <c r="K483" s="94"/>
    </row>
    <row r="484" spans="4:11">
      <c r="D484" s="94"/>
      <c r="E484" s="94"/>
      <c r="F484" s="94"/>
      <c r="G484" s="94"/>
      <c r="H484" s="94"/>
      <c r="I484" s="94"/>
      <c r="J484" s="94"/>
      <c r="K484" s="94"/>
    </row>
    <row r="485" spans="4:11">
      <c r="D485" s="94"/>
      <c r="E485" s="94"/>
      <c r="F485" s="94"/>
      <c r="G485" s="94"/>
      <c r="H485" s="94"/>
      <c r="I485" s="94"/>
      <c r="J485" s="94"/>
      <c r="K485" s="94"/>
    </row>
    <row r="486" spans="4:11">
      <c r="D486" s="94"/>
      <c r="E486" s="94"/>
      <c r="F486" s="94"/>
      <c r="G486" s="94"/>
      <c r="H486" s="94"/>
      <c r="I486" s="94"/>
      <c r="J486" s="94"/>
      <c r="K486" s="94"/>
    </row>
    <row r="487" spans="4:11">
      <c r="D487" s="94"/>
      <c r="E487" s="94"/>
      <c r="F487" s="94"/>
      <c r="G487" s="94"/>
      <c r="H487" s="94"/>
      <c r="I487" s="94"/>
      <c r="J487" s="94"/>
      <c r="K487" s="94"/>
    </row>
    <row r="488" spans="4:11">
      <c r="D488" s="94"/>
      <c r="E488" s="94"/>
      <c r="F488" s="94"/>
      <c r="G488" s="94"/>
      <c r="H488" s="94"/>
      <c r="I488" s="94"/>
      <c r="J488" s="94"/>
      <c r="K488" s="94"/>
    </row>
    <row r="489" spans="4:11">
      <c r="D489" s="94"/>
      <c r="E489" s="94"/>
      <c r="F489" s="94"/>
      <c r="G489" s="94"/>
      <c r="H489" s="94"/>
      <c r="I489" s="94"/>
      <c r="J489" s="94"/>
      <c r="K489" s="94"/>
    </row>
    <row r="490" spans="4:11">
      <c r="D490" s="94"/>
      <c r="E490" s="94"/>
      <c r="F490" s="94"/>
      <c r="G490" s="94"/>
      <c r="H490" s="94"/>
      <c r="I490" s="94"/>
      <c r="J490" s="94"/>
      <c r="K490" s="94"/>
    </row>
    <row r="491" spans="4:11">
      <c r="D491" s="94"/>
      <c r="E491" s="94"/>
      <c r="F491" s="94"/>
      <c r="G491" s="94"/>
      <c r="H491" s="94"/>
      <c r="I491" s="94"/>
      <c r="J491" s="94"/>
      <c r="K491" s="94"/>
    </row>
    <row r="492" spans="4:11">
      <c r="D492" s="94"/>
      <c r="E492" s="94"/>
      <c r="F492" s="94"/>
      <c r="G492" s="94"/>
      <c r="H492" s="94"/>
      <c r="I492" s="94"/>
      <c r="J492" s="94"/>
      <c r="K492" s="94"/>
    </row>
    <row r="493" spans="4:11">
      <c r="D493" s="94"/>
      <c r="E493" s="94"/>
      <c r="F493" s="94"/>
      <c r="G493" s="94"/>
      <c r="H493" s="94"/>
      <c r="I493" s="94"/>
      <c r="J493" s="94"/>
      <c r="K493" s="94"/>
    </row>
    <row r="494" spans="4:11">
      <c r="D494" s="94"/>
      <c r="E494" s="94"/>
      <c r="F494" s="94"/>
      <c r="G494" s="94"/>
      <c r="H494" s="94"/>
      <c r="I494" s="94"/>
      <c r="J494" s="94"/>
      <c r="K494" s="94"/>
    </row>
    <row r="495" spans="4:11">
      <c r="D495" s="94"/>
      <c r="E495" s="94"/>
      <c r="F495" s="94"/>
      <c r="G495" s="94"/>
      <c r="H495" s="94"/>
      <c r="I495" s="94"/>
      <c r="J495" s="94"/>
      <c r="K495" s="94"/>
    </row>
    <row r="496" spans="4:11">
      <c r="D496" s="94"/>
      <c r="E496" s="94"/>
      <c r="F496" s="94"/>
      <c r="G496" s="94"/>
      <c r="H496" s="94"/>
      <c r="I496" s="94"/>
      <c r="J496" s="94"/>
      <c r="K496" s="94"/>
    </row>
    <row r="497" spans="4:11">
      <c r="D497" s="94"/>
      <c r="E497" s="94"/>
      <c r="F497" s="94"/>
      <c r="G497" s="94"/>
      <c r="H497" s="94"/>
      <c r="I497" s="94"/>
      <c r="J497" s="94"/>
      <c r="K497" s="94"/>
    </row>
    <row r="498" spans="4:11">
      <c r="D498" s="94"/>
      <c r="E498" s="94"/>
      <c r="F498" s="94"/>
      <c r="G498" s="94"/>
      <c r="H498" s="94"/>
      <c r="I498" s="94"/>
      <c r="J498" s="94"/>
      <c r="K498" s="94"/>
    </row>
  </sheetData>
  <mergeCells count="1">
    <mergeCell ref="B6:T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AN448"/>
  <sheetViews>
    <sheetView zoomScaleNormal="100" workbookViewId="0">
      <pane xSplit="1" ySplit="8" topLeftCell="B9" activePane="bottomRight" state="frozen"/>
      <selection pane="bottomRight" activeCell="A122" sqref="A122"/>
      <selection pane="bottomLeft" activeCell="A9" sqref="A9"/>
      <selection pane="topRight" activeCell="B1" sqref="B1"/>
    </sheetView>
  </sheetViews>
  <sheetFormatPr defaultColWidth="11.42578125" defaultRowHeight="10.15"/>
  <cols>
    <col min="1" max="1" width="15.5703125" style="2" bestFit="1" customWidth="1"/>
    <col min="2" max="2" width="11.140625" style="8" customWidth="1"/>
    <col min="3" max="3" width="11.140625" style="9" customWidth="1"/>
    <col min="4" max="4" width="11.140625" style="10" customWidth="1"/>
    <col min="5" max="5" width="11.140625" style="4" customWidth="1"/>
    <col min="6" max="6" width="11.140625" style="8" customWidth="1"/>
    <col min="7" max="7" width="11.140625" style="10" customWidth="1"/>
    <col min="8" max="10" width="11.140625" style="4" customWidth="1"/>
    <col min="11" max="11" width="18.42578125" style="53" customWidth="1"/>
    <col min="12" max="12" width="11.140625" style="4" customWidth="1"/>
    <col min="13" max="34" width="11.42578125" style="1"/>
    <col min="35" max="40" width="11.42578125" style="33"/>
    <col min="41" max="16384" width="11.42578125" style="1"/>
  </cols>
  <sheetData>
    <row r="1" spans="1:40">
      <c r="A1" s="23" t="s">
        <v>44</v>
      </c>
      <c r="B1" s="23" t="s">
        <v>221</v>
      </c>
      <c r="C1" s="23"/>
      <c r="D1" s="23"/>
      <c r="E1" s="23"/>
      <c r="F1" s="23"/>
      <c r="G1" s="23"/>
      <c r="H1" s="23"/>
      <c r="I1" s="23"/>
      <c r="J1" s="23"/>
      <c r="K1" s="111"/>
      <c r="L1" s="23"/>
      <c r="M1" s="23"/>
      <c r="N1" s="23"/>
      <c r="O1" s="23"/>
      <c r="P1" s="23"/>
      <c r="Q1" s="23"/>
      <c r="R1" s="23"/>
      <c r="S1" s="23"/>
      <c r="T1" s="23"/>
      <c r="U1" s="23"/>
      <c r="V1" s="23"/>
      <c r="W1" s="23"/>
      <c r="X1" s="23"/>
      <c r="Y1" s="23"/>
      <c r="Z1" s="23"/>
      <c r="AA1" s="23"/>
      <c r="AB1" s="23"/>
      <c r="AC1" s="23"/>
      <c r="AD1" s="23"/>
      <c r="AE1" s="23"/>
      <c r="AF1" s="23"/>
      <c r="AG1" s="23"/>
      <c r="AH1" s="23"/>
      <c r="AI1" s="111"/>
      <c r="AJ1" s="111"/>
      <c r="AK1" s="111"/>
      <c r="AL1" s="111"/>
      <c r="AM1" s="111"/>
      <c r="AN1" s="111"/>
    </row>
    <row r="2" spans="1:40">
      <c r="A2" s="23" t="s">
        <v>46</v>
      </c>
      <c r="B2" s="23" t="s">
        <v>47</v>
      </c>
      <c r="C2" s="23"/>
      <c r="D2" s="23"/>
      <c r="E2" s="23"/>
      <c r="F2" s="23"/>
      <c r="G2" s="23"/>
      <c r="H2" s="23"/>
      <c r="I2" s="23"/>
      <c r="J2" s="23"/>
      <c r="K2" s="111"/>
      <c r="L2" s="23"/>
      <c r="M2" s="23"/>
      <c r="N2" s="23"/>
      <c r="O2" s="23"/>
      <c r="P2" s="23"/>
      <c r="Q2" s="23"/>
      <c r="R2" s="23"/>
      <c r="S2" s="23"/>
      <c r="T2" s="23"/>
      <c r="U2" s="23"/>
      <c r="V2" s="23"/>
      <c r="W2" s="23"/>
      <c r="X2" s="23"/>
      <c r="Y2" s="23"/>
      <c r="Z2" s="23"/>
      <c r="AA2" s="23"/>
      <c r="AB2" s="23"/>
      <c r="AC2" s="23"/>
      <c r="AD2" s="23"/>
      <c r="AE2" s="23"/>
      <c r="AF2" s="23"/>
      <c r="AG2" s="23"/>
      <c r="AH2" s="23"/>
      <c r="AI2" s="111"/>
      <c r="AJ2" s="111"/>
      <c r="AK2" s="111"/>
      <c r="AL2" s="111"/>
      <c r="AM2" s="111"/>
      <c r="AN2" s="111"/>
    </row>
    <row r="3" spans="1:40">
      <c r="A3" s="23" t="s">
        <v>48</v>
      </c>
      <c r="B3" s="23" t="s">
        <v>222</v>
      </c>
      <c r="C3" s="23"/>
      <c r="D3" s="23"/>
      <c r="E3" s="23"/>
      <c r="F3" s="23"/>
      <c r="G3" s="23"/>
      <c r="H3" s="23"/>
      <c r="I3" s="23"/>
      <c r="J3" s="23"/>
      <c r="K3" s="111"/>
      <c r="L3" s="23"/>
      <c r="M3" s="23"/>
      <c r="N3" s="23"/>
      <c r="O3" s="23"/>
      <c r="P3" s="23"/>
      <c r="Q3" s="23"/>
      <c r="R3" s="23"/>
      <c r="S3" s="23"/>
      <c r="T3" s="23"/>
      <c r="U3" s="23"/>
      <c r="V3" s="23"/>
      <c r="W3" s="23"/>
      <c r="X3" s="23"/>
      <c r="Y3" s="23"/>
      <c r="Z3" s="23"/>
      <c r="AA3" s="23"/>
      <c r="AB3" s="23"/>
      <c r="AC3" s="23"/>
      <c r="AD3" s="23"/>
      <c r="AE3" s="23"/>
      <c r="AF3" s="23"/>
      <c r="AG3" s="23"/>
      <c r="AH3" s="23"/>
      <c r="AI3" s="111"/>
      <c r="AJ3" s="111"/>
      <c r="AK3" s="111"/>
      <c r="AL3" s="111"/>
      <c r="AM3" s="111"/>
      <c r="AN3" s="111"/>
    </row>
    <row r="4" spans="1:40">
      <c r="A4" s="23" t="s">
        <v>50</v>
      </c>
      <c r="B4" s="23" t="s">
        <v>51</v>
      </c>
      <c r="C4" s="23"/>
      <c r="D4" s="23"/>
      <c r="E4" s="23"/>
      <c r="F4" s="23"/>
      <c r="G4" s="23"/>
      <c r="H4" s="23"/>
      <c r="I4" s="23"/>
      <c r="J4" s="23"/>
      <c r="K4" s="111"/>
      <c r="L4" s="23"/>
      <c r="M4" s="23"/>
      <c r="N4" s="23"/>
      <c r="O4" s="23"/>
      <c r="P4" s="23"/>
      <c r="Q4" s="23"/>
      <c r="R4" s="23"/>
      <c r="S4" s="23"/>
      <c r="T4" s="23"/>
      <c r="U4" s="23"/>
      <c r="V4" s="23"/>
      <c r="W4" s="23"/>
      <c r="X4" s="23"/>
      <c r="Y4" s="23"/>
      <c r="Z4" s="23"/>
      <c r="AA4" s="23"/>
      <c r="AB4" s="23"/>
      <c r="AC4" s="23"/>
      <c r="AD4" s="23"/>
      <c r="AE4" s="23"/>
      <c r="AF4" s="23"/>
      <c r="AG4" s="23"/>
      <c r="AH4" s="23"/>
      <c r="AI4" s="111"/>
      <c r="AJ4" s="111"/>
      <c r="AK4" s="111"/>
      <c r="AL4" s="111"/>
      <c r="AM4" s="111"/>
      <c r="AN4" s="111"/>
    </row>
    <row r="5" spans="1:40">
      <c r="A5" s="19"/>
      <c r="B5" s="23"/>
      <c r="C5" s="23"/>
      <c r="D5" s="23"/>
      <c r="E5" s="23"/>
      <c r="F5" s="23"/>
      <c r="G5" s="23"/>
      <c r="H5" s="23"/>
      <c r="I5" s="23"/>
      <c r="J5" s="23"/>
      <c r="K5" s="111"/>
      <c r="L5" s="23"/>
      <c r="M5" s="23"/>
      <c r="N5" s="23"/>
      <c r="O5" s="23"/>
      <c r="P5" s="23"/>
      <c r="Q5" s="23"/>
      <c r="R5" s="23"/>
      <c r="S5" s="23"/>
      <c r="T5" s="23"/>
      <c r="U5" s="23"/>
      <c r="V5" s="23"/>
      <c r="W5" s="23"/>
      <c r="X5" s="23"/>
      <c r="Y5" s="23"/>
      <c r="Z5" s="23"/>
      <c r="AA5" s="23"/>
      <c r="AB5" s="23"/>
      <c r="AC5" s="23"/>
      <c r="AD5" s="23"/>
      <c r="AE5" s="23"/>
      <c r="AF5" s="23"/>
      <c r="AG5" s="23"/>
      <c r="AH5" s="23"/>
      <c r="AI5" s="111"/>
      <c r="AJ5" s="111"/>
      <c r="AK5" s="111"/>
      <c r="AL5" s="111"/>
      <c r="AM5" s="111"/>
      <c r="AN5" s="111"/>
    </row>
    <row r="6" spans="1:40" ht="11.45">
      <c r="A6" s="16"/>
      <c r="B6" s="262" t="s">
        <v>222</v>
      </c>
      <c r="C6" s="262"/>
      <c r="D6" s="262"/>
      <c r="E6" s="262"/>
      <c r="F6" s="262"/>
      <c r="G6" s="262"/>
      <c r="H6" s="262"/>
      <c r="I6" s="262"/>
      <c r="J6" s="262"/>
      <c r="K6" s="262"/>
      <c r="L6" s="262"/>
      <c r="M6" s="262"/>
      <c r="N6" s="262"/>
      <c r="O6" s="262"/>
      <c r="P6" s="262"/>
      <c r="Q6" s="262"/>
      <c r="R6" s="262"/>
      <c r="S6" s="262"/>
      <c r="T6" s="262"/>
      <c r="U6" s="262"/>
      <c r="V6" s="262"/>
      <c r="W6" s="262"/>
      <c r="X6" s="262"/>
      <c r="Y6" s="262"/>
      <c r="Z6" s="262"/>
      <c r="AA6" s="262"/>
      <c r="AB6" s="262"/>
      <c r="AC6" s="262"/>
      <c r="AD6" s="262"/>
      <c r="AE6" s="262"/>
      <c r="AF6" s="262"/>
      <c r="AG6" s="262"/>
      <c r="AH6" s="262"/>
      <c r="AI6" s="262"/>
      <c r="AJ6" s="262"/>
      <c r="AK6" s="262"/>
      <c r="AL6" s="262"/>
      <c r="AM6" s="262"/>
      <c r="AN6" s="262"/>
    </row>
    <row r="7" spans="1:40" ht="11.45">
      <c r="A7" s="16"/>
      <c r="B7" s="263" t="s">
        <v>214</v>
      </c>
      <c r="C7" s="263"/>
      <c r="D7" s="263"/>
      <c r="E7" s="263"/>
      <c r="F7" s="263"/>
      <c r="G7" s="263" t="s">
        <v>215</v>
      </c>
      <c r="H7" s="263"/>
      <c r="I7" s="263"/>
      <c r="J7" s="263"/>
      <c r="K7" s="263"/>
      <c r="L7" s="263"/>
      <c r="M7" s="264" t="s">
        <v>214</v>
      </c>
      <c r="N7" s="265"/>
      <c r="O7" s="265"/>
      <c r="P7" s="265"/>
      <c r="Q7" s="266"/>
      <c r="R7" s="263" t="s">
        <v>215</v>
      </c>
      <c r="S7" s="263"/>
      <c r="T7" s="263"/>
      <c r="U7" s="263"/>
      <c r="V7" s="263"/>
      <c r="W7" s="264" t="s">
        <v>223</v>
      </c>
      <c r="X7" s="265"/>
      <c r="Y7" s="265"/>
      <c r="Z7" s="265"/>
      <c r="AA7" s="265"/>
      <c r="AB7" s="266"/>
      <c r="AC7" s="263" t="s">
        <v>224</v>
      </c>
      <c r="AD7" s="263"/>
      <c r="AE7" s="263"/>
      <c r="AF7" s="263"/>
      <c r="AG7" s="263"/>
      <c r="AH7" s="263"/>
      <c r="AI7" s="263" t="s">
        <v>225</v>
      </c>
      <c r="AJ7" s="263"/>
      <c r="AK7" s="263"/>
      <c r="AL7" s="263"/>
      <c r="AM7" s="263"/>
      <c r="AN7" s="263"/>
    </row>
    <row r="8" spans="1:40" ht="21" customHeight="1">
      <c r="A8" s="162" t="s">
        <v>53</v>
      </c>
      <c r="B8" s="28" t="s">
        <v>226</v>
      </c>
      <c r="C8" s="29" t="s">
        <v>227</v>
      </c>
      <c r="D8" s="88" t="s">
        <v>228</v>
      </c>
      <c r="E8" s="29" t="s">
        <v>229</v>
      </c>
      <c r="F8" s="30" t="s">
        <v>60</v>
      </c>
      <c r="G8" s="28" t="s">
        <v>230</v>
      </c>
      <c r="H8" s="29" t="s">
        <v>231</v>
      </c>
      <c r="I8" s="88" t="s">
        <v>232</v>
      </c>
      <c r="J8" s="29" t="s">
        <v>233</v>
      </c>
      <c r="K8" s="29" t="s">
        <v>234</v>
      </c>
      <c r="L8" s="30" t="s">
        <v>60</v>
      </c>
      <c r="M8" s="28" t="s">
        <v>235</v>
      </c>
      <c r="N8" s="29" t="s">
        <v>236</v>
      </c>
      <c r="O8" s="88" t="s">
        <v>57</v>
      </c>
      <c r="P8" s="29" t="s">
        <v>237</v>
      </c>
      <c r="Q8" s="52" t="s">
        <v>238</v>
      </c>
      <c r="R8" s="28" t="s">
        <v>235</v>
      </c>
      <c r="S8" s="29" t="s">
        <v>236</v>
      </c>
      <c r="T8" s="88" t="s">
        <v>57</v>
      </c>
      <c r="U8" s="29" t="s">
        <v>237</v>
      </c>
      <c r="V8" s="30" t="s">
        <v>238</v>
      </c>
      <c r="W8" s="28" t="s">
        <v>235</v>
      </c>
      <c r="X8" s="29" t="s">
        <v>236</v>
      </c>
      <c r="Y8" s="88" t="s">
        <v>57</v>
      </c>
      <c r="Z8" s="29" t="s">
        <v>237</v>
      </c>
      <c r="AA8" s="52" t="s">
        <v>238</v>
      </c>
      <c r="AB8" s="61" t="s">
        <v>239</v>
      </c>
      <c r="AC8" s="28" t="s">
        <v>235</v>
      </c>
      <c r="AD8" s="29" t="s">
        <v>236</v>
      </c>
      <c r="AE8" s="88" t="s">
        <v>57</v>
      </c>
      <c r="AF8" s="29" t="s">
        <v>237</v>
      </c>
      <c r="AG8" s="52" t="s">
        <v>238</v>
      </c>
      <c r="AH8" s="61" t="s">
        <v>239</v>
      </c>
      <c r="AI8" s="28" t="s">
        <v>235</v>
      </c>
      <c r="AJ8" s="29" t="s">
        <v>236</v>
      </c>
      <c r="AK8" s="88" t="s">
        <v>57</v>
      </c>
      <c r="AL8" s="29" t="s">
        <v>237</v>
      </c>
      <c r="AM8" s="30" t="s">
        <v>238</v>
      </c>
      <c r="AN8" s="61" t="s">
        <v>239</v>
      </c>
    </row>
    <row r="9" spans="1:40">
      <c r="A9" s="27" t="s">
        <v>61</v>
      </c>
      <c r="B9" s="163">
        <v>52100</v>
      </c>
      <c r="C9" s="164">
        <v>73400</v>
      </c>
      <c r="D9" s="164">
        <v>90200</v>
      </c>
      <c r="E9" s="164">
        <v>72200</v>
      </c>
      <c r="F9" s="165">
        <v>287900</v>
      </c>
      <c r="G9" s="163">
        <v>83400</v>
      </c>
      <c r="H9" s="164">
        <v>46400</v>
      </c>
      <c r="I9" s="164">
        <v>98300</v>
      </c>
      <c r="J9" s="164">
        <v>116500</v>
      </c>
      <c r="K9" s="166">
        <f>J9/L9</f>
        <v>0.33807312826465469</v>
      </c>
      <c r="L9" s="167">
        <v>344600</v>
      </c>
      <c r="M9" s="62">
        <v>108000</v>
      </c>
      <c r="N9" s="63">
        <v>179900</v>
      </c>
      <c r="O9" s="63">
        <v>71000</v>
      </c>
      <c r="P9" s="63">
        <v>192500</v>
      </c>
      <c r="Q9" s="168">
        <v>24400</v>
      </c>
      <c r="R9" s="62">
        <v>161700</v>
      </c>
      <c r="S9" s="63">
        <v>182900</v>
      </c>
      <c r="T9" s="63">
        <v>88800</v>
      </c>
      <c r="U9" s="63">
        <v>233100</v>
      </c>
      <c r="V9" s="64">
        <v>22700</v>
      </c>
      <c r="W9" s="169">
        <f>M9+R9</f>
        <v>269700</v>
      </c>
      <c r="X9" s="170">
        <f>N9+S9</f>
        <v>362800</v>
      </c>
      <c r="Y9" s="170">
        <f>O9+T9</f>
        <v>159800</v>
      </c>
      <c r="Z9" s="170">
        <f>P9+U9</f>
        <v>425600</v>
      </c>
      <c r="AA9" s="171">
        <f>Q9+V9</f>
        <v>47100</v>
      </c>
      <c r="AB9" s="172">
        <f>F9+L9</f>
        <v>632500</v>
      </c>
      <c r="AC9" s="173"/>
      <c r="AD9" s="174"/>
      <c r="AE9" s="174"/>
      <c r="AF9" s="174"/>
      <c r="AG9" s="175"/>
      <c r="AH9" s="176"/>
      <c r="AI9" s="159"/>
      <c r="AJ9" s="160"/>
      <c r="AK9" s="160"/>
      <c r="AL9" s="160"/>
      <c r="AM9" s="177"/>
      <c r="AN9" s="178"/>
    </row>
    <row r="10" spans="1:40">
      <c r="A10" s="27" t="s">
        <v>62</v>
      </c>
      <c r="B10" s="163">
        <v>53400</v>
      </c>
      <c r="C10" s="164">
        <v>76300</v>
      </c>
      <c r="D10" s="164">
        <v>93800</v>
      </c>
      <c r="E10" s="164">
        <v>74800</v>
      </c>
      <c r="F10" s="167">
        <v>298300</v>
      </c>
      <c r="G10" s="163">
        <v>87400</v>
      </c>
      <c r="H10" s="164">
        <v>48300</v>
      </c>
      <c r="I10" s="164">
        <v>96300</v>
      </c>
      <c r="J10" s="164">
        <v>128400</v>
      </c>
      <c r="K10" s="166">
        <f t="shared" ref="K10:K19" si="0">J10/L10</f>
        <v>0.35636969192339718</v>
      </c>
      <c r="L10" s="167">
        <v>360300</v>
      </c>
      <c r="M10" s="62">
        <v>113600</v>
      </c>
      <c r="N10" s="63">
        <v>184600</v>
      </c>
      <c r="O10" s="63">
        <v>73800</v>
      </c>
      <c r="P10" s="63">
        <v>198700</v>
      </c>
      <c r="Q10" s="168">
        <v>25800</v>
      </c>
      <c r="R10" s="62">
        <v>171100</v>
      </c>
      <c r="S10" s="63">
        <v>189300</v>
      </c>
      <c r="T10" s="63">
        <v>93800</v>
      </c>
      <c r="U10" s="63">
        <v>242200</v>
      </c>
      <c r="V10" s="64">
        <v>24400</v>
      </c>
      <c r="W10" s="169">
        <f t="shared" ref="W10:W19" si="1">M10+R10</f>
        <v>284700</v>
      </c>
      <c r="X10" s="170">
        <f t="shared" ref="X10:X19" si="2">N10+S10</f>
        <v>373900</v>
      </c>
      <c r="Y10" s="170">
        <f t="shared" ref="Y10:Y19" si="3">O10+T10</f>
        <v>167600</v>
      </c>
      <c r="Z10" s="170">
        <f t="shared" ref="Z10:Z19" si="4">P10+U10</f>
        <v>440900</v>
      </c>
      <c r="AA10" s="171">
        <f t="shared" ref="AA10:AA19" si="5">Q10+V10</f>
        <v>50200</v>
      </c>
      <c r="AB10" s="172">
        <f t="shared" ref="AB10:AB19" si="6">F10+L10</f>
        <v>658600</v>
      </c>
      <c r="AC10" s="179">
        <f>W10/W9-1</f>
        <v>5.5617352614015569E-2</v>
      </c>
      <c r="AD10" s="180">
        <f t="shared" ref="AD10:AG10" si="7">X10/X9-1</f>
        <v>3.0595369349503798E-2</v>
      </c>
      <c r="AE10" s="180">
        <f t="shared" si="7"/>
        <v>4.8811013767209088E-2</v>
      </c>
      <c r="AF10" s="180">
        <f t="shared" si="7"/>
        <v>3.5949248120300759E-2</v>
      </c>
      <c r="AG10" s="181">
        <f t="shared" si="7"/>
        <v>6.5817409766454338E-2</v>
      </c>
      <c r="AH10" s="182">
        <f>AB10/AB9-1</f>
        <v>4.1264822134387424E-2</v>
      </c>
      <c r="AI10" s="159"/>
      <c r="AJ10" s="160"/>
      <c r="AK10" s="160"/>
      <c r="AL10" s="160"/>
      <c r="AM10" s="177"/>
      <c r="AN10" s="178"/>
    </row>
    <row r="11" spans="1:40">
      <c r="A11" s="27" t="s">
        <v>63</v>
      </c>
      <c r="B11" s="163">
        <v>55400</v>
      </c>
      <c r="C11" s="164">
        <v>79300</v>
      </c>
      <c r="D11" s="164">
        <v>99100</v>
      </c>
      <c r="E11" s="164">
        <v>79000</v>
      </c>
      <c r="F11" s="167">
        <v>312800</v>
      </c>
      <c r="G11" s="163">
        <v>91700</v>
      </c>
      <c r="H11" s="164">
        <v>55100</v>
      </c>
      <c r="I11" s="164">
        <v>116300</v>
      </c>
      <c r="J11" s="164">
        <v>133600</v>
      </c>
      <c r="K11" s="166">
        <f t="shared" si="0"/>
        <v>0.33677842198134611</v>
      </c>
      <c r="L11" s="167">
        <v>396700</v>
      </c>
      <c r="M11" s="62">
        <v>119600</v>
      </c>
      <c r="N11" s="63">
        <v>193200</v>
      </c>
      <c r="O11" s="63">
        <v>77700</v>
      </c>
      <c r="P11" s="63">
        <v>207700</v>
      </c>
      <c r="Q11" s="168">
        <v>27400</v>
      </c>
      <c r="R11" s="62">
        <v>193100</v>
      </c>
      <c r="S11" s="63">
        <v>203600</v>
      </c>
      <c r="T11" s="63">
        <v>106200</v>
      </c>
      <c r="U11" s="63">
        <v>263400</v>
      </c>
      <c r="V11" s="64">
        <v>27100</v>
      </c>
      <c r="W11" s="169">
        <f t="shared" si="1"/>
        <v>312700</v>
      </c>
      <c r="X11" s="170">
        <f t="shared" si="2"/>
        <v>396800</v>
      </c>
      <c r="Y11" s="170">
        <f t="shared" si="3"/>
        <v>183900</v>
      </c>
      <c r="Z11" s="170">
        <f t="shared" si="4"/>
        <v>471100</v>
      </c>
      <c r="AA11" s="171">
        <f t="shared" si="5"/>
        <v>54500</v>
      </c>
      <c r="AB11" s="172">
        <f t="shared" si="6"/>
        <v>709500</v>
      </c>
      <c r="AC11" s="179">
        <f t="shared" ref="AC11:AC19" si="8">W11/W10-1</f>
        <v>9.8349139445029765E-2</v>
      </c>
      <c r="AD11" s="180">
        <f t="shared" ref="AD11:AD19" si="9">X11/X10-1</f>
        <v>6.1246322546135268E-2</v>
      </c>
      <c r="AE11" s="180">
        <f t="shared" ref="AE11:AE19" si="10">Y11/Y10-1</f>
        <v>9.7255369928400892E-2</v>
      </c>
      <c r="AF11" s="180">
        <f t="shared" ref="AF11:AF19" si="11">Z11/Z10-1</f>
        <v>6.8496257654796944E-2</v>
      </c>
      <c r="AG11" s="181">
        <f t="shared" ref="AG11:AG19" si="12">AA11/AA10-1</f>
        <v>8.5657370517928211E-2</v>
      </c>
      <c r="AH11" s="182">
        <f t="shared" ref="AH11:AH19" si="13">AB11/AB10-1</f>
        <v>7.7285150318858076E-2</v>
      </c>
      <c r="AI11" s="159"/>
      <c r="AJ11" s="160"/>
      <c r="AK11" s="160"/>
      <c r="AL11" s="160"/>
      <c r="AM11" s="177"/>
      <c r="AN11" s="178"/>
    </row>
    <row r="12" spans="1:40">
      <c r="A12" s="60" t="s">
        <v>64</v>
      </c>
      <c r="B12" s="183">
        <v>57000</v>
      </c>
      <c r="C12" s="184">
        <v>83400</v>
      </c>
      <c r="D12" s="184">
        <v>105400</v>
      </c>
      <c r="E12" s="184">
        <v>82200</v>
      </c>
      <c r="F12" s="185">
        <v>327900</v>
      </c>
      <c r="G12" s="183">
        <v>94200</v>
      </c>
      <c r="H12" s="184">
        <v>55100</v>
      </c>
      <c r="I12" s="184">
        <v>118800</v>
      </c>
      <c r="J12" s="184">
        <v>130700</v>
      </c>
      <c r="K12" s="186">
        <f t="shared" si="0"/>
        <v>0.32765104036099274</v>
      </c>
      <c r="L12" s="185">
        <v>398900</v>
      </c>
      <c r="M12" s="66">
        <v>125900</v>
      </c>
      <c r="N12" s="67">
        <v>202000</v>
      </c>
      <c r="O12" s="67">
        <v>81400</v>
      </c>
      <c r="P12" s="67">
        <v>217400</v>
      </c>
      <c r="Q12" s="187">
        <v>29100</v>
      </c>
      <c r="R12" s="66">
        <v>191800</v>
      </c>
      <c r="S12" s="67">
        <v>207100</v>
      </c>
      <c r="T12" s="67">
        <v>104300</v>
      </c>
      <c r="U12" s="67">
        <v>266700</v>
      </c>
      <c r="V12" s="68">
        <v>27900</v>
      </c>
      <c r="W12" s="188">
        <f t="shared" si="1"/>
        <v>317700</v>
      </c>
      <c r="X12" s="189">
        <f t="shared" si="2"/>
        <v>409100</v>
      </c>
      <c r="Y12" s="189">
        <f t="shared" si="3"/>
        <v>185700</v>
      </c>
      <c r="Z12" s="189">
        <f t="shared" si="4"/>
        <v>484100</v>
      </c>
      <c r="AA12" s="190">
        <f t="shared" si="5"/>
        <v>57000</v>
      </c>
      <c r="AB12" s="191">
        <f t="shared" si="6"/>
        <v>726800</v>
      </c>
      <c r="AC12" s="192">
        <f t="shared" si="8"/>
        <v>1.5989766549408424E-2</v>
      </c>
      <c r="AD12" s="193">
        <f t="shared" si="9"/>
        <v>3.0997983870967749E-2</v>
      </c>
      <c r="AE12" s="193">
        <f t="shared" si="10"/>
        <v>9.7879282218598096E-3</v>
      </c>
      <c r="AF12" s="193">
        <f t="shared" si="11"/>
        <v>2.7594990447887824E-2</v>
      </c>
      <c r="AG12" s="194">
        <f t="shared" si="12"/>
        <v>4.587155963302747E-2</v>
      </c>
      <c r="AH12" s="195">
        <f t="shared" si="13"/>
        <v>2.4383368569415032E-2</v>
      </c>
      <c r="AI12" s="196"/>
      <c r="AJ12" s="197"/>
      <c r="AK12" s="197"/>
      <c r="AL12" s="197"/>
      <c r="AM12" s="198"/>
      <c r="AN12" s="199"/>
    </row>
    <row r="13" spans="1:40">
      <c r="A13" s="27" t="s">
        <v>65</v>
      </c>
      <c r="B13" s="163">
        <v>59000</v>
      </c>
      <c r="C13" s="164">
        <v>85100</v>
      </c>
      <c r="D13" s="164">
        <v>106400</v>
      </c>
      <c r="E13" s="164">
        <v>83600</v>
      </c>
      <c r="F13" s="167">
        <v>334100</v>
      </c>
      <c r="G13" s="163">
        <v>97800</v>
      </c>
      <c r="H13" s="164">
        <v>57100</v>
      </c>
      <c r="I13" s="164">
        <v>121800</v>
      </c>
      <c r="J13" s="164">
        <v>147600</v>
      </c>
      <c r="K13" s="166">
        <f t="shared" si="0"/>
        <v>0.34794908062234797</v>
      </c>
      <c r="L13" s="167">
        <v>424200</v>
      </c>
      <c r="M13" s="62">
        <v>127500</v>
      </c>
      <c r="N13" s="63">
        <v>206600</v>
      </c>
      <c r="O13" s="63">
        <v>82500</v>
      </c>
      <c r="P13" s="63">
        <v>221500</v>
      </c>
      <c r="Q13" s="168">
        <v>30100</v>
      </c>
      <c r="R13" s="62">
        <v>205800</v>
      </c>
      <c r="S13" s="63">
        <v>218400</v>
      </c>
      <c r="T13" s="63">
        <v>111100</v>
      </c>
      <c r="U13" s="63">
        <v>283300</v>
      </c>
      <c r="V13" s="64">
        <v>29800</v>
      </c>
      <c r="W13" s="169">
        <f t="shared" si="1"/>
        <v>333300</v>
      </c>
      <c r="X13" s="170">
        <f t="shared" si="2"/>
        <v>425000</v>
      </c>
      <c r="Y13" s="170">
        <f t="shared" si="3"/>
        <v>193600</v>
      </c>
      <c r="Z13" s="170">
        <f t="shared" si="4"/>
        <v>504800</v>
      </c>
      <c r="AA13" s="171">
        <f t="shared" si="5"/>
        <v>59900</v>
      </c>
      <c r="AB13" s="172">
        <f t="shared" si="6"/>
        <v>758300</v>
      </c>
      <c r="AC13" s="179">
        <f t="shared" si="8"/>
        <v>4.9102927289896181E-2</v>
      </c>
      <c r="AD13" s="180">
        <f t="shared" si="9"/>
        <v>3.8865802982156028E-2</v>
      </c>
      <c r="AE13" s="180">
        <f t="shared" si="10"/>
        <v>4.2541733979536867E-2</v>
      </c>
      <c r="AF13" s="180">
        <f t="shared" si="11"/>
        <v>4.2759760380086664E-2</v>
      </c>
      <c r="AG13" s="181">
        <f t="shared" si="12"/>
        <v>5.0877192982456076E-2</v>
      </c>
      <c r="AH13" s="182">
        <f t="shared" si="13"/>
        <v>4.334067143643372E-2</v>
      </c>
      <c r="AI13" s="200">
        <f>W13/W9-1</f>
        <v>0.23581757508342593</v>
      </c>
      <c r="AJ13" s="166">
        <f t="shared" ref="AJ13:AN13" si="14">X13/X9-1</f>
        <v>0.17144432194046311</v>
      </c>
      <c r="AK13" s="166">
        <f t="shared" si="14"/>
        <v>0.21151439299123909</v>
      </c>
      <c r="AL13" s="166">
        <f t="shared" si="14"/>
        <v>0.18609022556390986</v>
      </c>
      <c r="AM13" s="201">
        <f t="shared" si="14"/>
        <v>0.27176220806794049</v>
      </c>
      <c r="AN13" s="202">
        <f t="shared" si="14"/>
        <v>0.19889328063241107</v>
      </c>
    </row>
    <row r="14" spans="1:40">
      <c r="A14" s="27" t="s">
        <v>66</v>
      </c>
      <c r="B14" s="163">
        <v>61400</v>
      </c>
      <c r="C14" s="164">
        <v>85800</v>
      </c>
      <c r="D14" s="164">
        <v>110900</v>
      </c>
      <c r="E14" s="164">
        <v>86100</v>
      </c>
      <c r="F14" s="167">
        <v>344300</v>
      </c>
      <c r="G14" s="163">
        <v>99200</v>
      </c>
      <c r="H14" s="164">
        <v>61800</v>
      </c>
      <c r="I14" s="164">
        <v>132700</v>
      </c>
      <c r="J14" s="164">
        <v>156600</v>
      </c>
      <c r="K14" s="166">
        <f t="shared" si="0"/>
        <v>0.34776815456362425</v>
      </c>
      <c r="L14" s="167">
        <v>450300</v>
      </c>
      <c r="M14" s="62">
        <v>131500</v>
      </c>
      <c r="N14" s="63">
        <v>212700</v>
      </c>
      <c r="O14" s="63">
        <v>84400</v>
      </c>
      <c r="P14" s="63">
        <v>228400</v>
      </c>
      <c r="Q14" s="168">
        <v>31400</v>
      </c>
      <c r="R14" s="62">
        <v>220400</v>
      </c>
      <c r="S14" s="63">
        <v>229900</v>
      </c>
      <c r="T14" s="63">
        <v>117900</v>
      </c>
      <c r="U14" s="63">
        <v>300400</v>
      </c>
      <c r="V14" s="64">
        <v>32100</v>
      </c>
      <c r="W14" s="169">
        <f t="shared" si="1"/>
        <v>351900</v>
      </c>
      <c r="X14" s="170">
        <f t="shared" si="2"/>
        <v>442600</v>
      </c>
      <c r="Y14" s="170">
        <f t="shared" si="3"/>
        <v>202300</v>
      </c>
      <c r="Z14" s="170">
        <f t="shared" si="4"/>
        <v>528800</v>
      </c>
      <c r="AA14" s="171">
        <f t="shared" si="5"/>
        <v>63500</v>
      </c>
      <c r="AB14" s="172">
        <f t="shared" si="6"/>
        <v>794600</v>
      </c>
      <c r="AC14" s="179">
        <f t="shared" si="8"/>
        <v>5.5805580558055734E-2</v>
      </c>
      <c r="AD14" s="180">
        <f t="shared" si="9"/>
        <v>4.1411764705882259E-2</v>
      </c>
      <c r="AE14" s="180">
        <f t="shared" si="10"/>
        <v>4.4938016528925706E-2</v>
      </c>
      <c r="AF14" s="180">
        <f t="shared" si="11"/>
        <v>4.7543581616481756E-2</v>
      </c>
      <c r="AG14" s="181">
        <f t="shared" si="12"/>
        <v>6.0100166944908162E-2</v>
      </c>
      <c r="AH14" s="182">
        <f t="shared" si="13"/>
        <v>4.787023605433216E-2</v>
      </c>
      <c r="AI14" s="200">
        <f t="shared" ref="AI14:AI19" si="15">W14/W10-1</f>
        <v>0.23603793466807166</v>
      </c>
      <c r="AJ14" s="166">
        <f t="shared" ref="AJ14:AJ19" si="16">X14/X10-1</f>
        <v>0.18373896763840603</v>
      </c>
      <c r="AK14" s="166">
        <f t="shared" ref="AK14:AK19" si="17">Y14/Y10-1</f>
        <v>0.20704057279236276</v>
      </c>
      <c r="AL14" s="166">
        <f t="shared" ref="AL14:AL19" si="18">Z14/Z10-1</f>
        <v>0.19936493535949196</v>
      </c>
      <c r="AM14" s="201">
        <f t="shared" ref="AM14:AM19" si="19">AA14/AA10-1</f>
        <v>0.26494023904382469</v>
      </c>
      <c r="AN14" s="202">
        <f t="shared" ref="AN14:AN19" si="20">AB14/AB10-1</f>
        <v>0.2064986334649257</v>
      </c>
    </row>
    <row r="15" spans="1:40">
      <c r="A15" s="27" t="s">
        <v>67</v>
      </c>
      <c r="B15" s="163">
        <v>61600</v>
      </c>
      <c r="C15" s="164">
        <v>87200</v>
      </c>
      <c r="D15" s="164">
        <v>113000</v>
      </c>
      <c r="E15" s="164">
        <v>89600</v>
      </c>
      <c r="F15" s="167">
        <v>351400</v>
      </c>
      <c r="G15" s="163">
        <v>105000</v>
      </c>
      <c r="H15" s="164">
        <v>65500</v>
      </c>
      <c r="I15" s="164">
        <v>150100</v>
      </c>
      <c r="J15" s="164">
        <v>178200</v>
      </c>
      <c r="K15" s="166">
        <f t="shared" si="0"/>
        <v>0.35725741780272652</v>
      </c>
      <c r="L15" s="167">
        <v>498800</v>
      </c>
      <c r="M15" s="62">
        <v>133100</v>
      </c>
      <c r="N15" s="63">
        <v>218300</v>
      </c>
      <c r="O15" s="63">
        <v>85400</v>
      </c>
      <c r="P15" s="63">
        <v>233400</v>
      </c>
      <c r="Q15" s="168">
        <v>32600</v>
      </c>
      <c r="R15" s="62">
        <v>247600</v>
      </c>
      <c r="S15" s="63">
        <v>251200</v>
      </c>
      <c r="T15" s="63">
        <v>131800</v>
      </c>
      <c r="U15" s="63">
        <v>331700</v>
      </c>
      <c r="V15" s="64">
        <v>35300</v>
      </c>
      <c r="W15" s="169">
        <f t="shared" si="1"/>
        <v>380700</v>
      </c>
      <c r="X15" s="170">
        <f t="shared" si="2"/>
        <v>469500</v>
      </c>
      <c r="Y15" s="170">
        <f t="shared" si="3"/>
        <v>217200</v>
      </c>
      <c r="Z15" s="170">
        <f t="shared" si="4"/>
        <v>565100</v>
      </c>
      <c r="AA15" s="171">
        <f t="shared" si="5"/>
        <v>67900</v>
      </c>
      <c r="AB15" s="172">
        <f t="shared" si="6"/>
        <v>850200</v>
      </c>
      <c r="AC15" s="179">
        <f t="shared" si="8"/>
        <v>8.1841432225064015E-2</v>
      </c>
      <c r="AD15" s="180">
        <f t="shared" si="9"/>
        <v>6.0777225485765918E-2</v>
      </c>
      <c r="AE15" s="180">
        <f t="shared" si="10"/>
        <v>7.3652990608007896E-2</v>
      </c>
      <c r="AF15" s="180">
        <f t="shared" si="11"/>
        <v>6.8645990922844069E-2</v>
      </c>
      <c r="AG15" s="181">
        <f t="shared" si="12"/>
        <v>6.929133858267722E-2</v>
      </c>
      <c r="AH15" s="182">
        <f t="shared" si="13"/>
        <v>6.9972313113516149E-2</v>
      </c>
      <c r="AI15" s="200">
        <f t="shared" si="15"/>
        <v>0.21746082507195386</v>
      </c>
      <c r="AJ15" s="166">
        <f t="shared" si="16"/>
        <v>0.18321572580645151</v>
      </c>
      <c r="AK15" s="166">
        <f t="shared" si="17"/>
        <v>0.18107667210440459</v>
      </c>
      <c r="AL15" s="166">
        <f t="shared" si="18"/>
        <v>0.19953300785395878</v>
      </c>
      <c r="AM15" s="201">
        <f t="shared" si="19"/>
        <v>0.24587155963302743</v>
      </c>
      <c r="AN15" s="202">
        <f t="shared" si="20"/>
        <v>0.19830866807610992</v>
      </c>
    </row>
    <row r="16" spans="1:40">
      <c r="A16" s="60" t="s">
        <v>68</v>
      </c>
      <c r="B16" s="183">
        <v>62700</v>
      </c>
      <c r="C16" s="184">
        <v>90400</v>
      </c>
      <c r="D16" s="184">
        <v>113200</v>
      </c>
      <c r="E16" s="184">
        <v>92200</v>
      </c>
      <c r="F16" s="185">
        <v>358500</v>
      </c>
      <c r="G16" s="183">
        <v>107700</v>
      </c>
      <c r="H16" s="184">
        <v>67700</v>
      </c>
      <c r="I16" s="184">
        <v>154500</v>
      </c>
      <c r="J16" s="184">
        <v>184600</v>
      </c>
      <c r="K16" s="186">
        <f t="shared" si="0"/>
        <v>0.35879494655004857</v>
      </c>
      <c r="L16" s="185">
        <v>514500</v>
      </c>
      <c r="M16" s="66">
        <v>134700</v>
      </c>
      <c r="N16" s="67">
        <v>223900</v>
      </c>
      <c r="O16" s="67">
        <v>86100</v>
      </c>
      <c r="P16" s="67">
        <v>238200</v>
      </c>
      <c r="Q16" s="187">
        <v>34200</v>
      </c>
      <c r="R16" s="66">
        <v>253400</v>
      </c>
      <c r="S16" s="67">
        <v>261100</v>
      </c>
      <c r="T16" s="67">
        <v>134300</v>
      </c>
      <c r="U16" s="67">
        <v>343000</v>
      </c>
      <c r="V16" s="68">
        <v>37200</v>
      </c>
      <c r="W16" s="188">
        <f t="shared" si="1"/>
        <v>388100</v>
      </c>
      <c r="X16" s="189">
        <f t="shared" si="2"/>
        <v>485000</v>
      </c>
      <c r="Y16" s="189">
        <f t="shared" si="3"/>
        <v>220400</v>
      </c>
      <c r="Z16" s="189">
        <f t="shared" si="4"/>
        <v>581200</v>
      </c>
      <c r="AA16" s="190">
        <f t="shared" si="5"/>
        <v>71400</v>
      </c>
      <c r="AB16" s="191">
        <f t="shared" si="6"/>
        <v>873000</v>
      </c>
      <c r="AC16" s="192">
        <f t="shared" si="8"/>
        <v>1.9437877593905917E-2</v>
      </c>
      <c r="AD16" s="193">
        <f t="shared" si="9"/>
        <v>3.3013844515441981E-2</v>
      </c>
      <c r="AE16" s="193">
        <f t="shared" si="10"/>
        <v>1.4732965009208066E-2</v>
      </c>
      <c r="AF16" s="193">
        <f t="shared" si="11"/>
        <v>2.849053264908874E-2</v>
      </c>
      <c r="AG16" s="194">
        <f t="shared" si="12"/>
        <v>5.1546391752577359E-2</v>
      </c>
      <c r="AH16" s="195">
        <f t="shared" si="13"/>
        <v>2.6817219477769827E-2</v>
      </c>
      <c r="AI16" s="203">
        <f t="shared" si="15"/>
        <v>0.22159269751337729</v>
      </c>
      <c r="AJ16" s="186">
        <f t="shared" si="16"/>
        <v>0.18552921046198967</v>
      </c>
      <c r="AK16" s="186">
        <f t="shared" si="17"/>
        <v>0.18686052773290251</v>
      </c>
      <c r="AL16" s="186">
        <f t="shared" si="18"/>
        <v>0.20057839289403012</v>
      </c>
      <c r="AM16" s="204">
        <f t="shared" si="19"/>
        <v>0.25263157894736832</v>
      </c>
      <c r="AN16" s="205">
        <f t="shared" si="20"/>
        <v>0.20115575123830487</v>
      </c>
    </row>
    <row r="17" spans="1:40">
      <c r="A17" s="27" t="s">
        <v>69</v>
      </c>
      <c r="B17" s="163">
        <v>63500</v>
      </c>
      <c r="C17" s="164">
        <v>90300</v>
      </c>
      <c r="D17" s="164">
        <v>118400</v>
      </c>
      <c r="E17" s="164">
        <v>90500</v>
      </c>
      <c r="F17" s="167">
        <v>362800</v>
      </c>
      <c r="G17" s="163">
        <v>111100</v>
      </c>
      <c r="H17" s="164">
        <v>68800</v>
      </c>
      <c r="I17" s="164">
        <v>160700</v>
      </c>
      <c r="J17" s="164">
        <v>204000</v>
      </c>
      <c r="K17" s="166">
        <f t="shared" si="0"/>
        <v>0.37458685273595299</v>
      </c>
      <c r="L17" s="167">
        <v>544600</v>
      </c>
      <c r="M17" s="62">
        <v>134700</v>
      </c>
      <c r="N17" s="63">
        <v>228100</v>
      </c>
      <c r="O17" s="63">
        <v>85000</v>
      </c>
      <c r="P17" s="63">
        <v>242200</v>
      </c>
      <c r="Q17" s="168">
        <v>35600</v>
      </c>
      <c r="R17" s="62">
        <v>267800</v>
      </c>
      <c r="S17" s="63">
        <v>276700</v>
      </c>
      <c r="T17" s="63">
        <v>140900</v>
      </c>
      <c r="U17" s="63">
        <v>364000</v>
      </c>
      <c r="V17" s="64">
        <v>39700</v>
      </c>
      <c r="W17" s="169">
        <f t="shared" si="1"/>
        <v>402500</v>
      </c>
      <c r="X17" s="170">
        <f t="shared" si="2"/>
        <v>504800</v>
      </c>
      <c r="Y17" s="170">
        <f t="shared" si="3"/>
        <v>225900</v>
      </c>
      <c r="Z17" s="170">
        <f t="shared" si="4"/>
        <v>606200</v>
      </c>
      <c r="AA17" s="171">
        <f t="shared" si="5"/>
        <v>75300</v>
      </c>
      <c r="AB17" s="172">
        <f t="shared" si="6"/>
        <v>907400</v>
      </c>
      <c r="AC17" s="179">
        <f t="shared" si="8"/>
        <v>3.7103839216696688E-2</v>
      </c>
      <c r="AD17" s="180">
        <f t="shared" si="9"/>
        <v>4.0824742268041225E-2</v>
      </c>
      <c r="AE17" s="180">
        <f t="shared" si="10"/>
        <v>2.4954627949183239E-2</v>
      </c>
      <c r="AF17" s="180">
        <f t="shared" si="11"/>
        <v>4.3014452856159568E-2</v>
      </c>
      <c r="AG17" s="181">
        <f t="shared" si="12"/>
        <v>5.4621848739495826E-2</v>
      </c>
      <c r="AH17" s="182">
        <f t="shared" si="13"/>
        <v>3.9404352806414744E-2</v>
      </c>
      <c r="AI17" s="200">
        <f>W17/W13-1</f>
        <v>0.20762076207620761</v>
      </c>
      <c r="AJ17" s="166">
        <f t="shared" si="16"/>
        <v>0.18776470588235283</v>
      </c>
      <c r="AK17" s="166">
        <f t="shared" si="17"/>
        <v>0.16683884297520657</v>
      </c>
      <c r="AL17" s="166">
        <f t="shared" si="18"/>
        <v>0.20087163232963556</v>
      </c>
      <c r="AM17" s="201">
        <f t="shared" si="19"/>
        <v>0.25709515859766285</v>
      </c>
      <c r="AN17" s="202">
        <f t="shared" si="20"/>
        <v>0.19662402742977703</v>
      </c>
    </row>
    <row r="18" spans="1:40">
      <c r="A18" s="27" t="s">
        <v>70</v>
      </c>
      <c r="B18" s="163">
        <v>63700</v>
      </c>
      <c r="C18" s="164">
        <v>87700</v>
      </c>
      <c r="D18" s="164">
        <v>124900</v>
      </c>
      <c r="E18" s="164">
        <v>89500</v>
      </c>
      <c r="F18" s="167">
        <v>365800</v>
      </c>
      <c r="G18" s="163">
        <v>110800</v>
      </c>
      <c r="H18" s="164">
        <v>69200</v>
      </c>
      <c r="I18" s="164">
        <v>176700</v>
      </c>
      <c r="J18" s="164">
        <v>205000</v>
      </c>
      <c r="K18" s="166">
        <f t="shared" si="0"/>
        <v>0.36502849002849003</v>
      </c>
      <c r="L18" s="167">
        <v>561600</v>
      </c>
      <c r="M18" s="62">
        <v>134000</v>
      </c>
      <c r="N18" s="63">
        <v>231800</v>
      </c>
      <c r="O18" s="63">
        <v>83600</v>
      </c>
      <c r="P18" s="63">
        <v>245400</v>
      </c>
      <c r="Q18" s="168">
        <v>36800</v>
      </c>
      <c r="R18" s="62">
        <v>274000</v>
      </c>
      <c r="S18" s="63">
        <v>287600</v>
      </c>
      <c r="T18" s="63">
        <v>142600</v>
      </c>
      <c r="U18" s="63">
        <v>377200</v>
      </c>
      <c r="V18" s="64">
        <v>41900</v>
      </c>
      <c r="W18" s="169">
        <f t="shared" si="1"/>
        <v>408000</v>
      </c>
      <c r="X18" s="170">
        <f t="shared" si="2"/>
        <v>519400</v>
      </c>
      <c r="Y18" s="170">
        <f t="shared" si="3"/>
        <v>226200</v>
      </c>
      <c r="Z18" s="170">
        <f t="shared" si="4"/>
        <v>622600</v>
      </c>
      <c r="AA18" s="171">
        <f t="shared" si="5"/>
        <v>78700</v>
      </c>
      <c r="AB18" s="172">
        <f t="shared" si="6"/>
        <v>927400</v>
      </c>
      <c r="AC18" s="179">
        <f t="shared" si="8"/>
        <v>1.3664596273291973E-2</v>
      </c>
      <c r="AD18" s="180">
        <f t="shared" si="9"/>
        <v>2.8922345483359813E-2</v>
      </c>
      <c r="AE18" s="180">
        <f t="shared" si="10"/>
        <v>1.3280212483399723E-3</v>
      </c>
      <c r="AF18" s="180">
        <f t="shared" si="11"/>
        <v>2.7053777631144804E-2</v>
      </c>
      <c r="AG18" s="181">
        <f t="shared" si="12"/>
        <v>4.5152722443559057E-2</v>
      </c>
      <c r="AH18" s="182">
        <f t="shared" si="13"/>
        <v>2.2040996253030576E-2</v>
      </c>
      <c r="AI18" s="200">
        <f t="shared" si="15"/>
        <v>0.15942028985507251</v>
      </c>
      <c r="AJ18" s="166">
        <f t="shared" si="16"/>
        <v>0.17352010845006771</v>
      </c>
      <c r="AK18" s="166">
        <f t="shared" si="17"/>
        <v>0.11814137419673743</v>
      </c>
      <c r="AL18" s="166">
        <f t="shared" si="18"/>
        <v>0.17738275340393339</v>
      </c>
      <c r="AM18" s="201">
        <f t="shared" si="19"/>
        <v>0.23937007874015759</v>
      </c>
      <c r="AN18" s="202">
        <f t="shared" si="20"/>
        <v>0.16712811477472944</v>
      </c>
    </row>
    <row r="19" spans="1:40">
      <c r="A19" s="27" t="s">
        <v>71</v>
      </c>
      <c r="B19" s="163">
        <v>63300</v>
      </c>
      <c r="C19" s="164">
        <v>91100</v>
      </c>
      <c r="D19" s="164">
        <v>119400</v>
      </c>
      <c r="E19" s="164">
        <v>94300</v>
      </c>
      <c r="F19" s="167">
        <v>368100</v>
      </c>
      <c r="G19" s="163">
        <v>113500</v>
      </c>
      <c r="H19" s="164">
        <v>74700</v>
      </c>
      <c r="I19" s="164">
        <v>169400</v>
      </c>
      <c r="J19" s="164">
        <v>214800</v>
      </c>
      <c r="K19" s="166">
        <f t="shared" si="0"/>
        <v>0.37526205450733752</v>
      </c>
      <c r="L19" s="167">
        <v>572400</v>
      </c>
      <c r="M19" s="62">
        <v>134000</v>
      </c>
      <c r="N19" s="63">
        <v>234100</v>
      </c>
      <c r="O19" s="63">
        <v>83200</v>
      </c>
      <c r="P19" s="63">
        <v>247100</v>
      </c>
      <c r="Q19" s="168">
        <v>37800</v>
      </c>
      <c r="R19" s="62">
        <v>277500</v>
      </c>
      <c r="S19" s="63">
        <v>294900</v>
      </c>
      <c r="T19" s="63">
        <v>140800</v>
      </c>
      <c r="U19" s="63">
        <v>386900</v>
      </c>
      <c r="V19" s="64">
        <v>44800</v>
      </c>
      <c r="W19" s="169">
        <f t="shared" si="1"/>
        <v>411500</v>
      </c>
      <c r="X19" s="170">
        <f t="shared" si="2"/>
        <v>529000</v>
      </c>
      <c r="Y19" s="170">
        <f t="shared" si="3"/>
        <v>224000</v>
      </c>
      <c r="Z19" s="170">
        <f t="shared" si="4"/>
        <v>634000</v>
      </c>
      <c r="AA19" s="171">
        <f t="shared" si="5"/>
        <v>82600</v>
      </c>
      <c r="AB19" s="172">
        <f t="shared" si="6"/>
        <v>940500</v>
      </c>
      <c r="AC19" s="179">
        <f t="shared" si="8"/>
        <v>8.5784313725489891E-3</v>
      </c>
      <c r="AD19" s="180">
        <f t="shared" si="9"/>
        <v>1.8482864844050928E-2</v>
      </c>
      <c r="AE19" s="180">
        <f t="shared" si="10"/>
        <v>-9.7259062776303695E-3</v>
      </c>
      <c r="AF19" s="180">
        <f t="shared" si="11"/>
        <v>1.8310311596530626E-2</v>
      </c>
      <c r="AG19" s="181">
        <f t="shared" si="12"/>
        <v>4.955527318932651E-2</v>
      </c>
      <c r="AH19" s="182">
        <f t="shared" si="13"/>
        <v>1.4125512184602007E-2</v>
      </c>
      <c r="AI19" s="200">
        <f t="shared" si="15"/>
        <v>8.0903598634095131E-2</v>
      </c>
      <c r="AJ19" s="166">
        <f t="shared" si="16"/>
        <v>0.126730564430245</v>
      </c>
      <c r="AK19" s="166">
        <f t="shared" si="17"/>
        <v>3.130755064456725E-2</v>
      </c>
      <c r="AL19" s="166">
        <f t="shared" si="18"/>
        <v>0.1219253229516899</v>
      </c>
      <c r="AM19" s="201">
        <f t="shared" si="19"/>
        <v>0.21649484536082464</v>
      </c>
      <c r="AN19" s="202">
        <f t="shared" si="20"/>
        <v>0.10621030345800997</v>
      </c>
    </row>
    <row r="20" spans="1:40" s="12" customFormat="1">
      <c r="A20" s="60" t="s">
        <v>72</v>
      </c>
      <c r="B20" s="183">
        <v>70300</v>
      </c>
      <c r="C20" s="184">
        <v>97700</v>
      </c>
      <c r="D20" s="184">
        <v>112100</v>
      </c>
      <c r="E20" s="184">
        <v>98600</v>
      </c>
      <c r="F20" s="185">
        <v>378600</v>
      </c>
      <c r="G20" s="183">
        <v>118700</v>
      </c>
      <c r="H20" s="184">
        <v>77000</v>
      </c>
      <c r="I20" s="184">
        <v>164800</v>
      </c>
      <c r="J20" s="184">
        <v>216000</v>
      </c>
      <c r="K20" s="186">
        <f t="shared" ref="K20:K83" si="21">J20/L20</f>
        <v>0.37460978147762747</v>
      </c>
      <c r="L20" s="185">
        <v>576600</v>
      </c>
      <c r="M20" s="66">
        <v>138900</v>
      </c>
      <c r="N20" s="67">
        <v>239700</v>
      </c>
      <c r="O20" s="67">
        <v>85000</v>
      </c>
      <c r="P20" s="67">
        <v>253600</v>
      </c>
      <c r="Q20" s="187">
        <v>40000</v>
      </c>
      <c r="R20" s="66">
        <v>276200</v>
      </c>
      <c r="S20" s="67">
        <v>300400</v>
      </c>
      <c r="T20" s="67">
        <v>139300</v>
      </c>
      <c r="U20" s="67">
        <v>390500</v>
      </c>
      <c r="V20" s="68">
        <v>46700</v>
      </c>
      <c r="W20" s="188">
        <f t="shared" ref="W20:W83" si="22">M20+R20</f>
        <v>415100</v>
      </c>
      <c r="X20" s="189">
        <f t="shared" ref="X20:X83" si="23">N20+S20</f>
        <v>540100</v>
      </c>
      <c r="Y20" s="189">
        <f t="shared" ref="Y20:Y83" si="24">O20+T20</f>
        <v>224300</v>
      </c>
      <c r="Z20" s="189">
        <f t="shared" ref="Z20:Z83" si="25">P20+U20</f>
        <v>644100</v>
      </c>
      <c r="AA20" s="190">
        <f t="shared" ref="AA20:AA83" si="26">Q20+V20</f>
        <v>86700</v>
      </c>
      <c r="AB20" s="191">
        <f t="shared" ref="AB20:AB83" si="27">F20+L20</f>
        <v>955200</v>
      </c>
      <c r="AC20" s="192">
        <f t="shared" ref="AC20:AC83" si="28">W20/W19-1</f>
        <v>8.7484811664642059E-3</v>
      </c>
      <c r="AD20" s="193">
        <f t="shared" ref="AD20:AD83" si="29">X20/X19-1</f>
        <v>2.0982986767485778E-2</v>
      </c>
      <c r="AE20" s="193">
        <f t="shared" ref="AE20:AE83" si="30">Y20/Y19-1</f>
        <v>1.339285714285765E-3</v>
      </c>
      <c r="AF20" s="193">
        <f t="shared" ref="AF20:AF83" si="31">Z20/Z19-1</f>
        <v>1.5930599369085252E-2</v>
      </c>
      <c r="AG20" s="194">
        <f t="shared" ref="AG20:AG83" si="32">AA20/AA19-1</f>
        <v>4.9636803874091973E-2</v>
      </c>
      <c r="AH20" s="195">
        <f t="shared" ref="AH20:AH83" si="33">AB20/AB19-1</f>
        <v>1.5629984051036772E-2</v>
      </c>
      <c r="AI20" s="203">
        <f t="shared" ref="AI20:AI83" si="34">W20/W16-1</f>
        <v>6.9569698531306345E-2</v>
      </c>
      <c r="AJ20" s="186">
        <f t="shared" ref="AJ20:AJ83" si="35">X20/X16-1</f>
        <v>0.1136082474226805</v>
      </c>
      <c r="AK20" s="186">
        <f t="shared" ref="AK20:AK83" si="36">Y20/Y16-1</f>
        <v>1.7695099818511695E-2</v>
      </c>
      <c r="AL20" s="186">
        <f t="shared" ref="AL20:AL83" si="37">Z20/Z16-1</f>
        <v>0.10822436338609775</v>
      </c>
      <c r="AM20" s="204">
        <f t="shared" ref="AM20:AM83" si="38">AA20/AA16-1</f>
        <v>0.21428571428571419</v>
      </c>
      <c r="AN20" s="205">
        <f t="shared" ref="AN20:AN83" si="39">AB20/AB16-1</f>
        <v>9.415807560137468E-2</v>
      </c>
    </row>
    <row r="21" spans="1:40">
      <c r="A21" s="27" t="s">
        <v>73</v>
      </c>
      <c r="B21" s="163">
        <v>78300</v>
      </c>
      <c r="C21" s="164">
        <v>111000</v>
      </c>
      <c r="D21" s="164">
        <v>91400</v>
      </c>
      <c r="E21" s="164">
        <v>108900</v>
      </c>
      <c r="F21" s="167">
        <v>389600</v>
      </c>
      <c r="G21" s="163">
        <v>128800</v>
      </c>
      <c r="H21" s="164">
        <v>85200</v>
      </c>
      <c r="I21" s="164">
        <v>139000</v>
      </c>
      <c r="J21" s="164">
        <v>229200</v>
      </c>
      <c r="K21" s="166">
        <f t="shared" si="21"/>
        <v>0.39374677890396836</v>
      </c>
      <c r="L21" s="167">
        <v>582100</v>
      </c>
      <c r="M21" s="62">
        <v>142400</v>
      </c>
      <c r="N21" s="63">
        <v>247200</v>
      </c>
      <c r="O21" s="63">
        <v>86000</v>
      </c>
      <c r="P21" s="63">
        <v>261800</v>
      </c>
      <c r="Q21" s="168">
        <v>41800</v>
      </c>
      <c r="R21" s="62">
        <v>275900</v>
      </c>
      <c r="S21" s="63">
        <v>306200</v>
      </c>
      <c r="T21" s="63">
        <v>138100</v>
      </c>
      <c r="U21" s="63">
        <v>395200</v>
      </c>
      <c r="V21" s="64">
        <v>48800</v>
      </c>
      <c r="W21" s="169">
        <f t="shared" si="22"/>
        <v>418300</v>
      </c>
      <c r="X21" s="170">
        <f t="shared" si="23"/>
        <v>553400</v>
      </c>
      <c r="Y21" s="170">
        <f t="shared" si="24"/>
        <v>224100</v>
      </c>
      <c r="Z21" s="170">
        <f t="shared" si="25"/>
        <v>657000</v>
      </c>
      <c r="AA21" s="171">
        <f t="shared" si="26"/>
        <v>90600</v>
      </c>
      <c r="AB21" s="172">
        <f t="shared" si="27"/>
        <v>971700</v>
      </c>
      <c r="AC21" s="179">
        <f t="shared" si="28"/>
        <v>7.7089857865575429E-3</v>
      </c>
      <c r="AD21" s="180">
        <f t="shared" si="29"/>
        <v>2.4625069431586821E-2</v>
      </c>
      <c r="AE21" s="180">
        <f t="shared" si="30"/>
        <v>-8.9166295140441498E-4</v>
      </c>
      <c r="AF21" s="180">
        <f t="shared" si="31"/>
        <v>2.0027945971122563E-2</v>
      </c>
      <c r="AG21" s="181">
        <f t="shared" si="32"/>
        <v>4.4982698961937739E-2</v>
      </c>
      <c r="AH21" s="182">
        <f t="shared" si="33"/>
        <v>1.7273869346733584E-2</v>
      </c>
      <c r="AI21" s="200">
        <f t="shared" si="34"/>
        <v>3.9254658385093233E-2</v>
      </c>
      <c r="AJ21" s="166">
        <f t="shared" si="35"/>
        <v>9.6275752773375523E-2</v>
      </c>
      <c r="AK21" s="166">
        <f t="shared" si="36"/>
        <v>-7.9681274900398336E-3</v>
      </c>
      <c r="AL21" s="166">
        <f t="shared" si="37"/>
        <v>8.380072583305842E-2</v>
      </c>
      <c r="AM21" s="201">
        <f t="shared" si="38"/>
        <v>0.20318725099601598</v>
      </c>
      <c r="AN21" s="202">
        <f t="shared" si="39"/>
        <v>7.0861802953493536E-2</v>
      </c>
    </row>
    <row r="22" spans="1:40">
      <c r="A22" s="27" t="s">
        <v>74</v>
      </c>
      <c r="B22" s="163">
        <v>82600</v>
      </c>
      <c r="C22" s="164">
        <v>112300</v>
      </c>
      <c r="D22" s="164">
        <v>94300</v>
      </c>
      <c r="E22" s="164">
        <v>108800</v>
      </c>
      <c r="F22" s="167">
        <v>398000</v>
      </c>
      <c r="G22" s="163">
        <v>131600</v>
      </c>
      <c r="H22" s="164">
        <v>89700</v>
      </c>
      <c r="I22" s="164">
        <v>146200</v>
      </c>
      <c r="J22" s="164">
        <v>233800</v>
      </c>
      <c r="K22" s="166">
        <f t="shared" si="21"/>
        <v>0.38875956102427667</v>
      </c>
      <c r="L22" s="167">
        <v>601400</v>
      </c>
      <c r="M22" s="62">
        <v>144500</v>
      </c>
      <c r="N22" s="63">
        <v>253500</v>
      </c>
      <c r="O22" s="63">
        <v>87000</v>
      </c>
      <c r="P22" s="63">
        <v>267500</v>
      </c>
      <c r="Q22" s="168">
        <v>43500</v>
      </c>
      <c r="R22" s="62">
        <v>284600</v>
      </c>
      <c r="S22" s="63">
        <v>316700</v>
      </c>
      <c r="T22" s="63">
        <v>142200</v>
      </c>
      <c r="U22" s="63">
        <v>407700</v>
      </c>
      <c r="V22" s="64">
        <v>51400</v>
      </c>
      <c r="W22" s="169">
        <f t="shared" si="22"/>
        <v>429100</v>
      </c>
      <c r="X22" s="170">
        <f t="shared" si="23"/>
        <v>570200</v>
      </c>
      <c r="Y22" s="170">
        <f t="shared" si="24"/>
        <v>229200</v>
      </c>
      <c r="Z22" s="170">
        <f t="shared" si="25"/>
        <v>675200</v>
      </c>
      <c r="AA22" s="171">
        <f t="shared" si="26"/>
        <v>94900</v>
      </c>
      <c r="AB22" s="172">
        <f t="shared" si="27"/>
        <v>999400</v>
      </c>
      <c r="AC22" s="179">
        <f t="shared" si="28"/>
        <v>2.5818790341859854E-2</v>
      </c>
      <c r="AD22" s="180">
        <f t="shared" si="29"/>
        <v>3.0357788218287052E-2</v>
      </c>
      <c r="AE22" s="180">
        <f t="shared" si="30"/>
        <v>2.2757697456492698E-2</v>
      </c>
      <c r="AF22" s="180">
        <f t="shared" si="31"/>
        <v>2.7701674277016641E-2</v>
      </c>
      <c r="AG22" s="181">
        <f t="shared" si="32"/>
        <v>4.7461368653421543E-2</v>
      </c>
      <c r="AH22" s="182">
        <f t="shared" si="33"/>
        <v>2.850674076361015E-2</v>
      </c>
      <c r="AI22" s="200">
        <f t="shared" si="34"/>
        <v>5.1715686274509842E-2</v>
      </c>
      <c r="AJ22" s="166">
        <f t="shared" si="35"/>
        <v>9.7805159799768893E-2</v>
      </c>
      <c r="AK22" s="166">
        <f t="shared" si="36"/>
        <v>1.3262599469495928E-2</v>
      </c>
      <c r="AL22" s="166">
        <f t="shared" si="37"/>
        <v>8.4484420173466024E-2</v>
      </c>
      <c r="AM22" s="201">
        <f t="shared" si="38"/>
        <v>0.20584498094027959</v>
      </c>
      <c r="AN22" s="202">
        <f t="shared" si="39"/>
        <v>7.7636402846668062E-2</v>
      </c>
    </row>
    <row r="23" spans="1:40">
      <c r="A23" s="27" t="s">
        <v>75</v>
      </c>
      <c r="B23" s="163">
        <v>83300</v>
      </c>
      <c r="C23" s="164">
        <v>112500</v>
      </c>
      <c r="D23" s="164">
        <v>97400</v>
      </c>
      <c r="E23" s="164">
        <v>104000</v>
      </c>
      <c r="F23" s="167">
        <v>397200</v>
      </c>
      <c r="G23" s="163">
        <v>137900</v>
      </c>
      <c r="H23" s="164">
        <v>92200</v>
      </c>
      <c r="I23" s="164">
        <v>149800</v>
      </c>
      <c r="J23" s="164">
        <v>250500</v>
      </c>
      <c r="K23" s="166">
        <f t="shared" si="21"/>
        <v>0.3974297953355545</v>
      </c>
      <c r="L23" s="167">
        <v>630300</v>
      </c>
      <c r="M23" s="62">
        <v>142500</v>
      </c>
      <c r="N23" s="63">
        <v>254600</v>
      </c>
      <c r="O23" s="63">
        <v>85100</v>
      </c>
      <c r="P23" s="63">
        <v>267700</v>
      </c>
      <c r="Q23" s="168">
        <v>44400</v>
      </c>
      <c r="R23" s="62">
        <v>297900</v>
      </c>
      <c r="S23" s="63">
        <v>332400</v>
      </c>
      <c r="T23" s="63">
        <v>147600</v>
      </c>
      <c r="U23" s="63">
        <v>428000</v>
      </c>
      <c r="V23" s="64">
        <v>54800</v>
      </c>
      <c r="W23" s="169">
        <f t="shared" si="22"/>
        <v>440400</v>
      </c>
      <c r="X23" s="170">
        <f t="shared" si="23"/>
        <v>587000</v>
      </c>
      <c r="Y23" s="170">
        <f t="shared" si="24"/>
        <v>232700</v>
      </c>
      <c r="Z23" s="170">
        <f t="shared" si="25"/>
        <v>695700</v>
      </c>
      <c r="AA23" s="171">
        <f t="shared" si="26"/>
        <v>99200</v>
      </c>
      <c r="AB23" s="172">
        <f t="shared" si="27"/>
        <v>1027500</v>
      </c>
      <c r="AC23" s="179">
        <f t="shared" si="28"/>
        <v>2.6334187835003409E-2</v>
      </c>
      <c r="AD23" s="180">
        <f t="shared" si="29"/>
        <v>2.9463346194317674E-2</v>
      </c>
      <c r="AE23" s="180">
        <f t="shared" si="30"/>
        <v>1.5270506108202353E-2</v>
      </c>
      <c r="AF23" s="180">
        <f t="shared" si="31"/>
        <v>3.0361374407583019E-2</v>
      </c>
      <c r="AG23" s="181">
        <f t="shared" si="32"/>
        <v>4.5310853530031503E-2</v>
      </c>
      <c r="AH23" s="182">
        <f t="shared" si="33"/>
        <v>2.8116870122073312E-2</v>
      </c>
      <c r="AI23" s="200">
        <f t="shared" si="34"/>
        <v>7.0230862697448382E-2</v>
      </c>
      <c r="AJ23" s="166">
        <f t="shared" si="35"/>
        <v>0.10964083175803396</v>
      </c>
      <c r="AK23" s="166">
        <f t="shared" si="36"/>
        <v>3.8839285714285632E-2</v>
      </c>
      <c r="AL23" s="166">
        <f t="shared" si="37"/>
        <v>9.7318611987381676E-2</v>
      </c>
      <c r="AM23" s="201">
        <f t="shared" si="38"/>
        <v>0.20096852300242141</v>
      </c>
      <c r="AN23" s="202">
        <f t="shared" si="39"/>
        <v>9.2503987240829311E-2</v>
      </c>
    </row>
    <row r="24" spans="1:40">
      <c r="A24" s="60" t="s">
        <v>76</v>
      </c>
      <c r="B24" s="183">
        <v>80300</v>
      </c>
      <c r="C24" s="184">
        <v>111200</v>
      </c>
      <c r="D24" s="184">
        <v>96900</v>
      </c>
      <c r="E24" s="184">
        <v>103100</v>
      </c>
      <c r="F24" s="185">
        <v>391500</v>
      </c>
      <c r="G24" s="183">
        <v>133800</v>
      </c>
      <c r="H24" s="184">
        <v>90700</v>
      </c>
      <c r="I24" s="184">
        <v>161900</v>
      </c>
      <c r="J24" s="184">
        <v>247500</v>
      </c>
      <c r="K24" s="186">
        <f t="shared" si="21"/>
        <v>0.39044013251301468</v>
      </c>
      <c r="L24" s="185">
        <v>633900</v>
      </c>
      <c r="M24" s="66">
        <v>137900</v>
      </c>
      <c r="N24" s="67">
        <v>253600</v>
      </c>
      <c r="O24" s="67">
        <v>80500</v>
      </c>
      <c r="P24" s="67">
        <v>265100</v>
      </c>
      <c r="Q24" s="187">
        <v>45900</v>
      </c>
      <c r="R24" s="66">
        <v>296900</v>
      </c>
      <c r="S24" s="67">
        <v>337000</v>
      </c>
      <c r="T24" s="67">
        <v>145600</v>
      </c>
      <c r="U24" s="67">
        <v>431600</v>
      </c>
      <c r="V24" s="68">
        <v>56800</v>
      </c>
      <c r="W24" s="188">
        <f t="shared" si="22"/>
        <v>434800</v>
      </c>
      <c r="X24" s="189">
        <f t="shared" si="23"/>
        <v>590600</v>
      </c>
      <c r="Y24" s="189">
        <f t="shared" si="24"/>
        <v>226100</v>
      </c>
      <c r="Z24" s="189">
        <f t="shared" si="25"/>
        <v>696700</v>
      </c>
      <c r="AA24" s="190">
        <f t="shared" si="26"/>
        <v>102700</v>
      </c>
      <c r="AB24" s="191">
        <f t="shared" si="27"/>
        <v>1025400</v>
      </c>
      <c r="AC24" s="192">
        <f t="shared" si="28"/>
        <v>-1.2715712988192518E-2</v>
      </c>
      <c r="AD24" s="193">
        <f t="shared" si="29"/>
        <v>6.1328790459966864E-3</v>
      </c>
      <c r="AE24" s="193">
        <f t="shared" si="30"/>
        <v>-2.8362698753760185E-2</v>
      </c>
      <c r="AF24" s="193">
        <f t="shared" si="31"/>
        <v>1.4374011786688623E-3</v>
      </c>
      <c r="AG24" s="194">
        <f t="shared" si="32"/>
        <v>3.5282258064516236E-2</v>
      </c>
      <c r="AH24" s="195">
        <f t="shared" si="33"/>
        <v>-2.0437956204379937E-3</v>
      </c>
      <c r="AI24" s="203">
        <f t="shared" si="34"/>
        <v>4.7458443748494394E-2</v>
      </c>
      <c r="AJ24" s="186">
        <f t="shared" si="35"/>
        <v>9.3501203480836903E-2</v>
      </c>
      <c r="AK24" s="186">
        <f t="shared" si="36"/>
        <v>8.0249665626392908E-3</v>
      </c>
      <c r="AL24" s="186">
        <f t="shared" si="37"/>
        <v>8.1664337835739786E-2</v>
      </c>
      <c r="AM24" s="204">
        <f t="shared" si="38"/>
        <v>0.18454440599769328</v>
      </c>
      <c r="AN24" s="205">
        <f t="shared" si="39"/>
        <v>7.3492462311557816E-2</v>
      </c>
    </row>
    <row r="25" spans="1:40">
      <c r="A25" s="27" t="s">
        <v>77</v>
      </c>
      <c r="B25" s="163">
        <v>77000</v>
      </c>
      <c r="C25" s="164">
        <v>109700</v>
      </c>
      <c r="D25" s="164">
        <v>95200</v>
      </c>
      <c r="E25" s="164">
        <v>102300</v>
      </c>
      <c r="F25" s="167">
        <v>384200</v>
      </c>
      <c r="G25" s="163">
        <v>132800</v>
      </c>
      <c r="H25" s="164">
        <v>93100</v>
      </c>
      <c r="I25" s="164">
        <v>165500</v>
      </c>
      <c r="J25" s="164">
        <v>231700</v>
      </c>
      <c r="K25" s="166">
        <f t="shared" si="21"/>
        <v>0.371790757381258</v>
      </c>
      <c r="L25" s="167">
        <v>623200</v>
      </c>
      <c r="M25" s="62">
        <v>133900</v>
      </c>
      <c r="N25" s="63">
        <v>250200</v>
      </c>
      <c r="O25" s="63">
        <v>77100</v>
      </c>
      <c r="P25" s="63">
        <v>260600</v>
      </c>
      <c r="Q25" s="168">
        <v>46500</v>
      </c>
      <c r="R25" s="62">
        <v>286300</v>
      </c>
      <c r="S25" s="63">
        <v>336900</v>
      </c>
      <c r="T25" s="63">
        <v>139800</v>
      </c>
      <c r="U25" s="63">
        <v>425100</v>
      </c>
      <c r="V25" s="64">
        <v>58300</v>
      </c>
      <c r="W25" s="169">
        <f t="shared" si="22"/>
        <v>420200</v>
      </c>
      <c r="X25" s="170">
        <f t="shared" si="23"/>
        <v>587100</v>
      </c>
      <c r="Y25" s="170">
        <f t="shared" si="24"/>
        <v>216900</v>
      </c>
      <c r="Z25" s="170">
        <f t="shared" si="25"/>
        <v>685700</v>
      </c>
      <c r="AA25" s="171">
        <f t="shared" si="26"/>
        <v>104800</v>
      </c>
      <c r="AB25" s="172">
        <f t="shared" si="27"/>
        <v>1007400</v>
      </c>
      <c r="AC25" s="179">
        <f t="shared" si="28"/>
        <v>-3.3578656853725852E-2</v>
      </c>
      <c r="AD25" s="180">
        <f t="shared" si="29"/>
        <v>-5.9261767693871148E-3</v>
      </c>
      <c r="AE25" s="180">
        <f t="shared" si="30"/>
        <v>-4.0689960194604136E-2</v>
      </c>
      <c r="AF25" s="180">
        <f t="shared" si="31"/>
        <v>-1.5788718243146316E-2</v>
      </c>
      <c r="AG25" s="181">
        <f t="shared" si="32"/>
        <v>2.0447906523855863E-2</v>
      </c>
      <c r="AH25" s="182">
        <f t="shared" si="33"/>
        <v>-1.7554125219426564E-2</v>
      </c>
      <c r="AI25" s="200">
        <f t="shared" si="34"/>
        <v>4.5421945971790834E-3</v>
      </c>
      <c r="AJ25" s="166">
        <f t="shared" si="35"/>
        <v>6.0896277556920841E-2</v>
      </c>
      <c r="AK25" s="166">
        <f t="shared" si="36"/>
        <v>-3.2128514056224855E-2</v>
      </c>
      <c r="AL25" s="166">
        <f t="shared" si="37"/>
        <v>4.3683409436834131E-2</v>
      </c>
      <c r="AM25" s="201">
        <f t="shared" si="38"/>
        <v>0.15673289183222949</v>
      </c>
      <c r="AN25" s="202">
        <f t="shared" si="39"/>
        <v>3.6739734485952358E-2</v>
      </c>
    </row>
    <row r="26" spans="1:40">
      <c r="A26" s="27" t="s">
        <v>78</v>
      </c>
      <c r="B26" s="163">
        <v>74900</v>
      </c>
      <c r="C26" s="164">
        <v>104900</v>
      </c>
      <c r="D26" s="164">
        <v>90800</v>
      </c>
      <c r="E26" s="164">
        <v>102300</v>
      </c>
      <c r="F26" s="167">
        <v>372900</v>
      </c>
      <c r="G26" s="163">
        <v>127400</v>
      </c>
      <c r="H26" s="164">
        <v>91100</v>
      </c>
      <c r="I26" s="164">
        <v>168100</v>
      </c>
      <c r="J26" s="164">
        <v>221700</v>
      </c>
      <c r="K26" s="166">
        <f t="shared" si="21"/>
        <v>0.36445832648364296</v>
      </c>
      <c r="L26" s="167">
        <v>608300</v>
      </c>
      <c r="M26" s="62">
        <v>125900</v>
      </c>
      <c r="N26" s="63">
        <v>247100</v>
      </c>
      <c r="O26" s="63">
        <v>72200</v>
      </c>
      <c r="P26" s="63">
        <v>253500</v>
      </c>
      <c r="Q26" s="168">
        <v>47200</v>
      </c>
      <c r="R26" s="62">
        <v>273200</v>
      </c>
      <c r="S26" s="63">
        <v>335100</v>
      </c>
      <c r="T26" s="63">
        <v>132500</v>
      </c>
      <c r="U26" s="63">
        <v>415800</v>
      </c>
      <c r="V26" s="64">
        <v>59900</v>
      </c>
      <c r="W26" s="169">
        <f t="shared" si="22"/>
        <v>399100</v>
      </c>
      <c r="X26" s="170">
        <f t="shared" si="23"/>
        <v>582200</v>
      </c>
      <c r="Y26" s="170">
        <f t="shared" si="24"/>
        <v>204700</v>
      </c>
      <c r="Z26" s="170">
        <f t="shared" si="25"/>
        <v>669300</v>
      </c>
      <c r="AA26" s="171">
        <f t="shared" si="26"/>
        <v>107100</v>
      </c>
      <c r="AB26" s="172">
        <f t="shared" si="27"/>
        <v>981200</v>
      </c>
      <c r="AC26" s="179">
        <f t="shared" si="28"/>
        <v>-5.021418372203712E-2</v>
      </c>
      <c r="AD26" s="180">
        <f t="shared" si="29"/>
        <v>-8.346107988417617E-3</v>
      </c>
      <c r="AE26" s="180">
        <f t="shared" si="30"/>
        <v>-5.624711848778241E-2</v>
      </c>
      <c r="AF26" s="180">
        <f t="shared" si="31"/>
        <v>-2.391716494093632E-2</v>
      </c>
      <c r="AG26" s="181">
        <f t="shared" si="32"/>
        <v>2.1946564885496178E-2</v>
      </c>
      <c r="AH26" s="182">
        <f t="shared" si="33"/>
        <v>-2.6007544173118902E-2</v>
      </c>
      <c r="AI26" s="200">
        <f t="shared" si="34"/>
        <v>-6.9913773013283609E-2</v>
      </c>
      <c r="AJ26" s="166">
        <f t="shared" si="35"/>
        <v>2.1045247281655577E-2</v>
      </c>
      <c r="AK26" s="166">
        <f t="shared" si="36"/>
        <v>-0.10689354275741714</v>
      </c>
      <c r="AL26" s="166">
        <f t="shared" si="37"/>
        <v>-8.7381516587677899E-3</v>
      </c>
      <c r="AM26" s="201">
        <f t="shared" si="38"/>
        <v>0.12855637513171758</v>
      </c>
      <c r="AN26" s="202">
        <f t="shared" si="39"/>
        <v>-1.8210926555933593E-2</v>
      </c>
    </row>
    <row r="27" spans="1:40">
      <c r="A27" s="27" t="s">
        <v>79</v>
      </c>
      <c r="B27" s="163">
        <v>77000</v>
      </c>
      <c r="C27" s="164">
        <v>109400</v>
      </c>
      <c r="D27" s="164">
        <v>90200</v>
      </c>
      <c r="E27" s="164">
        <v>107300</v>
      </c>
      <c r="F27" s="167">
        <v>383900</v>
      </c>
      <c r="G27" s="163">
        <v>128800</v>
      </c>
      <c r="H27" s="164">
        <v>90900</v>
      </c>
      <c r="I27" s="164">
        <v>168400</v>
      </c>
      <c r="J27" s="164">
        <v>211900</v>
      </c>
      <c r="K27" s="166">
        <f t="shared" si="21"/>
        <v>0.35316666666666668</v>
      </c>
      <c r="L27" s="167">
        <v>600000</v>
      </c>
      <c r="M27" s="62">
        <v>131500</v>
      </c>
      <c r="N27" s="63">
        <v>252400</v>
      </c>
      <c r="O27" s="63">
        <v>74300</v>
      </c>
      <c r="P27" s="63">
        <v>259800</v>
      </c>
      <c r="Q27" s="168">
        <v>49800</v>
      </c>
      <c r="R27" s="62">
        <v>264200</v>
      </c>
      <c r="S27" s="63">
        <v>335800</v>
      </c>
      <c r="T27" s="63">
        <v>125200</v>
      </c>
      <c r="U27" s="63">
        <v>412600</v>
      </c>
      <c r="V27" s="64">
        <v>62300</v>
      </c>
      <c r="W27" s="169">
        <f t="shared" si="22"/>
        <v>395700</v>
      </c>
      <c r="X27" s="170">
        <f t="shared" si="23"/>
        <v>588200</v>
      </c>
      <c r="Y27" s="170">
        <f t="shared" si="24"/>
        <v>199500</v>
      </c>
      <c r="Z27" s="170">
        <f t="shared" si="25"/>
        <v>672400</v>
      </c>
      <c r="AA27" s="171">
        <f t="shared" si="26"/>
        <v>112100</v>
      </c>
      <c r="AB27" s="172">
        <f t="shared" si="27"/>
        <v>983900</v>
      </c>
      <c r="AC27" s="179">
        <f t="shared" si="28"/>
        <v>-8.5191681282886789E-3</v>
      </c>
      <c r="AD27" s="180">
        <f t="shared" si="29"/>
        <v>1.0305736860185544E-2</v>
      </c>
      <c r="AE27" s="180">
        <f t="shared" si="30"/>
        <v>-2.5403028822667317E-2</v>
      </c>
      <c r="AF27" s="180">
        <f t="shared" si="31"/>
        <v>4.6317047661736943E-3</v>
      </c>
      <c r="AG27" s="181">
        <f t="shared" si="32"/>
        <v>4.6685340802987918E-2</v>
      </c>
      <c r="AH27" s="182">
        <f t="shared" si="33"/>
        <v>2.751732572360277E-3</v>
      </c>
      <c r="AI27" s="200">
        <f t="shared" si="34"/>
        <v>-0.10149863760217981</v>
      </c>
      <c r="AJ27" s="166">
        <f t="shared" si="35"/>
        <v>2.0442930153321548E-3</v>
      </c>
      <c r="AK27" s="166">
        <f t="shared" si="36"/>
        <v>-0.14267296948861197</v>
      </c>
      <c r="AL27" s="166">
        <f t="shared" si="37"/>
        <v>-3.3491447462986934E-2</v>
      </c>
      <c r="AM27" s="201">
        <f t="shared" si="38"/>
        <v>0.13004032258064524</v>
      </c>
      <c r="AN27" s="202">
        <f t="shared" si="39"/>
        <v>-4.2433090024330933E-2</v>
      </c>
    </row>
    <row r="28" spans="1:40">
      <c r="A28" s="60" t="s">
        <v>80</v>
      </c>
      <c r="B28" s="183">
        <v>78000</v>
      </c>
      <c r="C28" s="184">
        <v>105900</v>
      </c>
      <c r="D28" s="184">
        <v>92800</v>
      </c>
      <c r="E28" s="184">
        <v>103400</v>
      </c>
      <c r="F28" s="185">
        <v>380000</v>
      </c>
      <c r="G28" s="183">
        <v>127400</v>
      </c>
      <c r="H28" s="184">
        <v>93600</v>
      </c>
      <c r="I28" s="184">
        <v>173200</v>
      </c>
      <c r="J28" s="184">
        <v>217500</v>
      </c>
      <c r="K28" s="186">
        <f t="shared" si="21"/>
        <v>0.3555664541441883</v>
      </c>
      <c r="L28" s="185">
        <v>611700</v>
      </c>
      <c r="M28" s="66">
        <v>131300</v>
      </c>
      <c r="N28" s="67">
        <v>248700</v>
      </c>
      <c r="O28" s="67">
        <v>70600</v>
      </c>
      <c r="P28" s="67">
        <v>258700</v>
      </c>
      <c r="Q28" s="187">
        <v>50800</v>
      </c>
      <c r="R28" s="66">
        <v>271900</v>
      </c>
      <c r="S28" s="67">
        <v>339700</v>
      </c>
      <c r="T28" s="67">
        <v>125600</v>
      </c>
      <c r="U28" s="67">
        <v>420600</v>
      </c>
      <c r="V28" s="68">
        <v>65400</v>
      </c>
      <c r="W28" s="188">
        <f t="shared" si="22"/>
        <v>403200</v>
      </c>
      <c r="X28" s="189">
        <f t="shared" si="23"/>
        <v>588400</v>
      </c>
      <c r="Y28" s="189">
        <f t="shared" si="24"/>
        <v>196200</v>
      </c>
      <c r="Z28" s="189">
        <f t="shared" si="25"/>
        <v>679300</v>
      </c>
      <c r="AA28" s="190">
        <f t="shared" si="26"/>
        <v>116200</v>
      </c>
      <c r="AB28" s="191">
        <f t="shared" si="27"/>
        <v>991700</v>
      </c>
      <c r="AC28" s="192">
        <f t="shared" si="28"/>
        <v>1.8953752843062999E-2</v>
      </c>
      <c r="AD28" s="193">
        <f t="shared" si="29"/>
        <v>3.4002040122405042E-4</v>
      </c>
      <c r="AE28" s="193">
        <f t="shared" si="30"/>
        <v>-1.6541353383458635E-2</v>
      </c>
      <c r="AF28" s="193">
        <f t="shared" si="31"/>
        <v>1.0261748958952932E-2</v>
      </c>
      <c r="AG28" s="194">
        <f t="shared" si="32"/>
        <v>3.6574487065120342E-2</v>
      </c>
      <c r="AH28" s="195">
        <f t="shared" si="33"/>
        <v>7.9276349222481279E-3</v>
      </c>
      <c r="AI28" s="203">
        <f t="shared" si="34"/>
        <v>-7.2677092916283326E-2</v>
      </c>
      <c r="AJ28" s="186">
        <f t="shared" si="35"/>
        <v>-3.7250253979004277E-3</v>
      </c>
      <c r="AK28" s="186">
        <f t="shared" si="36"/>
        <v>-0.13224237063246347</v>
      </c>
      <c r="AL28" s="186">
        <f t="shared" si="37"/>
        <v>-2.497488158461314E-2</v>
      </c>
      <c r="AM28" s="204">
        <f t="shared" si="38"/>
        <v>0.13145082765335925</v>
      </c>
      <c r="AN28" s="205">
        <f t="shared" si="39"/>
        <v>-3.2865223327481985E-2</v>
      </c>
    </row>
    <row r="29" spans="1:40">
      <c r="A29" s="27" t="s">
        <v>81</v>
      </c>
      <c r="B29" s="163">
        <v>79400</v>
      </c>
      <c r="C29" s="164">
        <v>106500</v>
      </c>
      <c r="D29" s="164">
        <v>94900</v>
      </c>
      <c r="E29" s="164">
        <v>102500</v>
      </c>
      <c r="F29" s="167">
        <v>383200</v>
      </c>
      <c r="G29" s="163">
        <v>130200</v>
      </c>
      <c r="H29" s="164">
        <v>93000</v>
      </c>
      <c r="I29" s="164">
        <v>184000</v>
      </c>
      <c r="J29" s="164">
        <v>207400</v>
      </c>
      <c r="K29" s="166">
        <f t="shared" si="21"/>
        <v>0.33751017087062651</v>
      </c>
      <c r="L29" s="167">
        <v>614500</v>
      </c>
      <c r="M29" s="62">
        <v>134400</v>
      </c>
      <c r="N29" s="63">
        <v>248800</v>
      </c>
      <c r="O29" s="63">
        <v>69500</v>
      </c>
      <c r="P29" s="63">
        <v>261000</v>
      </c>
      <c r="Q29" s="168">
        <v>52800</v>
      </c>
      <c r="R29" s="62">
        <v>273900</v>
      </c>
      <c r="S29" s="63">
        <v>340600</v>
      </c>
      <c r="T29" s="63">
        <v>121200</v>
      </c>
      <c r="U29" s="63">
        <v>423400</v>
      </c>
      <c r="V29" s="64">
        <v>69900</v>
      </c>
      <c r="W29" s="169">
        <f t="shared" si="22"/>
        <v>408300</v>
      </c>
      <c r="X29" s="170">
        <f t="shared" si="23"/>
        <v>589400</v>
      </c>
      <c r="Y29" s="170">
        <f t="shared" si="24"/>
        <v>190700</v>
      </c>
      <c r="Z29" s="170">
        <f t="shared" si="25"/>
        <v>684400</v>
      </c>
      <c r="AA29" s="171">
        <f t="shared" si="26"/>
        <v>122700</v>
      </c>
      <c r="AB29" s="172">
        <f t="shared" si="27"/>
        <v>997700</v>
      </c>
      <c r="AC29" s="179">
        <f t="shared" si="28"/>
        <v>1.2648809523809534E-2</v>
      </c>
      <c r="AD29" s="180">
        <f t="shared" si="29"/>
        <v>1.6995241332427025E-3</v>
      </c>
      <c r="AE29" s="180">
        <f t="shared" si="30"/>
        <v>-2.8032619775739009E-2</v>
      </c>
      <c r="AF29" s="180">
        <f t="shared" si="31"/>
        <v>7.5077285440894315E-3</v>
      </c>
      <c r="AG29" s="181">
        <f t="shared" si="32"/>
        <v>5.5938037865748802E-2</v>
      </c>
      <c r="AH29" s="182">
        <f t="shared" si="33"/>
        <v>6.0502167994354039E-3</v>
      </c>
      <c r="AI29" s="200">
        <f t="shared" si="34"/>
        <v>-2.8319847691575473E-2</v>
      </c>
      <c r="AJ29" s="166">
        <f t="shared" si="35"/>
        <v>3.917560892522598E-3</v>
      </c>
      <c r="AK29" s="166">
        <f t="shared" si="36"/>
        <v>-0.12079299216228678</v>
      </c>
      <c r="AL29" s="166">
        <f t="shared" si="37"/>
        <v>-1.8958728306839312E-3</v>
      </c>
      <c r="AM29" s="201">
        <f t="shared" si="38"/>
        <v>0.17080152671755733</v>
      </c>
      <c r="AN29" s="202">
        <f t="shared" si="39"/>
        <v>-9.6287472702004662E-3</v>
      </c>
    </row>
    <row r="30" spans="1:40">
      <c r="A30" s="27" t="s">
        <v>82</v>
      </c>
      <c r="B30" s="163">
        <v>78900</v>
      </c>
      <c r="C30" s="164">
        <v>108300</v>
      </c>
      <c r="D30" s="164">
        <v>93800</v>
      </c>
      <c r="E30" s="164">
        <v>106000</v>
      </c>
      <c r="F30" s="167">
        <v>387000</v>
      </c>
      <c r="G30" s="163">
        <v>130500</v>
      </c>
      <c r="H30" s="164">
        <v>94500</v>
      </c>
      <c r="I30" s="164">
        <v>182800</v>
      </c>
      <c r="J30" s="164">
        <v>199500</v>
      </c>
      <c r="K30" s="166">
        <f t="shared" si="21"/>
        <v>0.32850321093364071</v>
      </c>
      <c r="L30" s="167">
        <v>607300</v>
      </c>
      <c r="M30" s="62">
        <v>136400</v>
      </c>
      <c r="N30" s="63">
        <v>250600</v>
      </c>
      <c r="O30" s="63">
        <v>69200</v>
      </c>
      <c r="P30" s="63">
        <v>263100</v>
      </c>
      <c r="Q30" s="168">
        <v>54700</v>
      </c>
      <c r="R30" s="62">
        <v>267000</v>
      </c>
      <c r="S30" s="63">
        <v>340300</v>
      </c>
      <c r="T30" s="63">
        <v>116200</v>
      </c>
      <c r="U30" s="63">
        <v>418700</v>
      </c>
      <c r="V30" s="64">
        <v>72400</v>
      </c>
      <c r="W30" s="169">
        <f t="shared" si="22"/>
        <v>403400</v>
      </c>
      <c r="X30" s="170">
        <f t="shared" si="23"/>
        <v>590900</v>
      </c>
      <c r="Y30" s="170">
        <f t="shared" si="24"/>
        <v>185400</v>
      </c>
      <c r="Z30" s="170">
        <f t="shared" si="25"/>
        <v>681800</v>
      </c>
      <c r="AA30" s="171">
        <f t="shared" si="26"/>
        <v>127100</v>
      </c>
      <c r="AB30" s="172">
        <f t="shared" si="27"/>
        <v>994300</v>
      </c>
      <c r="AC30" s="179">
        <f t="shared" si="28"/>
        <v>-1.2000979671809908E-2</v>
      </c>
      <c r="AD30" s="180">
        <f t="shared" si="29"/>
        <v>2.5449609772649762E-3</v>
      </c>
      <c r="AE30" s="180">
        <f t="shared" si="30"/>
        <v>-2.779234399580488E-2</v>
      </c>
      <c r="AF30" s="180">
        <f t="shared" si="31"/>
        <v>-3.7989479836353368E-3</v>
      </c>
      <c r="AG30" s="181">
        <f t="shared" si="32"/>
        <v>3.5859820700896439E-2</v>
      </c>
      <c r="AH30" s="182">
        <f t="shared" si="33"/>
        <v>-3.4078380274631392E-3</v>
      </c>
      <c r="AI30" s="200">
        <f t="shared" si="34"/>
        <v>1.0774242044600424E-2</v>
      </c>
      <c r="AJ30" s="166">
        <f t="shared" si="35"/>
        <v>1.4943318447268927E-2</v>
      </c>
      <c r="AK30" s="166">
        <f t="shared" si="36"/>
        <v>-9.4284318514899823E-2</v>
      </c>
      <c r="AL30" s="166">
        <f t="shared" si="37"/>
        <v>1.8676228895861291E-2</v>
      </c>
      <c r="AM30" s="201">
        <f t="shared" si="38"/>
        <v>0.18674136321195145</v>
      </c>
      <c r="AN30" s="202">
        <f t="shared" si="39"/>
        <v>1.3350998777007739E-2</v>
      </c>
    </row>
    <row r="31" spans="1:40">
      <c r="A31" s="27" t="s">
        <v>83</v>
      </c>
      <c r="B31" s="163">
        <v>75900</v>
      </c>
      <c r="C31" s="164">
        <v>112500</v>
      </c>
      <c r="D31" s="164">
        <v>91300</v>
      </c>
      <c r="E31" s="164">
        <v>108100</v>
      </c>
      <c r="F31" s="167">
        <v>387800</v>
      </c>
      <c r="G31" s="163">
        <v>126100</v>
      </c>
      <c r="H31" s="164">
        <v>92200</v>
      </c>
      <c r="I31" s="164">
        <v>177300</v>
      </c>
      <c r="J31" s="164">
        <v>183200</v>
      </c>
      <c r="K31" s="166">
        <f t="shared" si="21"/>
        <v>0.31651693158258465</v>
      </c>
      <c r="L31" s="167">
        <v>578800</v>
      </c>
      <c r="M31" s="62">
        <v>138300</v>
      </c>
      <c r="N31" s="63">
        <v>249600</v>
      </c>
      <c r="O31" s="63">
        <v>70000</v>
      </c>
      <c r="P31" s="63">
        <v>262100</v>
      </c>
      <c r="Q31" s="168">
        <v>55700</v>
      </c>
      <c r="R31" s="62">
        <v>252000</v>
      </c>
      <c r="S31" s="63">
        <v>326900</v>
      </c>
      <c r="T31" s="63">
        <v>107400</v>
      </c>
      <c r="U31" s="63">
        <v>399400</v>
      </c>
      <c r="V31" s="64">
        <v>72100</v>
      </c>
      <c r="W31" s="169">
        <f t="shared" si="22"/>
        <v>390300</v>
      </c>
      <c r="X31" s="170">
        <f t="shared" si="23"/>
        <v>576500</v>
      </c>
      <c r="Y31" s="170">
        <f t="shared" si="24"/>
        <v>177400</v>
      </c>
      <c r="Z31" s="170">
        <f t="shared" si="25"/>
        <v>661500</v>
      </c>
      <c r="AA31" s="171">
        <f t="shared" si="26"/>
        <v>127800</v>
      </c>
      <c r="AB31" s="172">
        <f t="shared" si="27"/>
        <v>966600</v>
      </c>
      <c r="AC31" s="179">
        <f t="shared" si="28"/>
        <v>-3.2473971244422417E-2</v>
      </c>
      <c r="AD31" s="180">
        <f t="shared" si="29"/>
        <v>-2.4369605686241358E-2</v>
      </c>
      <c r="AE31" s="180">
        <f t="shared" si="30"/>
        <v>-4.314994606256739E-2</v>
      </c>
      <c r="AF31" s="180">
        <f t="shared" si="31"/>
        <v>-2.9774127310061571E-2</v>
      </c>
      <c r="AG31" s="181">
        <f t="shared" si="32"/>
        <v>5.5074744295831035E-3</v>
      </c>
      <c r="AH31" s="182">
        <f t="shared" si="33"/>
        <v>-2.7858795132253866E-2</v>
      </c>
      <c r="AI31" s="200">
        <f t="shared" si="34"/>
        <v>-1.3646702047005355E-2</v>
      </c>
      <c r="AJ31" s="166">
        <f t="shared" si="35"/>
        <v>-1.9891193471608282E-2</v>
      </c>
      <c r="AK31" s="166">
        <f t="shared" si="36"/>
        <v>-0.11077694235588975</v>
      </c>
      <c r="AL31" s="166">
        <f t="shared" si="37"/>
        <v>-1.6210588935157699E-2</v>
      </c>
      <c r="AM31" s="201">
        <f t="shared" si="38"/>
        <v>0.14005352363960744</v>
      </c>
      <c r="AN31" s="202">
        <f t="shared" si="39"/>
        <v>-1.7583087712165879E-2</v>
      </c>
    </row>
    <row r="32" spans="1:40" s="12" customFormat="1">
      <c r="A32" s="60" t="s">
        <v>84</v>
      </c>
      <c r="B32" s="183">
        <v>79400</v>
      </c>
      <c r="C32" s="184">
        <v>111600</v>
      </c>
      <c r="D32" s="184">
        <v>94600</v>
      </c>
      <c r="E32" s="184">
        <v>108900</v>
      </c>
      <c r="F32" s="185">
        <v>394500</v>
      </c>
      <c r="G32" s="183">
        <v>129300</v>
      </c>
      <c r="H32" s="184">
        <v>97700</v>
      </c>
      <c r="I32" s="184">
        <v>168000</v>
      </c>
      <c r="J32" s="184">
        <v>180500</v>
      </c>
      <c r="K32" s="186">
        <f t="shared" si="21"/>
        <v>0.31369482099409107</v>
      </c>
      <c r="L32" s="185">
        <v>575400</v>
      </c>
      <c r="M32" s="66">
        <v>141500</v>
      </c>
      <c r="N32" s="67">
        <v>253000</v>
      </c>
      <c r="O32" s="67">
        <v>72700</v>
      </c>
      <c r="P32" s="67">
        <v>264400</v>
      </c>
      <c r="Q32" s="187">
        <v>57400</v>
      </c>
      <c r="R32" s="66">
        <v>249700</v>
      </c>
      <c r="S32" s="67">
        <v>325700</v>
      </c>
      <c r="T32" s="67">
        <v>107900</v>
      </c>
      <c r="U32" s="67">
        <v>395300</v>
      </c>
      <c r="V32" s="68">
        <v>72200</v>
      </c>
      <c r="W32" s="188">
        <f t="shared" si="22"/>
        <v>391200</v>
      </c>
      <c r="X32" s="189">
        <f t="shared" si="23"/>
        <v>578700</v>
      </c>
      <c r="Y32" s="189">
        <f t="shared" si="24"/>
        <v>180600</v>
      </c>
      <c r="Z32" s="189">
        <f t="shared" si="25"/>
        <v>659700</v>
      </c>
      <c r="AA32" s="190">
        <f t="shared" si="26"/>
        <v>129600</v>
      </c>
      <c r="AB32" s="191">
        <f t="shared" si="27"/>
        <v>969900</v>
      </c>
      <c r="AC32" s="192">
        <f t="shared" si="28"/>
        <v>2.3059185242122471E-3</v>
      </c>
      <c r="AD32" s="193">
        <f t="shared" si="29"/>
        <v>3.8161318300087288E-3</v>
      </c>
      <c r="AE32" s="193">
        <f t="shared" si="30"/>
        <v>1.8038331454340417E-2</v>
      </c>
      <c r="AF32" s="193">
        <f t="shared" si="31"/>
        <v>-2.7210884353741083E-3</v>
      </c>
      <c r="AG32" s="194">
        <f t="shared" si="32"/>
        <v>1.4084507042253502E-2</v>
      </c>
      <c r="AH32" s="195">
        <f t="shared" si="33"/>
        <v>3.4140285536934378E-3</v>
      </c>
      <c r="AI32" s="203">
        <f t="shared" si="34"/>
        <v>-2.9761904761904767E-2</v>
      </c>
      <c r="AJ32" s="186">
        <f t="shared" si="35"/>
        <v>-1.6485384092454147E-2</v>
      </c>
      <c r="AK32" s="186">
        <f t="shared" si="36"/>
        <v>-7.9510703363914415E-2</v>
      </c>
      <c r="AL32" s="186">
        <f t="shared" si="37"/>
        <v>-2.8853231267481183E-2</v>
      </c>
      <c r="AM32" s="204">
        <f t="shared" si="38"/>
        <v>0.11531841652323571</v>
      </c>
      <c r="AN32" s="205">
        <f t="shared" si="39"/>
        <v>-2.1982454371281657E-2</v>
      </c>
    </row>
    <row r="33" spans="1:40">
      <c r="A33" s="27" t="s">
        <v>85</v>
      </c>
      <c r="B33" s="163">
        <v>83500</v>
      </c>
      <c r="C33" s="164">
        <v>112200</v>
      </c>
      <c r="D33" s="164">
        <v>96600</v>
      </c>
      <c r="E33" s="164">
        <v>113000</v>
      </c>
      <c r="F33" s="167">
        <v>405300</v>
      </c>
      <c r="G33" s="163">
        <v>125800</v>
      </c>
      <c r="H33" s="164">
        <v>92300</v>
      </c>
      <c r="I33" s="164">
        <v>186200</v>
      </c>
      <c r="J33" s="164">
        <v>168600</v>
      </c>
      <c r="K33" s="166">
        <f t="shared" si="21"/>
        <v>0.29429219759120268</v>
      </c>
      <c r="L33" s="167">
        <v>572900</v>
      </c>
      <c r="M33" s="62">
        <v>147300</v>
      </c>
      <c r="N33" s="63">
        <v>258000</v>
      </c>
      <c r="O33" s="63">
        <v>73800</v>
      </c>
      <c r="P33" s="63">
        <v>271700</v>
      </c>
      <c r="Q33" s="168">
        <v>59900</v>
      </c>
      <c r="R33" s="62">
        <v>249700</v>
      </c>
      <c r="S33" s="63">
        <v>323100</v>
      </c>
      <c r="T33" s="63">
        <v>110300</v>
      </c>
      <c r="U33" s="63">
        <v>391500</v>
      </c>
      <c r="V33" s="64">
        <v>71100</v>
      </c>
      <c r="W33" s="169">
        <f t="shared" si="22"/>
        <v>397000</v>
      </c>
      <c r="X33" s="170">
        <f t="shared" si="23"/>
        <v>581100</v>
      </c>
      <c r="Y33" s="170">
        <f t="shared" si="24"/>
        <v>184100</v>
      </c>
      <c r="Z33" s="170">
        <f t="shared" si="25"/>
        <v>663200</v>
      </c>
      <c r="AA33" s="171">
        <f t="shared" si="26"/>
        <v>131000</v>
      </c>
      <c r="AB33" s="172">
        <f t="shared" si="27"/>
        <v>978200</v>
      </c>
      <c r="AC33" s="179">
        <f t="shared" si="28"/>
        <v>1.4826175869120606E-2</v>
      </c>
      <c r="AD33" s="180">
        <f t="shared" si="29"/>
        <v>4.147226542249971E-3</v>
      </c>
      <c r="AE33" s="180">
        <f t="shared" si="30"/>
        <v>1.9379844961240345E-2</v>
      </c>
      <c r="AF33" s="180">
        <f t="shared" si="31"/>
        <v>5.3054418675155812E-3</v>
      </c>
      <c r="AG33" s="181">
        <f t="shared" si="32"/>
        <v>1.0802469135802406E-2</v>
      </c>
      <c r="AH33" s="182">
        <f t="shared" si="33"/>
        <v>8.5575832560058629E-3</v>
      </c>
      <c r="AI33" s="200">
        <f t="shared" si="34"/>
        <v>-2.7675728630908614E-2</v>
      </c>
      <c r="AJ33" s="166">
        <f t="shared" si="35"/>
        <v>-1.4082117407533068E-2</v>
      </c>
      <c r="AK33" s="166">
        <f t="shared" si="36"/>
        <v>-3.4609334032511763E-2</v>
      </c>
      <c r="AL33" s="166">
        <f t="shared" si="37"/>
        <v>-3.0976037405026302E-2</v>
      </c>
      <c r="AM33" s="201">
        <f t="shared" si="38"/>
        <v>6.764466177669104E-2</v>
      </c>
      <c r="AN33" s="202">
        <f t="shared" si="39"/>
        <v>-1.9544953392803488E-2</v>
      </c>
    </row>
    <row r="34" spans="1:40">
      <c r="A34" s="27" t="s">
        <v>86</v>
      </c>
      <c r="B34" s="163">
        <v>82500</v>
      </c>
      <c r="C34" s="164">
        <v>114700</v>
      </c>
      <c r="D34" s="164">
        <v>96700</v>
      </c>
      <c r="E34" s="164">
        <v>114000</v>
      </c>
      <c r="F34" s="167">
        <v>407800</v>
      </c>
      <c r="G34" s="163">
        <v>122500</v>
      </c>
      <c r="H34" s="164">
        <v>92200</v>
      </c>
      <c r="I34" s="164">
        <v>182200</v>
      </c>
      <c r="J34" s="164">
        <v>170400</v>
      </c>
      <c r="K34" s="166">
        <f t="shared" si="21"/>
        <v>0.3003701745108408</v>
      </c>
      <c r="L34" s="167">
        <v>567300</v>
      </c>
      <c r="M34" s="62">
        <v>149200</v>
      </c>
      <c r="N34" s="63">
        <v>258600</v>
      </c>
      <c r="O34" s="63">
        <v>73100</v>
      </c>
      <c r="P34" s="63">
        <v>273800</v>
      </c>
      <c r="Q34" s="168">
        <v>60900</v>
      </c>
      <c r="R34" s="62">
        <v>251200</v>
      </c>
      <c r="S34" s="63">
        <v>316200</v>
      </c>
      <c r="T34" s="63">
        <v>107500</v>
      </c>
      <c r="U34" s="63">
        <v>388700</v>
      </c>
      <c r="V34" s="64">
        <v>71200</v>
      </c>
      <c r="W34" s="169">
        <f t="shared" si="22"/>
        <v>400400</v>
      </c>
      <c r="X34" s="170">
        <f t="shared" si="23"/>
        <v>574800</v>
      </c>
      <c r="Y34" s="170">
        <f t="shared" si="24"/>
        <v>180600</v>
      </c>
      <c r="Z34" s="170">
        <f t="shared" si="25"/>
        <v>662500</v>
      </c>
      <c r="AA34" s="171">
        <f t="shared" si="26"/>
        <v>132100</v>
      </c>
      <c r="AB34" s="172">
        <f t="shared" si="27"/>
        <v>975100</v>
      </c>
      <c r="AC34" s="179">
        <f t="shared" si="28"/>
        <v>8.5642317380352218E-3</v>
      </c>
      <c r="AD34" s="180">
        <f t="shared" si="29"/>
        <v>-1.0841507485802815E-2</v>
      </c>
      <c r="AE34" s="180">
        <f t="shared" si="30"/>
        <v>-1.9011406844106515E-2</v>
      </c>
      <c r="AF34" s="180">
        <f t="shared" si="31"/>
        <v>-1.0554885404101544E-3</v>
      </c>
      <c r="AG34" s="181">
        <f t="shared" si="32"/>
        <v>8.3969465648854325E-3</v>
      </c>
      <c r="AH34" s="182">
        <f t="shared" si="33"/>
        <v>-3.1690860764669315E-3</v>
      </c>
      <c r="AI34" s="200">
        <f t="shared" si="34"/>
        <v>-7.4367873078829971E-3</v>
      </c>
      <c r="AJ34" s="166">
        <f t="shared" si="35"/>
        <v>-2.7246573024200416E-2</v>
      </c>
      <c r="AK34" s="166">
        <f t="shared" si="36"/>
        <v>-2.5889967637540479E-2</v>
      </c>
      <c r="AL34" s="166">
        <f t="shared" si="37"/>
        <v>-2.8307421531240884E-2</v>
      </c>
      <c r="AM34" s="201">
        <f t="shared" si="38"/>
        <v>3.933910306845001E-2</v>
      </c>
      <c r="AN34" s="202">
        <f t="shared" si="39"/>
        <v>-1.9310067384089358E-2</v>
      </c>
    </row>
    <row r="35" spans="1:40">
      <c r="A35" s="27" t="s">
        <v>87</v>
      </c>
      <c r="B35" s="163">
        <v>85900</v>
      </c>
      <c r="C35" s="164">
        <v>115100</v>
      </c>
      <c r="D35" s="164">
        <v>97300</v>
      </c>
      <c r="E35" s="164">
        <v>116400</v>
      </c>
      <c r="F35" s="167">
        <v>414700</v>
      </c>
      <c r="G35" s="163">
        <v>119400</v>
      </c>
      <c r="H35" s="164">
        <v>92100</v>
      </c>
      <c r="I35" s="164">
        <v>179400</v>
      </c>
      <c r="J35" s="164">
        <v>164000</v>
      </c>
      <c r="K35" s="166">
        <f t="shared" si="21"/>
        <v>0.29554874752207605</v>
      </c>
      <c r="L35" s="167">
        <v>554900</v>
      </c>
      <c r="M35" s="62">
        <v>153500</v>
      </c>
      <c r="N35" s="63">
        <v>261200</v>
      </c>
      <c r="O35" s="63">
        <v>74400</v>
      </c>
      <c r="P35" s="63">
        <v>277700</v>
      </c>
      <c r="Q35" s="168">
        <v>62600</v>
      </c>
      <c r="R35" s="62">
        <v>248200</v>
      </c>
      <c r="S35" s="63">
        <v>306700</v>
      </c>
      <c r="T35" s="63">
        <v>103400</v>
      </c>
      <c r="U35" s="63">
        <v>380400</v>
      </c>
      <c r="V35" s="64">
        <v>71200</v>
      </c>
      <c r="W35" s="169">
        <f t="shared" si="22"/>
        <v>401700</v>
      </c>
      <c r="X35" s="170">
        <f t="shared" si="23"/>
        <v>567900</v>
      </c>
      <c r="Y35" s="170">
        <f t="shared" si="24"/>
        <v>177800</v>
      </c>
      <c r="Z35" s="170">
        <f t="shared" si="25"/>
        <v>658100</v>
      </c>
      <c r="AA35" s="171">
        <f t="shared" si="26"/>
        <v>133800</v>
      </c>
      <c r="AB35" s="172">
        <f t="shared" si="27"/>
        <v>969600</v>
      </c>
      <c r="AC35" s="179">
        <f t="shared" si="28"/>
        <v>3.2467532467532756E-3</v>
      </c>
      <c r="AD35" s="180">
        <f t="shared" si="29"/>
        <v>-1.2004175365344483E-2</v>
      </c>
      <c r="AE35" s="180">
        <f t="shared" si="30"/>
        <v>-1.5503875968992276E-2</v>
      </c>
      <c r="AF35" s="180">
        <f t="shared" si="31"/>
        <v>-6.6415094339622449E-3</v>
      </c>
      <c r="AG35" s="181">
        <f t="shared" si="32"/>
        <v>1.2869038607115746E-2</v>
      </c>
      <c r="AH35" s="182">
        <f t="shared" si="33"/>
        <v>-5.6404471336273243E-3</v>
      </c>
      <c r="AI35" s="200">
        <f t="shared" si="34"/>
        <v>2.9208301306687057E-2</v>
      </c>
      <c r="AJ35" s="166">
        <f t="shared" si="35"/>
        <v>-1.4917606244579384E-2</v>
      </c>
      <c r="AK35" s="166">
        <f t="shared" si="36"/>
        <v>2.2547914317925244E-3</v>
      </c>
      <c r="AL35" s="166">
        <f t="shared" si="37"/>
        <v>-5.1398337112622539E-3</v>
      </c>
      <c r="AM35" s="201">
        <f t="shared" si="38"/>
        <v>4.6948356807511749E-2</v>
      </c>
      <c r="AN35" s="202">
        <f t="shared" si="39"/>
        <v>3.1036623215394687E-3</v>
      </c>
    </row>
    <row r="36" spans="1:40">
      <c r="A36" s="60" t="s">
        <v>88</v>
      </c>
      <c r="B36" s="183">
        <v>84900</v>
      </c>
      <c r="C36" s="184">
        <v>116000</v>
      </c>
      <c r="D36" s="184">
        <v>97900</v>
      </c>
      <c r="E36" s="184">
        <v>118700</v>
      </c>
      <c r="F36" s="185">
        <v>417500</v>
      </c>
      <c r="G36" s="183">
        <v>124600</v>
      </c>
      <c r="H36" s="184">
        <v>96100</v>
      </c>
      <c r="I36" s="184">
        <v>179000</v>
      </c>
      <c r="J36" s="184">
        <v>163700</v>
      </c>
      <c r="K36" s="186">
        <f t="shared" si="21"/>
        <v>0.29055733049343274</v>
      </c>
      <c r="L36" s="185">
        <v>563400</v>
      </c>
      <c r="M36" s="66">
        <v>155800</v>
      </c>
      <c r="N36" s="67">
        <v>261700</v>
      </c>
      <c r="O36" s="67">
        <v>74200</v>
      </c>
      <c r="P36" s="67">
        <v>279700</v>
      </c>
      <c r="Q36" s="187">
        <v>63700</v>
      </c>
      <c r="R36" s="66">
        <v>251700</v>
      </c>
      <c r="S36" s="67">
        <v>311700</v>
      </c>
      <c r="T36" s="67">
        <v>105100</v>
      </c>
      <c r="U36" s="67">
        <v>386000</v>
      </c>
      <c r="V36" s="68">
        <v>72300</v>
      </c>
      <c r="W36" s="188">
        <f t="shared" si="22"/>
        <v>407500</v>
      </c>
      <c r="X36" s="189">
        <f t="shared" si="23"/>
        <v>573400</v>
      </c>
      <c r="Y36" s="189">
        <f t="shared" si="24"/>
        <v>179300</v>
      </c>
      <c r="Z36" s="189">
        <f t="shared" si="25"/>
        <v>665700</v>
      </c>
      <c r="AA36" s="190">
        <f t="shared" si="26"/>
        <v>136000</v>
      </c>
      <c r="AB36" s="191">
        <f t="shared" si="27"/>
        <v>980900</v>
      </c>
      <c r="AC36" s="192">
        <f t="shared" si="28"/>
        <v>1.4438635797859201E-2</v>
      </c>
      <c r="AD36" s="193">
        <f t="shared" si="29"/>
        <v>9.6848036626167033E-3</v>
      </c>
      <c r="AE36" s="193">
        <f t="shared" si="30"/>
        <v>8.4364454443195402E-3</v>
      </c>
      <c r="AF36" s="193">
        <f t="shared" si="31"/>
        <v>1.1548396900167068E-2</v>
      </c>
      <c r="AG36" s="194">
        <f t="shared" si="32"/>
        <v>1.6442451420029869E-2</v>
      </c>
      <c r="AH36" s="195">
        <f t="shared" si="33"/>
        <v>1.1654290429042868E-2</v>
      </c>
      <c r="AI36" s="203">
        <f t="shared" si="34"/>
        <v>4.1666666666666741E-2</v>
      </c>
      <c r="AJ36" s="186">
        <f t="shared" si="35"/>
        <v>-9.1584586141351121E-3</v>
      </c>
      <c r="AK36" s="186">
        <f t="shared" si="36"/>
        <v>-7.1982281284607152E-3</v>
      </c>
      <c r="AL36" s="186">
        <f t="shared" si="37"/>
        <v>9.0950432014551552E-3</v>
      </c>
      <c r="AM36" s="204">
        <f t="shared" si="38"/>
        <v>4.9382716049382713E-2</v>
      </c>
      <c r="AN36" s="205">
        <f t="shared" si="39"/>
        <v>1.1341375399525733E-2</v>
      </c>
    </row>
    <row r="37" spans="1:40">
      <c r="A37" s="27" t="s">
        <v>89</v>
      </c>
      <c r="B37" s="163">
        <v>89400</v>
      </c>
      <c r="C37" s="164">
        <v>117100</v>
      </c>
      <c r="D37" s="164">
        <v>100600</v>
      </c>
      <c r="E37" s="164">
        <v>120000</v>
      </c>
      <c r="F37" s="167">
        <v>427100</v>
      </c>
      <c r="G37" s="163">
        <v>122200</v>
      </c>
      <c r="H37" s="164">
        <v>94500</v>
      </c>
      <c r="I37" s="164">
        <v>186100</v>
      </c>
      <c r="J37" s="164">
        <v>160700</v>
      </c>
      <c r="K37" s="166">
        <f t="shared" si="21"/>
        <v>0.28523251686190981</v>
      </c>
      <c r="L37" s="167">
        <v>563400</v>
      </c>
      <c r="M37" s="62">
        <v>160300</v>
      </c>
      <c r="N37" s="63">
        <v>266800</v>
      </c>
      <c r="O37" s="63">
        <v>75300</v>
      </c>
      <c r="P37" s="63">
        <v>286100</v>
      </c>
      <c r="Q37" s="168">
        <v>65800</v>
      </c>
      <c r="R37" s="62">
        <v>253500</v>
      </c>
      <c r="S37" s="63">
        <v>309900</v>
      </c>
      <c r="T37" s="63">
        <v>105400</v>
      </c>
      <c r="U37" s="63">
        <v>385000</v>
      </c>
      <c r="V37" s="64">
        <v>73000</v>
      </c>
      <c r="W37" s="169">
        <f t="shared" si="22"/>
        <v>413800</v>
      </c>
      <c r="X37" s="170">
        <f t="shared" si="23"/>
        <v>576700</v>
      </c>
      <c r="Y37" s="170">
        <f t="shared" si="24"/>
        <v>180700</v>
      </c>
      <c r="Z37" s="170">
        <f t="shared" si="25"/>
        <v>671100</v>
      </c>
      <c r="AA37" s="171">
        <f t="shared" si="26"/>
        <v>138800</v>
      </c>
      <c r="AB37" s="172">
        <f t="shared" si="27"/>
        <v>990500</v>
      </c>
      <c r="AC37" s="179">
        <f t="shared" si="28"/>
        <v>1.5460122699386458E-2</v>
      </c>
      <c r="AD37" s="180">
        <f t="shared" si="29"/>
        <v>5.7551447506103415E-3</v>
      </c>
      <c r="AE37" s="180">
        <f t="shared" si="30"/>
        <v>7.8081427774678858E-3</v>
      </c>
      <c r="AF37" s="180">
        <f t="shared" si="31"/>
        <v>8.1117620549797653E-3</v>
      </c>
      <c r="AG37" s="181">
        <f t="shared" si="32"/>
        <v>2.0588235294117574E-2</v>
      </c>
      <c r="AH37" s="182">
        <f t="shared" si="33"/>
        <v>9.7869303700683918E-3</v>
      </c>
      <c r="AI37" s="200">
        <f t="shared" si="34"/>
        <v>4.2317380352644873E-2</v>
      </c>
      <c r="AJ37" s="166">
        <f t="shared" si="35"/>
        <v>-7.5718464980210065E-3</v>
      </c>
      <c r="AK37" s="166">
        <f t="shared" si="36"/>
        <v>-1.8468223791417659E-2</v>
      </c>
      <c r="AL37" s="166">
        <f t="shared" si="37"/>
        <v>1.1911942098914441E-2</v>
      </c>
      <c r="AM37" s="201">
        <f t="shared" si="38"/>
        <v>5.954198473282446E-2</v>
      </c>
      <c r="AN37" s="202">
        <f t="shared" si="39"/>
        <v>1.257411572275613E-2</v>
      </c>
    </row>
    <row r="38" spans="1:40">
      <c r="A38" s="27" t="s">
        <v>90</v>
      </c>
      <c r="B38" s="163">
        <v>92300</v>
      </c>
      <c r="C38" s="164">
        <v>116900</v>
      </c>
      <c r="D38" s="164">
        <v>102200</v>
      </c>
      <c r="E38" s="164">
        <v>121300</v>
      </c>
      <c r="F38" s="167">
        <v>432600</v>
      </c>
      <c r="G38" s="163">
        <v>125200</v>
      </c>
      <c r="H38" s="164">
        <v>94900</v>
      </c>
      <c r="I38" s="164">
        <v>180000</v>
      </c>
      <c r="J38" s="164">
        <v>164600</v>
      </c>
      <c r="K38" s="166">
        <f t="shared" si="21"/>
        <v>0.29143059490084988</v>
      </c>
      <c r="L38" s="167">
        <v>564800</v>
      </c>
      <c r="M38" s="62">
        <v>163800</v>
      </c>
      <c r="N38" s="63">
        <v>268800</v>
      </c>
      <c r="O38" s="63">
        <v>75100</v>
      </c>
      <c r="P38" s="63">
        <v>290300</v>
      </c>
      <c r="Q38" s="168">
        <v>67200</v>
      </c>
      <c r="R38" s="62">
        <v>256400</v>
      </c>
      <c r="S38" s="63">
        <v>308400</v>
      </c>
      <c r="T38" s="63">
        <v>104800</v>
      </c>
      <c r="U38" s="63">
        <v>386700</v>
      </c>
      <c r="V38" s="64">
        <v>73300</v>
      </c>
      <c r="W38" s="169">
        <f t="shared" si="22"/>
        <v>420200</v>
      </c>
      <c r="X38" s="170">
        <f t="shared" si="23"/>
        <v>577200</v>
      </c>
      <c r="Y38" s="170">
        <f t="shared" si="24"/>
        <v>179900</v>
      </c>
      <c r="Z38" s="170">
        <f t="shared" si="25"/>
        <v>677000</v>
      </c>
      <c r="AA38" s="171">
        <f t="shared" si="26"/>
        <v>140500</v>
      </c>
      <c r="AB38" s="172">
        <f t="shared" si="27"/>
        <v>997400</v>
      </c>
      <c r="AC38" s="179">
        <f t="shared" si="28"/>
        <v>1.5466408893185069E-2</v>
      </c>
      <c r="AD38" s="180">
        <f t="shared" si="29"/>
        <v>8.670019074041857E-4</v>
      </c>
      <c r="AE38" s="180">
        <f t="shared" si="30"/>
        <v>-4.4272274488101893E-3</v>
      </c>
      <c r="AF38" s="180">
        <f t="shared" si="31"/>
        <v>8.7915362837132083E-3</v>
      </c>
      <c r="AG38" s="181">
        <f t="shared" si="32"/>
        <v>1.2247838616714635E-2</v>
      </c>
      <c r="AH38" s="182">
        <f t="shared" si="33"/>
        <v>6.9661786976273898E-3</v>
      </c>
      <c r="AI38" s="200">
        <f t="shared" si="34"/>
        <v>4.9450549450549497E-2</v>
      </c>
      <c r="AJ38" s="166">
        <f t="shared" si="35"/>
        <v>4.1753653444676075E-3</v>
      </c>
      <c r="AK38" s="166">
        <f t="shared" si="36"/>
        <v>-3.8759689922480689E-3</v>
      </c>
      <c r="AL38" s="166">
        <f t="shared" si="37"/>
        <v>2.1886792452830095E-2</v>
      </c>
      <c r="AM38" s="201">
        <f t="shared" si="38"/>
        <v>6.3588190764572339E-2</v>
      </c>
      <c r="AN38" s="202">
        <f t="shared" si="39"/>
        <v>2.2869449287252541E-2</v>
      </c>
    </row>
    <row r="39" spans="1:40">
      <c r="A39" s="27" t="s">
        <v>91</v>
      </c>
      <c r="B39" s="163">
        <v>97000</v>
      </c>
      <c r="C39" s="164">
        <v>119000</v>
      </c>
      <c r="D39" s="164">
        <v>101400</v>
      </c>
      <c r="E39" s="164">
        <v>124800</v>
      </c>
      <c r="F39" s="167">
        <v>442300</v>
      </c>
      <c r="G39" s="163">
        <v>122900</v>
      </c>
      <c r="H39" s="164">
        <v>94100</v>
      </c>
      <c r="I39" s="164">
        <v>183800</v>
      </c>
      <c r="J39" s="164">
        <v>170300</v>
      </c>
      <c r="K39" s="166">
        <f t="shared" si="21"/>
        <v>0.29819646296620556</v>
      </c>
      <c r="L39" s="167">
        <v>571100</v>
      </c>
      <c r="M39" s="62">
        <v>167400</v>
      </c>
      <c r="N39" s="63">
        <v>274800</v>
      </c>
      <c r="O39" s="63">
        <v>75700</v>
      </c>
      <c r="P39" s="63">
        <v>297400</v>
      </c>
      <c r="Q39" s="168">
        <v>69200</v>
      </c>
      <c r="R39" s="62">
        <v>261500</v>
      </c>
      <c r="S39" s="63">
        <v>309500</v>
      </c>
      <c r="T39" s="63">
        <v>103500</v>
      </c>
      <c r="U39" s="63">
        <v>393400</v>
      </c>
      <c r="V39" s="64">
        <v>74200</v>
      </c>
      <c r="W39" s="169">
        <f t="shared" si="22"/>
        <v>428900</v>
      </c>
      <c r="X39" s="170">
        <f t="shared" si="23"/>
        <v>584300</v>
      </c>
      <c r="Y39" s="170">
        <f t="shared" si="24"/>
        <v>179200</v>
      </c>
      <c r="Z39" s="170">
        <f t="shared" si="25"/>
        <v>690800</v>
      </c>
      <c r="AA39" s="171">
        <f t="shared" si="26"/>
        <v>143400</v>
      </c>
      <c r="AB39" s="172">
        <f t="shared" si="27"/>
        <v>1013400</v>
      </c>
      <c r="AC39" s="179">
        <f t="shared" si="28"/>
        <v>2.0704426463588721E-2</v>
      </c>
      <c r="AD39" s="180">
        <f t="shared" si="29"/>
        <v>1.2300762300762269E-2</v>
      </c>
      <c r="AE39" s="180">
        <f t="shared" si="30"/>
        <v>-3.8910505836575737E-3</v>
      </c>
      <c r="AF39" s="180">
        <f t="shared" si="31"/>
        <v>2.0384047267355987E-2</v>
      </c>
      <c r="AG39" s="181">
        <f t="shared" si="32"/>
        <v>2.0640569395017794E-2</v>
      </c>
      <c r="AH39" s="182">
        <f t="shared" si="33"/>
        <v>1.6041708441949076E-2</v>
      </c>
      <c r="AI39" s="200">
        <f t="shared" si="34"/>
        <v>6.7712223052028842E-2</v>
      </c>
      <c r="AJ39" s="166">
        <f t="shared" si="35"/>
        <v>2.8878323648529713E-2</v>
      </c>
      <c r="AK39" s="166">
        <f t="shared" si="36"/>
        <v>7.8740157480314821E-3</v>
      </c>
      <c r="AL39" s="166">
        <f t="shared" si="37"/>
        <v>4.9688497188877134E-2</v>
      </c>
      <c r="AM39" s="201">
        <f t="shared" si="38"/>
        <v>7.1748878923766801E-2</v>
      </c>
      <c r="AN39" s="202">
        <f t="shared" si="39"/>
        <v>4.5173267326732658E-2</v>
      </c>
    </row>
    <row r="40" spans="1:40">
      <c r="A40" s="60" t="s">
        <v>92</v>
      </c>
      <c r="B40" s="183">
        <v>99600</v>
      </c>
      <c r="C40" s="184">
        <v>121700</v>
      </c>
      <c r="D40" s="184">
        <v>104300</v>
      </c>
      <c r="E40" s="184">
        <v>130200</v>
      </c>
      <c r="F40" s="185">
        <v>455900</v>
      </c>
      <c r="G40" s="183">
        <v>131900</v>
      </c>
      <c r="H40" s="184">
        <v>98200</v>
      </c>
      <c r="I40" s="184">
        <v>185400</v>
      </c>
      <c r="J40" s="184">
        <v>169200</v>
      </c>
      <c r="K40" s="186">
        <f t="shared" si="21"/>
        <v>0.28937916880451514</v>
      </c>
      <c r="L40" s="185">
        <v>584700</v>
      </c>
      <c r="M40" s="66">
        <v>173200</v>
      </c>
      <c r="N40" s="67">
        <v>282700</v>
      </c>
      <c r="O40" s="67">
        <v>77900</v>
      </c>
      <c r="P40" s="67">
        <v>306200</v>
      </c>
      <c r="Q40" s="187">
        <v>71800</v>
      </c>
      <c r="R40" s="66">
        <v>268400</v>
      </c>
      <c r="S40" s="67">
        <v>316300</v>
      </c>
      <c r="T40" s="67">
        <v>106000</v>
      </c>
      <c r="U40" s="67">
        <v>403000</v>
      </c>
      <c r="V40" s="68">
        <v>75700</v>
      </c>
      <c r="W40" s="188">
        <f t="shared" si="22"/>
        <v>441600</v>
      </c>
      <c r="X40" s="189">
        <f t="shared" si="23"/>
        <v>599000</v>
      </c>
      <c r="Y40" s="189">
        <f t="shared" si="24"/>
        <v>183900</v>
      </c>
      <c r="Z40" s="189">
        <f t="shared" si="25"/>
        <v>709200</v>
      </c>
      <c r="AA40" s="190">
        <f t="shared" si="26"/>
        <v>147500</v>
      </c>
      <c r="AB40" s="191">
        <f t="shared" si="27"/>
        <v>1040600</v>
      </c>
      <c r="AC40" s="192">
        <f t="shared" si="28"/>
        <v>2.9610631848915769E-2</v>
      </c>
      <c r="AD40" s="193">
        <f t="shared" si="29"/>
        <v>2.515830908779737E-2</v>
      </c>
      <c r="AE40" s="193">
        <f t="shared" si="30"/>
        <v>2.6227678571428603E-2</v>
      </c>
      <c r="AF40" s="193">
        <f t="shared" si="31"/>
        <v>2.6635784597567991E-2</v>
      </c>
      <c r="AG40" s="194">
        <f t="shared" si="32"/>
        <v>2.8591352859135277E-2</v>
      </c>
      <c r="AH40" s="195">
        <f t="shared" si="33"/>
        <v>2.6840339451351891E-2</v>
      </c>
      <c r="AI40" s="203">
        <f t="shared" si="34"/>
        <v>8.3680981595092074E-2</v>
      </c>
      <c r="AJ40" s="186">
        <f t="shared" si="35"/>
        <v>4.4645971398674655E-2</v>
      </c>
      <c r="AK40" s="186">
        <f t="shared" si="36"/>
        <v>2.5655326268823275E-2</v>
      </c>
      <c r="AL40" s="186">
        <f t="shared" si="37"/>
        <v>6.5344749887336739E-2</v>
      </c>
      <c r="AM40" s="204">
        <f t="shared" si="38"/>
        <v>8.4558823529411686E-2</v>
      </c>
      <c r="AN40" s="205">
        <f t="shared" si="39"/>
        <v>6.0862473238862291E-2</v>
      </c>
    </row>
    <row r="41" spans="1:40">
      <c r="A41" s="27" t="s">
        <v>93</v>
      </c>
      <c r="B41" s="163">
        <v>96800</v>
      </c>
      <c r="C41" s="164">
        <v>121100</v>
      </c>
      <c r="D41" s="164">
        <v>101600</v>
      </c>
      <c r="E41" s="164">
        <v>128100</v>
      </c>
      <c r="F41" s="167">
        <v>447500</v>
      </c>
      <c r="G41" s="163">
        <v>128100</v>
      </c>
      <c r="H41" s="164">
        <v>97500</v>
      </c>
      <c r="I41" s="164">
        <v>188900</v>
      </c>
      <c r="J41" s="164">
        <v>196100</v>
      </c>
      <c r="K41" s="166">
        <f t="shared" si="21"/>
        <v>0.3211595152309204</v>
      </c>
      <c r="L41" s="167">
        <v>610600</v>
      </c>
      <c r="M41" s="62">
        <v>164200</v>
      </c>
      <c r="N41" s="63">
        <v>283400</v>
      </c>
      <c r="O41" s="63">
        <v>78700</v>
      </c>
      <c r="P41" s="63">
        <v>297100</v>
      </c>
      <c r="Q41" s="168">
        <v>71700</v>
      </c>
      <c r="R41" s="62">
        <v>284700</v>
      </c>
      <c r="S41" s="63">
        <v>325900</v>
      </c>
      <c r="T41" s="63">
        <v>108000</v>
      </c>
      <c r="U41" s="63">
        <v>423400</v>
      </c>
      <c r="V41" s="64">
        <v>79200</v>
      </c>
      <c r="W41" s="169">
        <f t="shared" si="22"/>
        <v>448900</v>
      </c>
      <c r="X41" s="170">
        <f t="shared" si="23"/>
        <v>609300</v>
      </c>
      <c r="Y41" s="170">
        <f t="shared" si="24"/>
        <v>186700</v>
      </c>
      <c r="Z41" s="170">
        <f t="shared" si="25"/>
        <v>720500</v>
      </c>
      <c r="AA41" s="171">
        <f t="shared" si="26"/>
        <v>150900</v>
      </c>
      <c r="AB41" s="172">
        <f t="shared" si="27"/>
        <v>1058100</v>
      </c>
      <c r="AC41" s="179">
        <f t="shared" si="28"/>
        <v>1.6530797101449224E-2</v>
      </c>
      <c r="AD41" s="180">
        <f t="shared" si="29"/>
        <v>1.7195325542570972E-2</v>
      </c>
      <c r="AE41" s="180">
        <f t="shared" si="30"/>
        <v>1.5225666122892889E-2</v>
      </c>
      <c r="AF41" s="180">
        <f t="shared" si="31"/>
        <v>1.5933446136491725E-2</v>
      </c>
      <c r="AG41" s="181">
        <f t="shared" si="32"/>
        <v>2.3050847457627199E-2</v>
      </c>
      <c r="AH41" s="182">
        <f t="shared" si="33"/>
        <v>1.6817220834134172E-2</v>
      </c>
      <c r="AI41" s="200">
        <f t="shared" si="34"/>
        <v>8.4823586273562013E-2</v>
      </c>
      <c r="AJ41" s="166">
        <f t="shared" si="35"/>
        <v>5.6528524362753574E-2</v>
      </c>
      <c r="AK41" s="166">
        <f t="shared" si="36"/>
        <v>3.3204205866076419E-2</v>
      </c>
      <c r="AL41" s="166">
        <f t="shared" si="37"/>
        <v>7.3610490239904625E-2</v>
      </c>
      <c r="AM41" s="201">
        <f t="shared" si="38"/>
        <v>8.717579250720453E-2</v>
      </c>
      <c r="AN41" s="202">
        <f t="shared" si="39"/>
        <v>6.8248359414437187E-2</v>
      </c>
    </row>
    <row r="42" spans="1:40">
      <c r="A42" s="27" t="s">
        <v>94</v>
      </c>
      <c r="B42" s="163">
        <v>104300</v>
      </c>
      <c r="C42" s="164">
        <v>124900</v>
      </c>
      <c r="D42" s="164">
        <v>106700</v>
      </c>
      <c r="E42" s="164">
        <v>134800</v>
      </c>
      <c r="F42" s="167">
        <v>470800</v>
      </c>
      <c r="G42" s="163">
        <v>135500</v>
      </c>
      <c r="H42" s="164">
        <v>99700</v>
      </c>
      <c r="I42" s="164">
        <v>194500</v>
      </c>
      <c r="J42" s="164">
        <v>198200</v>
      </c>
      <c r="K42" s="166">
        <f t="shared" si="21"/>
        <v>0.31560509554140126</v>
      </c>
      <c r="L42" s="167">
        <v>628000</v>
      </c>
      <c r="M42" s="62">
        <v>175200</v>
      </c>
      <c r="N42" s="63">
        <v>295600</v>
      </c>
      <c r="O42" s="63">
        <v>82200</v>
      </c>
      <c r="P42" s="63">
        <v>313400</v>
      </c>
      <c r="Q42" s="168">
        <v>75200</v>
      </c>
      <c r="R42" s="62">
        <v>292700</v>
      </c>
      <c r="S42" s="63">
        <v>335300</v>
      </c>
      <c r="T42" s="63">
        <v>111200</v>
      </c>
      <c r="U42" s="63">
        <v>436000</v>
      </c>
      <c r="V42" s="64">
        <v>80800</v>
      </c>
      <c r="W42" s="169">
        <f t="shared" si="22"/>
        <v>467900</v>
      </c>
      <c r="X42" s="170">
        <f t="shared" si="23"/>
        <v>630900</v>
      </c>
      <c r="Y42" s="170">
        <f t="shared" si="24"/>
        <v>193400</v>
      </c>
      <c r="Z42" s="170">
        <f t="shared" si="25"/>
        <v>749400</v>
      </c>
      <c r="AA42" s="171">
        <f t="shared" si="26"/>
        <v>156000</v>
      </c>
      <c r="AB42" s="172">
        <f t="shared" si="27"/>
        <v>1098800</v>
      </c>
      <c r="AC42" s="179">
        <f t="shared" si="28"/>
        <v>4.2325685007796876E-2</v>
      </c>
      <c r="AD42" s="180">
        <f t="shared" si="29"/>
        <v>3.5450516986706093E-2</v>
      </c>
      <c r="AE42" s="180">
        <f t="shared" si="30"/>
        <v>3.588644884841985E-2</v>
      </c>
      <c r="AF42" s="180">
        <f t="shared" si="31"/>
        <v>4.0111034004163715E-2</v>
      </c>
      <c r="AG42" s="181">
        <f t="shared" si="32"/>
        <v>3.3797216699801291E-2</v>
      </c>
      <c r="AH42" s="182">
        <f t="shared" si="33"/>
        <v>3.8465173424061971E-2</v>
      </c>
      <c r="AI42" s="200">
        <f t="shared" si="34"/>
        <v>0.11351737267967632</v>
      </c>
      <c r="AJ42" s="166">
        <f t="shared" si="35"/>
        <v>9.3035343035342999E-2</v>
      </c>
      <c r="AK42" s="166">
        <f t="shared" si="36"/>
        <v>7.5041689827682001E-2</v>
      </c>
      <c r="AL42" s="166">
        <f t="shared" si="37"/>
        <v>0.10694239290989671</v>
      </c>
      <c r="AM42" s="201">
        <f t="shared" si="38"/>
        <v>0.11032028469750887</v>
      </c>
      <c r="AN42" s="202">
        <f t="shared" si="39"/>
        <v>0.10166432725085217</v>
      </c>
    </row>
    <row r="43" spans="1:40">
      <c r="A43" s="27" t="s">
        <v>95</v>
      </c>
      <c r="B43" s="163">
        <v>107400</v>
      </c>
      <c r="C43" s="164">
        <v>124600</v>
      </c>
      <c r="D43" s="164">
        <v>111500</v>
      </c>
      <c r="E43" s="164">
        <v>136600</v>
      </c>
      <c r="F43" s="167">
        <v>480200</v>
      </c>
      <c r="G43" s="163">
        <v>140200</v>
      </c>
      <c r="H43" s="164">
        <v>104900</v>
      </c>
      <c r="I43" s="164">
        <v>196200</v>
      </c>
      <c r="J43" s="164">
        <v>204100</v>
      </c>
      <c r="K43" s="166">
        <f t="shared" si="21"/>
        <v>0.31618900077459333</v>
      </c>
      <c r="L43" s="167">
        <v>645500</v>
      </c>
      <c r="M43" s="62">
        <v>179000</v>
      </c>
      <c r="N43" s="63">
        <v>301200</v>
      </c>
      <c r="O43" s="63">
        <v>82700</v>
      </c>
      <c r="P43" s="63">
        <v>319600</v>
      </c>
      <c r="Q43" s="168">
        <v>77900</v>
      </c>
      <c r="R43" s="62">
        <v>302300</v>
      </c>
      <c r="S43" s="63">
        <v>343200</v>
      </c>
      <c r="T43" s="63">
        <v>113900</v>
      </c>
      <c r="U43" s="63">
        <v>448300</v>
      </c>
      <c r="V43" s="64">
        <v>83300</v>
      </c>
      <c r="W43" s="169">
        <f t="shared" si="22"/>
        <v>481300</v>
      </c>
      <c r="X43" s="170">
        <f t="shared" si="23"/>
        <v>644400</v>
      </c>
      <c r="Y43" s="170">
        <f t="shared" si="24"/>
        <v>196600</v>
      </c>
      <c r="Z43" s="170">
        <f t="shared" si="25"/>
        <v>767900</v>
      </c>
      <c r="AA43" s="171">
        <f t="shared" si="26"/>
        <v>161200</v>
      </c>
      <c r="AB43" s="172">
        <f t="shared" si="27"/>
        <v>1125700</v>
      </c>
      <c r="AC43" s="179">
        <f t="shared" si="28"/>
        <v>2.8638597991023751E-2</v>
      </c>
      <c r="AD43" s="180">
        <f t="shared" si="29"/>
        <v>2.1398002853067144E-2</v>
      </c>
      <c r="AE43" s="180">
        <f t="shared" si="30"/>
        <v>1.6546018614270963E-2</v>
      </c>
      <c r="AF43" s="180">
        <f t="shared" si="31"/>
        <v>2.4686415799306083E-2</v>
      </c>
      <c r="AG43" s="181">
        <f t="shared" si="32"/>
        <v>3.3333333333333437E-2</v>
      </c>
      <c r="AH43" s="182">
        <f t="shared" si="33"/>
        <v>2.4481252275209364E-2</v>
      </c>
      <c r="AI43" s="200">
        <f t="shared" si="34"/>
        <v>0.12217300069946369</v>
      </c>
      <c r="AJ43" s="166">
        <f t="shared" si="35"/>
        <v>0.10285812082834167</v>
      </c>
      <c r="AK43" s="166">
        <f t="shared" si="36"/>
        <v>9.7098214285714191E-2</v>
      </c>
      <c r="AL43" s="166">
        <f t="shared" si="37"/>
        <v>0.11160972785176604</v>
      </c>
      <c r="AM43" s="201">
        <f t="shared" si="38"/>
        <v>0.12412831241283118</v>
      </c>
      <c r="AN43" s="202">
        <f t="shared" si="39"/>
        <v>0.11081507795539758</v>
      </c>
    </row>
    <row r="44" spans="1:40" s="12" customFormat="1">
      <c r="A44" s="60" t="s">
        <v>96</v>
      </c>
      <c r="B44" s="183">
        <v>107200</v>
      </c>
      <c r="C44" s="184">
        <v>127000</v>
      </c>
      <c r="D44" s="184">
        <v>111200</v>
      </c>
      <c r="E44" s="184">
        <v>141600</v>
      </c>
      <c r="F44" s="185">
        <v>487000</v>
      </c>
      <c r="G44" s="183">
        <v>142900</v>
      </c>
      <c r="H44" s="184">
        <v>104000</v>
      </c>
      <c r="I44" s="184">
        <v>209300</v>
      </c>
      <c r="J44" s="184">
        <v>210000</v>
      </c>
      <c r="K44" s="186">
        <f t="shared" si="21"/>
        <v>0.31517334533993696</v>
      </c>
      <c r="L44" s="185">
        <v>666300</v>
      </c>
      <c r="M44" s="66">
        <v>179900</v>
      </c>
      <c r="N44" s="67">
        <v>307000</v>
      </c>
      <c r="O44" s="67">
        <v>84000</v>
      </c>
      <c r="P44" s="67">
        <v>323400</v>
      </c>
      <c r="Q44" s="187">
        <v>79600</v>
      </c>
      <c r="R44" s="66">
        <v>313000</v>
      </c>
      <c r="S44" s="67">
        <v>353300</v>
      </c>
      <c r="T44" s="67">
        <v>116000</v>
      </c>
      <c r="U44" s="67">
        <v>463200</v>
      </c>
      <c r="V44" s="68">
        <v>87000</v>
      </c>
      <c r="W44" s="188">
        <f t="shared" si="22"/>
        <v>492900</v>
      </c>
      <c r="X44" s="189">
        <f t="shared" si="23"/>
        <v>660300</v>
      </c>
      <c r="Y44" s="189">
        <f t="shared" si="24"/>
        <v>200000</v>
      </c>
      <c r="Z44" s="189">
        <f t="shared" si="25"/>
        <v>786600</v>
      </c>
      <c r="AA44" s="190">
        <f t="shared" si="26"/>
        <v>166600</v>
      </c>
      <c r="AB44" s="191">
        <f t="shared" si="27"/>
        <v>1153300</v>
      </c>
      <c r="AC44" s="192">
        <f t="shared" si="28"/>
        <v>2.4101392063162308E-2</v>
      </c>
      <c r="AD44" s="193">
        <f t="shared" si="29"/>
        <v>2.4674115456238432E-2</v>
      </c>
      <c r="AE44" s="193">
        <f t="shared" si="30"/>
        <v>1.7293997965412089E-2</v>
      </c>
      <c r="AF44" s="193">
        <f t="shared" si="31"/>
        <v>2.4352129183487392E-2</v>
      </c>
      <c r="AG44" s="194">
        <f t="shared" si="32"/>
        <v>3.3498759305210957E-2</v>
      </c>
      <c r="AH44" s="195">
        <f t="shared" si="33"/>
        <v>2.4518077640579117E-2</v>
      </c>
      <c r="AI44" s="203">
        <f t="shared" si="34"/>
        <v>0.11616847826086962</v>
      </c>
      <c r="AJ44" s="186">
        <f t="shared" si="35"/>
        <v>0.10233722871452411</v>
      </c>
      <c r="AK44" s="186">
        <f t="shared" si="36"/>
        <v>8.7547580206634112E-2</v>
      </c>
      <c r="AL44" s="186">
        <f t="shared" si="37"/>
        <v>0.1091370558375635</v>
      </c>
      <c r="AM44" s="204">
        <f t="shared" si="38"/>
        <v>0.12949152542372877</v>
      </c>
      <c r="AN44" s="205">
        <f t="shared" si="39"/>
        <v>0.10830290217182403</v>
      </c>
    </row>
    <row r="45" spans="1:40">
      <c r="A45" s="27" t="s">
        <v>97</v>
      </c>
      <c r="B45" s="163">
        <v>107700</v>
      </c>
      <c r="C45" s="164">
        <v>129200</v>
      </c>
      <c r="D45" s="164">
        <v>112600</v>
      </c>
      <c r="E45" s="164">
        <v>148000</v>
      </c>
      <c r="F45" s="167">
        <v>497500</v>
      </c>
      <c r="G45" s="163">
        <v>147300</v>
      </c>
      <c r="H45" s="164">
        <v>108800</v>
      </c>
      <c r="I45" s="164">
        <v>206200</v>
      </c>
      <c r="J45" s="164">
        <v>208700</v>
      </c>
      <c r="K45" s="166">
        <f t="shared" si="21"/>
        <v>0.31102831594634872</v>
      </c>
      <c r="L45" s="167">
        <v>671000</v>
      </c>
      <c r="M45" s="62">
        <v>183700</v>
      </c>
      <c r="N45" s="63">
        <v>313800</v>
      </c>
      <c r="O45" s="63">
        <v>84900</v>
      </c>
      <c r="P45" s="63">
        <v>330600</v>
      </c>
      <c r="Q45" s="168">
        <v>82000</v>
      </c>
      <c r="R45" s="62">
        <v>313600</v>
      </c>
      <c r="S45" s="63">
        <v>357400</v>
      </c>
      <c r="T45" s="63">
        <v>115300</v>
      </c>
      <c r="U45" s="63">
        <v>467000</v>
      </c>
      <c r="V45" s="64">
        <v>88700</v>
      </c>
      <c r="W45" s="169">
        <f t="shared" si="22"/>
        <v>497300</v>
      </c>
      <c r="X45" s="170">
        <f t="shared" si="23"/>
        <v>671200</v>
      </c>
      <c r="Y45" s="170">
        <f t="shared" si="24"/>
        <v>200200</v>
      </c>
      <c r="Z45" s="170">
        <f t="shared" si="25"/>
        <v>797600</v>
      </c>
      <c r="AA45" s="171">
        <f t="shared" si="26"/>
        <v>170700</v>
      </c>
      <c r="AB45" s="172">
        <f t="shared" si="27"/>
        <v>1168500</v>
      </c>
      <c r="AC45" s="179">
        <f t="shared" si="28"/>
        <v>8.9267599918847473E-3</v>
      </c>
      <c r="AD45" s="180">
        <f t="shared" si="29"/>
        <v>1.6507648038770251E-2</v>
      </c>
      <c r="AE45" s="180">
        <f t="shared" si="30"/>
        <v>9.9999999999988987E-4</v>
      </c>
      <c r="AF45" s="180">
        <f t="shared" si="31"/>
        <v>1.3984235952199331E-2</v>
      </c>
      <c r="AG45" s="181">
        <f t="shared" si="32"/>
        <v>2.4609843937575038E-2</v>
      </c>
      <c r="AH45" s="182">
        <f t="shared" si="33"/>
        <v>1.3179571663920919E-2</v>
      </c>
      <c r="AI45" s="200">
        <f t="shared" si="34"/>
        <v>0.10781911338828243</v>
      </c>
      <c r="AJ45" s="166">
        <f t="shared" si="35"/>
        <v>0.10159199080912518</v>
      </c>
      <c r="AK45" s="166">
        <f t="shared" si="36"/>
        <v>7.2308516336368589E-2</v>
      </c>
      <c r="AL45" s="166">
        <f t="shared" si="37"/>
        <v>0.10700902151283831</v>
      </c>
      <c r="AM45" s="201">
        <f t="shared" si="38"/>
        <v>0.13121272365805159</v>
      </c>
      <c r="AN45" s="202">
        <f t="shared" si="39"/>
        <v>0.10433796427558839</v>
      </c>
    </row>
    <row r="46" spans="1:40">
      <c r="A46" s="27" t="s">
        <v>98</v>
      </c>
      <c r="B46" s="163">
        <v>111800</v>
      </c>
      <c r="C46" s="164">
        <v>131800</v>
      </c>
      <c r="D46" s="164">
        <v>113300</v>
      </c>
      <c r="E46" s="164">
        <v>150200</v>
      </c>
      <c r="F46" s="167">
        <v>507200</v>
      </c>
      <c r="G46" s="163">
        <v>145800</v>
      </c>
      <c r="H46" s="164">
        <v>110600</v>
      </c>
      <c r="I46" s="164">
        <v>207900</v>
      </c>
      <c r="J46" s="164">
        <v>210700</v>
      </c>
      <c r="K46" s="166">
        <f t="shared" si="21"/>
        <v>0.31214814814814817</v>
      </c>
      <c r="L46" s="167">
        <v>675000</v>
      </c>
      <c r="M46" s="62">
        <v>188800</v>
      </c>
      <c r="N46" s="63">
        <v>318300</v>
      </c>
      <c r="O46" s="63">
        <v>85700</v>
      </c>
      <c r="P46" s="63">
        <v>337300</v>
      </c>
      <c r="Q46" s="168">
        <v>84100</v>
      </c>
      <c r="R46" s="62">
        <v>315900</v>
      </c>
      <c r="S46" s="63">
        <v>359100</v>
      </c>
      <c r="T46" s="63">
        <v>114100</v>
      </c>
      <c r="U46" s="63">
        <v>470800</v>
      </c>
      <c r="V46" s="64">
        <v>90200</v>
      </c>
      <c r="W46" s="169">
        <f t="shared" si="22"/>
        <v>504700</v>
      </c>
      <c r="X46" s="170">
        <f t="shared" si="23"/>
        <v>677400</v>
      </c>
      <c r="Y46" s="170">
        <f t="shared" si="24"/>
        <v>199800</v>
      </c>
      <c r="Z46" s="170">
        <f t="shared" si="25"/>
        <v>808100</v>
      </c>
      <c r="AA46" s="171">
        <f t="shared" si="26"/>
        <v>174300</v>
      </c>
      <c r="AB46" s="172">
        <f t="shared" si="27"/>
        <v>1182200</v>
      </c>
      <c r="AC46" s="179">
        <f t="shared" si="28"/>
        <v>1.488035391111997E-2</v>
      </c>
      <c r="AD46" s="180">
        <f t="shared" si="29"/>
        <v>9.2371871275327422E-3</v>
      </c>
      <c r="AE46" s="180">
        <f t="shared" si="30"/>
        <v>-1.9980019980020414E-3</v>
      </c>
      <c r="AF46" s="180">
        <f t="shared" si="31"/>
        <v>1.3164493480441353E-2</v>
      </c>
      <c r="AG46" s="181">
        <f t="shared" si="32"/>
        <v>2.1089630931458769E-2</v>
      </c>
      <c r="AH46" s="182">
        <f t="shared" si="33"/>
        <v>1.1724433033803994E-2</v>
      </c>
      <c r="AI46" s="200">
        <f t="shared" si="34"/>
        <v>7.8649284035050115E-2</v>
      </c>
      <c r="AJ46" s="166">
        <f t="shared" si="35"/>
        <v>7.37042320494532E-2</v>
      </c>
      <c r="AK46" s="166">
        <f t="shared" si="36"/>
        <v>3.3092037228541926E-2</v>
      </c>
      <c r="AL46" s="166">
        <f t="shared" si="37"/>
        <v>7.8329330130771258E-2</v>
      </c>
      <c r="AM46" s="201">
        <f t="shared" si="38"/>
        <v>0.11730769230769234</v>
      </c>
      <c r="AN46" s="202">
        <f t="shared" si="39"/>
        <v>7.5900982890426016E-2</v>
      </c>
    </row>
    <row r="47" spans="1:40">
      <c r="A47" s="27" t="s">
        <v>99</v>
      </c>
      <c r="B47" s="163">
        <v>111600</v>
      </c>
      <c r="C47" s="164">
        <v>133400</v>
      </c>
      <c r="D47" s="164">
        <v>116000</v>
      </c>
      <c r="E47" s="164">
        <v>150700</v>
      </c>
      <c r="F47" s="167">
        <v>511700</v>
      </c>
      <c r="G47" s="163">
        <v>148300</v>
      </c>
      <c r="H47" s="164">
        <v>112200</v>
      </c>
      <c r="I47" s="164">
        <v>207200</v>
      </c>
      <c r="J47" s="164">
        <v>212700</v>
      </c>
      <c r="K47" s="166">
        <f t="shared" si="21"/>
        <v>0.31261022927689597</v>
      </c>
      <c r="L47" s="167">
        <v>680400</v>
      </c>
      <c r="M47" s="62">
        <v>191300</v>
      </c>
      <c r="N47" s="63">
        <v>320400</v>
      </c>
      <c r="O47" s="63">
        <v>84300</v>
      </c>
      <c r="P47" s="63">
        <v>340900</v>
      </c>
      <c r="Q47" s="168">
        <v>86500</v>
      </c>
      <c r="R47" s="62">
        <v>318000</v>
      </c>
      <c r="S47" s="63">
        <v>362400</v>
      </c>
      <c r="T47" s="63">
        <v>114000</v>
      </c>
      <c r="U47" s="63">
        <v>475000</v>
      </c>
      <c r="V47" s="64">
        <v>91500</v>
      </c>
      <c r="W47" s="169">
        <f t="shared" si="22"/>
        <v>509300</v>
      </c>
      <c r="X47" s="170">
        <f t="shared" si="23"/>
        <v>682800</v>
      </c>
      <c r="Y47" s="170">
        <f t="shared" si="24"/>
        <v>198300</v>
      </c>
      <c r="Z47" s="170">
        <f t="shared" si="25"/>
        <v>815900</v>
      </c>
      <c r="AA47" s="171">
        <f t="shared" si="26"/>
        <v>178000</v>
      </c>
      <c r="AB47" s="172">
        <f t="shared" si="27"/>
        <v>1192100</v>
      </c>
      <c r="AC47" s="179">
        <f t="shared" si="28"/>
        <v>9.1143253417871328E-3</v>
      </c>
      <c r="AD47" s="180">
        <f t="shared" si="29"/>
        <v>7.9716563330380907E-3</v>
      </c>
      <c r="AE47" s="180">
        <f t="shared" si="30"/>
        <v>-7.5075075075075048E-3</v>
      </c>
      <c r="AF47" s="180">
        <f t="shared" si="31"/>
        <v>9.6522707585695589E-3</v>
      </c>
      <c r="AG47" s="181">
        <f t="shared" si="32"/>
        <v>2.1227768215720033E-2</v>
      </c>
      <c r="AH47" s="182">
        <f t="shared" si="33"/>
        <v>8.3742175604804014E-3</v>
      </c>
      <c r="AI47" s="200">
        <f t="shared" si="34"/>
        <v>5.8175773945564169E-2</v>
      </c>
      <c r="AJ47" s="166">
        <f t="shared" si="35"/>
        <v>5.9590316573556734E-2</v>
      </c>
      <c r="AK47" s="166">
        <f t="shared" si="36"/>
        <v>8.6469989827060445E-3</v>
      </c>
      <c r="AL47" s="166">
        <f t="shared" si="37"/>
        <v>6.2508139080609482E-2</v>
      </c>
      <c r="AM47" s="201">
        <f t="shared" si="38"/>
        <v>0.10421836228287851</v>
      </c>
      <c r="AN47" s="202">
        <f t="shared" si="39"/>
        <v>5.8985520120813817E-2</v>
      </c>
    </row>
    <row r="48" spans="1:40">
      <c r="A48" s="60" t="s">
        <v>100</v>
      </c>
      <c r="B48" s="183">
        <v>111900</v>
      </c>
      <c r="C48" s="184">
        <v>130500</v>
      </c>
      <c r="D48" s="184">
        <v>115500</v>
      </c>
      <c r="E48" s="184">
        <v>145800</v>
      </c>
      <c r="F48" s="185">
        <v>503600</v>
      </c>
      <c r="G48" s="183">
        <v>145200</v>
      </c>
      <c r="H48" s="184">
        <v>110400</v>
      </c>
      <c r="I48" s="184">
        <v>203800</v>
      </c>
      <c r="J48" s="184">
        <v>212900</v>
      </c>
      <c r="K48" s="186">
        <f t="shared" si="21"/>
        <v>0.31672121392442726</v>
      </c>
      <c r="L48" s="185">
        <v>672200</v>
      </c>
      <c r="M48" s="66">
        <v>185900</v>
      </c>
      <c r="N48" s="67">
        <v>317700</v>
      </c>
      <c r="O48" s="67">
        <v>80700</v>
      </c>
      <c r="P48" s="67">
        <v>336000</v>
      </c>
      <c r="Q48" s="187">
        <v>86900</v>
      </c>
      <c r="R48" s="66">
        <v>315500</v>
      </c>
      <c r="S48" s="67">
        <v>356700</v>
      </c>
      <c r="T48" s="67">
        <v>108800</v>
      </c>
      <c r="U48" s="67">
        <v>471900</v>
      </c>
      <c r="V48" s="68">
        <v>91500</v>
      </c>
      <c r="W48" s="188">
        <f t="shared" si="22"/>
        <v>501400</v>
      </c>
      <c r="X48" s="189">
        <f t="shared" si="23"/>
        <v>674400</v>
      </c>
      <c r="Y48" s="189">
        <f t="shared" si="24"/>
        <v>189500</v>
      </c>
      <c r="Z48" s="189">
        <f t="shared" si="25"/>
        <v>807900</v>
      </c>
      <c r="AA48" s="190">
        <f t="shared" si="26"/>
        <v>178400</v>
      </c>
      <c r="AB48" s="191">
        <f t="shared" si="27"/>
        <v>1175800</v>
      </c>
      <c r="AC48" s="192">
        <f t="shared" si="28"/>
        <v>-1.5511486353818937E-2</v>
      </c>
      <c r="AD48" s="193">
        <f t="shared" si="29"/>
        <v>-1.2302284710017597E-2</v>
      </c>
      <c r="AE48" s="193">
        <f t="shared" si="30"/>
        <v>-4.437720625315178E-2</v>
      </c>
      <c r="AF48" s="193">
        <f t="shared" si="31"/>
        <v>-9.8051231768598868E-3</v>
      </c>
      <c r="AG48" s="194">
        <f t="shared" si="32"/>
        <v>2.2471910112360494E-3</v>
      </c>
      <c r="AH48" s="195">
        <f t="shared" si="33"/>
        <v>-1.3673349551212133E-2</v>
      </c>
      <c r="AI48" s="203">
        <f t="shared" si="34"/>
        <v>1.7244877257050151E-2</v>
      </c>
      <c r="AJ48" s="186">
        <f t="shared" si="35"/>
        <v>2.1353930031803747E-2</v>
      </c>
      <c r="AK48" s="186">
        <f t="shared" si="36"/>
        <v>-5.2499999999999991E-2</v>
      </c>
      <c r="AL48" s="186">
        <f t="shared" si="37"/>
        <v>2.7078565980167779E-2</v>
      </c>
      <c r="AM48" s="204">
        <f t="shared" si="38"/>
        <v>7.0828331332533079E-2</v>
      </c>
      <c r="AN48" s="205">
        <f t="shared" si="39"/>
        <v>1.9509234370935546E-2</v>
      </c>
    </row>
    <row r="49" spans="1:40">
      <c r="A49" s="27" t="s">
        <v>101</v>
      </c>
      <c r="B49" s="163">
        <v>117000</v>
      </c>
      <c r="C49" s="164">
        <v>130800</v>
      </c>
      <c r="D49" s="164">
        <v>114500</v>
      </c>
      <c r="E49" s="164">
        <v>141800</v>
      </c>
      <c r="F49" s="167">
        <v>504000</v>
      </c>
      <c r="G49" s="163">
        <v>140500</v>
      </c>
      <c r="H49" s="164">
        <v>112300</v>
      </c>
      <c r="I49" s="164">
        <v>191800</v>
      </c>
      <c r="J49" s="164">
        <v>210500</v>
      </c>
      <c r="K49" s="166">
        <f t="shared" si="21"/>
        <v>0.32132498855136621</v>
      </c>
      <c r="L49" s="167">
        <v>655100</v>
      </c>
      <c r="M49" s="62">
        <v>184700</v>
      </c>
      <c r="N49" s="63">
        <v>319300</v>
      </c>
      <c r="O49" s="63">
        <v>78300</v>
      </c>
      <c r="P49" s="63">
        <v>336900</v>
      </c>
      <c r="Q49" s="168">
        <v>88800</v>
      </c>
      <c r="R49" s="62">
        <v>307400</v>
      </c>
      <c r="S49" s="63">
        <v>347800</v>
      </c>
      <c r="T49" s="63">
        <v>104600</v>
      </c>
      <c r="U49" s="63">
        <v>460400</v>
      </c>
      <c r="V49" s="64">
        <v>90100</v>
      </c>
      <c r="W49" s="169">
        <f t="shared" si="22"/>
        <v>492100</v>
      </c>
      <c r="X49" s="170">
        <f t="shared" si="23"/>
        <v>667100</v>
      </c>
      <c r="Y49" s="170">
        <f t="shared" si="24"/>
        <v>182900</v>
      </c>
      <c r="Z49" s="170">
        <f t="shared" si="25"/>
        <v>797300</v>
      </c>
      <c r="AA49" s="171">
        <f t="shared" si="26"/>
        <v>178900</v>
      </c>
      <c r="AB49" s="172">
        <f t="shared" si="27"/>
        <v>1159100</v>
      </c>
      <c r="AC49" s="179">
        <f t="shared" si="28"/>
        <v>-1.8548065416832848E-2</v>
      </c>
      <c r="AD49" s="180">
        <f t="shared" si="29"/>
        <v>-1.082443653618026E-2</v>
      </c>
      <c r="AE49" s="180">
        <f t="shared" si="30"/>
        <v>-3.4828496042216384E-2</v>
      </c>
      <c r="AF49" s="180">
        <f t="shared" si="31"/>
        <v>-1.3120435697487332E-2</v>
      </c>
      <c r="AG49" s="181">
        <f t="shared" si="32"/>
        <v>2.8026905829596771E-3</v>
      </c>
      <c r="AH49" s="182">
        <f t="shared" si="33"/>
        <v>-1.4203095764585782E-2</v>
      </c>
      <c r="AI49" s="200">
        <f t="shared" si="34"/>
        <v>-1.0456464910516772E-2</v>
      </c>
      <c r="AJ49" s="166">
        <f t="shared" si="35"/>
        <v>-6.1084624553039424E-3</v>
      </c>
      <c r="AK49" s="166">
        <f t="shared" si="36"/>
        <v>-8.641358641358643E-2</v>
      </c>
      <c r="AL49" s="166">
        <f t="shared" si="37"/>
        <v>-3.7612838515543867E-4</v>
      </c>
      <c r="AM49" s="201">
        <f t="shared" si="38"/>
        <v>4.803749267721158E-2</v>
      </c>
      <c r="AN49" s="202">
        <f t="shared" si="39"/>
        <v>-8.0445014976465723E-3</v>
      </c>
    </row>
    <row r="50" spans="1:40">
      <c r="A50" s="27" t="s">
        <v>102</v>
      </c>
      <c r="B50" s="163">
        <v>116100</v>
      </c>
      <c r="C50" s="164">
        <v>131500</v>
      </c>
      <c r="D50" s="164">
        <v>112800</v>
      </c>
      <c r="E50" s="164">
        <v>141000</v>
      </c>
      <c r="F50" s="167">
        <v>501500</v>
      </c>
      <c r="G50" s="163">
        <v>138700</v>
      </c>
      <c r="H50" s="164">
        <v>114200</v>
      </c>
      <c r="I50" s="164">
        <v>191100</v>
      </c>
      <c r="J50" s="164">
        <v>208900</v>
      </c>
      <c r="K50" s="166">
        <f t="shared" si="21"/>
        <v>0.32000612745098039</v>
      </c>
      <c r="L50" s="167">
        <v>652800</v>
      </c>
      <c r="M50" s="62">
        <v>181700</v>
      </c>
      <c r="N50" s="63">
        <v>319800</v>
      </c>
      <c r="O50" s="63">
        <v>76800</v>
      </c>
      <c r="P50" s="63">
        <v>335300</v>
      </c>
      <c r="Q50" s="168">
        <v>89400</v>
      </c>
      <c r="R50" s="62">
        <v>306400</v>
      </c>
      <c r="S50" s="63">
        <v>346400</v>
      </c>
      <c r="T50" s="63">
        <v>102800</v>
      </c>
      <c r="U50" s="63">
        <v>459300</v>
      </c>
      <c r="V50" s="64">
        <v>90700</v>
      </c>
      <c r="W50" s="169">
        <f t="shared" si="22"/>
        <v>488100</v>
      </c>
      <c r="X50" s="170">
        <f t="shared" si="23"/>
        <v>666200</v>
      </c>
      <c r="Y50" s="170">
        <f t="shared" si="24"/>
        <v>179600</v>
      </c>
      <c r="Z50" s="170">
        <f t="shared" si="25"/>
        <v>794600</v>
      </c>
      <c r="AA50" s="171">
        <f t="shared" si="26"/>
        <v>180100</v>
      </c>
      <c r="AB50" s="172">
        <f t="shared" si="27"/>
        <v>1154300</v>
      </c>
      <c r="AC50" s="179">
        <f t="shared" si="28"/>
        <v>-8.1284291810607145E-3</v>
      </c>
      <c r="AD50" s="180">
        <f t="shared" si="29"/>
        <v>-1.3491230700044543E-3</v>
      </c>
      <c r="AE50" s="180">
        <f t="shared" si="30"/>
        <v>-1.8042646254784023E-2</v>
      </c>
      <c r="AF50" s="180">
        <f t="shared" si="31"/>
        <v>-3.3864291985450379E-3</v>
      </c>
      <c r="AG50" s="181">
        <f t="shared" si="32"/>
        <v>6.7076579094467181E-3</v>
      </c>
      <c r="AH50" s="182">
        <f t="shared" si="33"/>
        <v>-4.1411439910274961E-3</v>
      </c>
      <c r="AI50" s="200">
        <f t="shared" si="34"/>
        <v>-3.2890826233406001E-2</v>
      </c>
      <c r="AJ50" s="166">
        <f t="shared" si="35"/>
        <v>-1.6533805727782735E-2</v>
      </c>
      <c r="AK50" s="166">
        <f t="shared" si="36"/>
        <v>-0.10110110110110115</v>
      </c>
      <c r="AL50" s="166">
        <f t="shared" si="37"/>
        <v>-1.6705853235985613E-2</v>
      </c>
      <c r="AM50" s="201">
        <f t="shared" si="38"/>
        <v>3.3275960986804298E-2</v>
      </c>
      <c r="AN50" s="202">
        <f t="shared" si="39"/>
        <v>-2.360006767044498E-2</v>
      </c>
    </row>
    <row r="51" spans="1:40">
      <c r="A51" s="27" t="s">
        <v>103</v>
      </c>
      <c r="B51" s="163">
        <v>113400</v>
      </c>
      <c r="C51" s="164">
        <v>130700</v>
      </c>
      <c r="D51" s="164">
        <v>109500</v>
      </c>
      <c r="E51" s="164">
        <v>142300</v>
      </c>
      <c r="F51" s="167">
        <v>495900</v>
      </c>
      <c r="G51" s="163">
        <v>136700</v>
      </c>
      <c r="H51" s="164">
        <v>116700</v>
      </c>
      <c r="I51" s="164">
        <v>189300</v>
      </c>
      <c r="J51" s="164">
        <v>201700</v>
      </c>
      <c r="K51" s="166">
        <f t="shared" si="21"/>
        <v>0.31295577967416605</v>
      </c>
      <c r="L51" s="167">
        <v>644500</v>
      </c>
      <c r="M51" s="62">
        <v>179000</v>
      </c>
      <c r="N51" s="63">
        <v>316900</v>
      </c>
      <c r="O51" s="63">
        <v>76100</v>
      </c>
      <c r="P51" s="63">
        <v>330300</v>
      </c>
      <c r="Q51" s="168">
        <v>89400</v>
      </c>
      <c r="R51" s="62">
        <v>299400</v>
      </c>
      <c r="S51" s="63">
        <v>345100</v>
      </c>
      <c r="T51" s="63">
        <v>100500</v>
      </c>
      <c r="U51" s="63">
        <v>453400</v>
      </c>
      <c r="V51" s="64">
        <v>90700</v>
      </c>
      <c r="W51" s="169">
        <f t="shared" si="22"/>
        <v>478400</v>
      </c>
      <c r="X51" s="170">
        <f t="shared" si="23"/>
        <v>662000</v>
      </c>
      <c r="Y51" s="170">
        <f t="shared" si="24"/>
        <v>176600</v>
      </c>
      <c r="Z51" s="170">
        <f t="shared" si="25"/>
        <v>783700</v>
      </c>
      <c r="AA51" s="171">
        <f t="shared" si="26"/>
        <v>180100</v>
      </c>
      <c r="AB51" s="172">
        <f t="shared" si="27"/>
        <v>1140400</v>
      </c>
      <c r="AC51" s="179">
        <f t="shared" si="28"/>
        <v>-1.9872976849006352E-2</v>
      </c>
      <c r="AD51" s="180">
        <f t="shared" si="29"/>
        <v>-6.3044130891624084E-3</v>
      </c>
      <c r="AE51" s="180">
        <f t="shared" si="30"/>
        <v>-1.6703786191536785E-2</v>
      </c>
      <c r="AF51" s="180">
        <f t="shared" si="31"/>
        <v>-1.3717593757865632E-2</v>
      </c>
      <c r="AG51" s="181">
        <f t="shared" si="32"/>
        <v>0</v>
      </c>
      <c r="AH51" s="182">
        <f t="shared" si="33"/>
        <v>-1.2041930174131465E-2</v>
      </c>
      <c r="AI51" s="200">
        <f t="shared" si="34"/>
        <v>-6.0671509915570354E-2</v>
      </c>
      <c r="AJ51" s="166">
        <f t="shared" si="35"/>
        <v>-3.0462800234329235E-2</v>
      </c>
      <c r="AK51" s="166">
        <f t="shared" si="36"/>
        <v>-0.10943015632879471</v>
      </c>
      <c r="AL51" s="166">
        <f t="shared" si="37"/>
        <v>-3.9465620786861111E-2</v>
      </c>
      <c r="AM51" s="201">
        <f t="shared" si="38"/>
        <v>1.179775280898876E-2</v>
      </c>
      <c r="AN51" s="202">
        <f t="shared" si="39"/>
        <v>-4.3368844895562475E-2</v>
      </c>
    </row>
    <row r="52" spans="1:40">
      <c r="A52" s="60" t="s">
        <v>104</v>
      </c>
      <c r="B52" s="183">
        <v>115200</v>
      </c>
      <c r="C52" s="184">
        <v>132000</v>
      </c>
      <c r="D52" s="184">
        <v>111500</v>
      </c>
      <c r="E52" s="184">
        <v>135600</v>
      </c>
      <c r="F52" s="185">
        <v>494300</v>
      </c>
      <c r="G52" s="183">
        <v>133700</v>
      </c>
      <c r="H52" s="184">
        <v>118800</v>
      </c>
      <c r="I52" s="184">
        <v>173300</v>
      </c>
      <c r="J52" s="184">
        <v>197800</v>
      </c>
      <c r="K52" s="186">
        <f t="shared" si="21"/>
        <v>0.31719050673508659</v>
      </c>
      <c r="L52" s="185">
        <v>623600</v>
      </c>
      <c r="M52" s="66">
        <v>182200</v>
      </c>
      <c r="N52" s="67">
        <v>312100</v>
      </c>
      <c r="O52" s="67">
        <v>75100</v>
      </c>
      <c r="P52" s="67">
        <v>330200</v>
      </c>
      <c r="Q52" s="187">
        <v>88900</v>
      </c>
      <c r="R52" s="66">
        <v>286900</v>
      </c>
      <c r="S52" s="67">
        <v>336700</v>
      </c>
      <c r="T52" s="67">
        <v>96900</v>
      </c>
      <c r="U52" s="67">
        <v>437900</v>
      </c>
      <c r="V52" s="68">
        <v>88800</v>
      </c>
      <c r="W52" s="188">
        <f t="shared" si="22"/>
        <v>469100</v>
      </c>
      <c r="X52" s="189">
        <f t="shared" si="23"/>
        <v>648800</v>
      </c>
      <c r="Y52" s="189">
        <f t="shared" si="24"/>
        <v>172000</v>
      </c>
      <c r="Z52" s="189">
        <f t="shared" si="25"/>
        <v>768100</v>
      </c>
      <c r="AA52" s="190">
        <f t="shared" si="26"/>
        <v>177700</v>
      </c>
      <c r="AB52" s="191">
        <f t="shared" si="27"/>
        <v>1117900</v>
      </c>
      <c r="AC52" s="192">
        <f t="shared" si="28"/>
        <v>-1.9439799331103624E-2</v>
      </c>
      <c r="AD52" s="193">
        <f t="shared" si="29"/>
        <v>-1.9939577039274958E-2</v>
      </c>
      <c r="AE52" s="193">
        <f t="shared" si="30"/>
        <v>-2.6047565118912819E-2</v>
      </c>
      <c r="AF52" s="193">
        <f t="shared" si="31"/>
        <v>-1.9905576113308676E-2</v>
      </c>
      <c r="AG52" s="194">
        <f t="shared" si="32"/>
        <v>-1.3325930038867284E-2</v>
      </c>
      <c r="AH52" s="195">
        <f t="shared" si="33"/>
        <v>-1.9729919326552103E-2</v>
      </c>
      <c r="AI52" s="203">
        <f t="shared" si="34"/>
        <v>-6.4419625049860429E-2</v>
      </c>
      <c r="AJ52" s="186">
        <f t="shared" si="35"/>
        <v>-3.7959667852906276E-2</v>
      </c>
      <c r="AK52" s="186">
        <f t="shared" si="36"/>
        <v>-9.2348284960422133E-2</v>
      </c>
      <c r="AL52" s="186">
        <f t="shared" si="37"/>
        <v>-4.9263522713207109E-2</v>
      </c>
      <c r="AM52" s="204">
        <f t="shared" si="38"/>
        <v>-3.9237668161434813E-3</v>
      </c>
      <c r="AN52" s="205">
        <f t="shared" si="39"/>
        <v>-4.924306854907301E-2</v>
      </c>
    </row>
    <row r="53" spans="1:40">
      <c r="A53" s="27" t="s">
        <v>105</v>
      </c>
      <c r="B53" s="163">
        <v>109900</v>
      </c>
      <c r="C53" s="164">
        <v>126500</v>
      </c>
      <c r="D53" s="164">
        <v>112900</v>
      </c>
      <c r="E53" s="164">
        <v>132500</v>
      </c>
      <c r="F53" s="167">
        <v>481800</v>
      </c>
      <c r="G53" s="163">
        <v>136000</v>
      </c>
      <c r="H53" s="164">
        <v>117100</v>
      </c>
      <c r="I53" s="164">
        <v>180700</v>
      </c>
      <c r="J53" s="164">
        <v>194100</v>
      </c>
      <c r="K53" s="166">
        <f t="shared" si="21"/>
        <v>0.30907643312101912</v>
      </c>
      <c r="L53" s="167">
        <v>628000</v>
      </c>
      <c r="M53" s="62">
        <v>177600</v>
      </c>
      <c r="N53" s="63">
        <v>304200</v>
      </c>
      <c r="O53" s="63">
        <v>74400</v>
      </c>
      <c r="P53" s="63">
        <v>321400</v>
      </c>
      <c r="Q53" s="168">
        <v>86100</v>
      </c>
      <c r="R53" s="62">
        <v>291900</v>
      </c>
      <c r="S53" s="63">
        <v>336100</v>
      </c>
      <c r="T53" s="63">
        <v>97600</v>
      </c>
      <c r="U53" s="63">
        <v>441400</v>
      </c>
      <c r="V53" s="64">
        <v>89000</v>
      </c>
      <c r="W53" s="169">
        <f t="shared" si="22"/>
        <v>469500</v>
      </c>
      <c r="X53" s="170">
        <f t="shared" si="23"/>
        <v>640300</v>
      </c>
      <c r="Y53" s="170">
        <f t="shared" si="24"/>
        <v>172000</v>
      </c>
      <c r="Z53" s="170">
        <f t="shared" si="25"/>
        <v>762800</v>
      </c>
      <c r="AA53" s="171">
        <f t="shared" si="26"/>
        <v>175100</v>
      </c>
      <c r="AB53" s="172">
        <f t="shared" si="27"/>
        <v>1109800</v>
      </c>
      <c r="AC53" s="179">
        <f t="shared" si="28"/>
        <v>8.5269665316567433E-4</v>
      </c>
      <c r="AD53" s="180">
        <f t="shared" si="29"/>
        <v>-1.3101109741060379E-2</v>
      </c>
      <c r="AE53" s="180">
        <f t="shared" si="30"/>
        <v>0</v>
      </c>
      <c r="AF53" s="180">
        <f t="shared" si="31"/>
        <v>-6.9001432105194604E-3</v>
      </c>
      <c r="AG53" s="181">
        <f t="shared" si="32"/>
        <v>-1.463140123804163E-2</v>
      </c>
      <c r="AH53" s="182">
        <f t="shared" si="33"/>
        <v>-7.2457285982645558E-3</v>
      </c>
      <c r="AI53" s="200">
        <f t="shared" si="34"/>
        <v>-4.5925624872993343E-2</v>
      </c>
      <c r="AJ53" s="166">
        <f t="shared" si="35"/>
        <v>-4.0173886973467243E-2</v>
      </c>
      <c r="AK53" s="166">
        <f t="shared" si="36"/>
        <v>-5.959540732640789E-2</v>
      </c>
      <c r="AL53" s="166">
        <f t="shared" si="37"/>
        <v>-4.3271039759187224E-2</v>
      </c>
      <c r="AM53" s="201">
        <f t="shared" si="38"/>
        <v>-2.1240916713247571E-2</v>
      </c>
      <c r="AN53" s="202">
        <f t="shared" si="39"/>
        <v>-4.2532999741178523E-2</v>
      </c>
    </row>
    <row r="54" spans="1:40">
      <c r="A54" s="27" t="s">
        <v>106</v>
      </c>
      <c r="B54" s="163">
        <v>102500</v>
      </c>
      <c r="C54" s="164">
        <v>122700</v>
      </c>
      <c r="D54" s="164">
        <v>107700</v>
      </c>
      <c r="E54" s="164">
        <v>131200</v>
      </c>
      <c r="F54" s="167">
        <v>464100</v>
      </c>
      <c r="G54" s="163">
        <v>132200</v>
      </c>
      <c r="H54" s="164">
        <v>117700</v>
      </c>
      <c r="I54" s="164">
        <v>182500</v>
      </c>
      <c r="J54" s="164">
        <v>198900</v>
      </c>
      <c r="K54" s="166">
        <f t="shared" si="21"/>
        <v>0.31506415333438936</v>
      </c>
      <c r="L54" s="167">
        <v>631300</v>
      </c>
      <c r="M54" s="62">
        <v>170800</v>
      </c>
      <c r="N54" s="63">
        <v>293200</v>
      </c>
      <c r="O54" s="63">
        <v>71200</v>
      </c>
      <c r="P54" s="63">
        <v>310800</v>
      </c>
      <c r="Q54" s="168">
        <v>82100</v>
      </c>
      <c r="R54" s="62">
        <v>290600</v>
      </c>
      <c r="S54" s="63">
        <v>340600</v>
      </c>
      <c r="T54" s="63">
        <v>97400</v>
      </c>
      <c r="U54" s="63">
        <v>443700</v>
      </c>
      <c r="V54" s="64">
        <v>90100</v>
      </c>
      <c r="W54" s="169">
        <f t="shared" si="22"/>
        <v>461400</v>
      </c>
      <c r="X54" s="170">
        <f t="shared" si="23"/>
        <v>633800</v>
      </c>
      <c r="Y54" s="170">
        <f t="shared" si="24"/>
        <v>168600</v>
      </c>
      <c r="Z54" s="170">
        <f t="shared" si="25"/>
        <v>754500</v>
      </c>
      <c r="AA54" s="171">
        <f t="shared" si="26"/>
        <v>172200</v>
      </c>
      <c r="AB54" s="172">
        <f t="shared" si="27"/>
        <v>1095400</v>
      </c>
      <c r="AC54" s="179">
        <f t="shared" si="28"/>
        <v>-1.7252396166134165E-2</v>
      </c>
      <c r="AD54" s="180">
        <f t="shared" si="29"/>
        <v>-1.0151491488364806E-2</v>
      </c>
      <c r="AE54" s="180">
        <f t="shared" si="30"/>
        <v>-1.9767441860465085E-2</v>
      </c>
      <c r="AF54" s="180">
        <f t="shared" si="31"/>
        <v>-1.0880964866282095E-2</v>
      </c>
      <c r="AG54" s="181">
        <f t="shared" si="32"/>
        <v>-1.6561964591661926E-2</v>
      </c>
      <c r="AH54" s="182">
        <f t="shared" si="33"/>
        <v>-1.2975310866822798E-2</v>
      </c>
      <c r="AI54" s="200">
        <f t="shared" si="34"/>
        <v>-5.4701905347264934E-2</v>
      </c>
      <c r="AJ54" s="166">
        <f t="shared" si="35"/>
        <v>-4.8634043830681484E-2</v>
      </c>
      <c r="AK54" s="166">
        <f t="shared" si="36"/>
        <v>-6.1247216035634766E-2</v>
      </c>
      <c r="AL54" s="166">
        <f t="shared" si="37"/>
        <v>-5.0465643090863321E-2</v>
      </c>
      <c r="AM54" s="201">
        <f t="shared" si="38"/>
        <v>-4.3864519711271477E-2</v>
      </c>
      <c r="AN54" s="202">
        <f t="shared" si="39"/>
        <v>-5.1026596205492547E-2</v>
      </c>
    </row>
    <row r="55" spans="1:40">
      <c r="A55" s="27" t="s">
        <v>107</v>
      </c>
      <c r="B55" s="163">
        <v>101500</v>
      </c>
      <c r="C55" s="164">
        <v>127200</v>
      </c>
      <c r="D55" s="164">
        <v>104000</v>
      </c>
      <c r="E55" s="164">
        <v>130500</v>
      </c>
      <c r="F55" s="167">
        <v>463300</v>
      </c>
      <c r="G55" s="163">
        <v>129100</v>
      </c>
      <c r="H55" s="164">
        <v>115500</v>
      </c>
      <c r="I55" s="164">
        <v>177000</v>
      </c>
      <c r="J55" s="164">
        <v>190900</v>
      </c>
      <c r="K55" s="166">
        <f t="shared" si="21"/>
        <v>0.31162259222984001</v>
      </c>
      <c r="L55" s="167">
        <v>612600</v>
      </c>
      <c r="M55" s="62">
        <v>173400</v>
      </c>
      <c r="N55" s="63">
        <v>289900</v>
      </c>
      <c r="O55" s="63">
        <v>71200</v>
      </c>
      <c r="P55" s="63">
        <v>311200</v>
      </c>
      <c r="Q55" s="168">
        <v>80800</v>
      </c>
      <c r="R55" s="62">
        <v>278300</v>
      </c>
      <c r="S55" s="63">
        <v>334200</v>
      </c>
      <c r="T55" s="63">
        <v>93100</v>
      </c>
      <c r="U55" s="63">
        <v>431000</v>
      </c>
      <c r="V55" s="64">
        <v>88400</v>
      </c>
      <c r="W55" s="169">
        <f t="shared" si="22"/>
        <v>451700</v>
      </c>
      <c r="X55" s="170">
        <f t="shared" si="23"/>
        <v>624100</v>
      </c>
      <c r="Y55" s="170">
        <f t="shared" si="24"/>
        <v>164300</v>
      </c>
      <c r="Z55" s="170">
        <f t="shared" si="25"/>
        <v>742200</v>
      </c>
      <c r="AA55" s="171">
        <f t="shared" si="26"/>
        <v>169200</v>
      </c>
      <c r="AB55" s="172">
        <f t="shared" si="27"/>
        <v>1075900</v>
      </c>
      <c r="AC55" s="179">
        <f t="shared" si="28"/>
        <v>-2.1022973558734281E-2</v>
      </c>
      <c r="AD55" s="180">
        <f t="shared" si="29"/>
        <v>-1.530451246449982E-2</v>
      </c>
      <c r="AE55" s="180">
        <f t="shared" si="30"/>
        <v>-2.5504151838671385E-2</v>
      </c>
      <c r="AF55" s="180">
        <f t="shared" si="31"/>
        <v>-1.6302186878727642E-2</v>
      </c>
      <c r="AG55" s="181">
        <f t="shared" si="32"/>
        <v>-1.7421602787456414E-2</v>
      </c>
      <c r="AH55" s="182">
        <f t="shared" si="33"/>
        <v>-1.7801716268029955E-2</v>
      </c>
      <c r="AI55" s="200">
        <f t="shared" si="34"/>
        <v>-5.5811036789297663E-2</v>
      </c>
      <c r="AJ55" s="166">
        <f t="shared" si="35"/>
        <v>-5.725075528700907E-2</v>
      </c>
      <c r="AK55" s="166">
        <f t="shared" si="36"/>
        <v>-6.9648924122310274E-2</v>
      </c>
      <c r="AL55" s="166">
        <f t="shared" si="37"/>
        <v>-5.295393645527624E-2</v>
      </c>
      <c r="AM55" s="201">
        <f t="shared" si="38"/>
        <v>-6.0521932259855582E-2</v>
      </c>
      <c r="AN55" s="202">
        <f t="shared" si="39"/>
        <v>-5.6559102069449363E-2</v>
      </c>
    </row>
    <row r="56" spans="1:40" s="12" customFormat="1">
      <c r="A56" s="60" t="s">
        <v>108</v>
      </c>
      <c r="B56" s="183">
        <v>98500</v>
      </c>
      <c r="C56" s="184">
        <v>121900</v>
      </c>
      <c r="D56" s="184">
        <v>103900</v>
      </c>
      <c r="E56" s="184">
        <v>128900</v>
      </c>
      <c r="F56" s="185">
        <v>453200</v>
      </c>
      <c r="G56" s="183">
        <v>131800</v>
      </c>
      <c r="H56" s="184">
        <v>121700</v>
      </c>
      <c r="I56" s="184">
        <v>166900</v>
      </c>
      <c r="J56" s="184">
        <v>201400</v>
      </c>
      <c r="K56" s="186">
        <f t="shared" si="21"/>
        <v>0.32389835960115793</v>
      </c>
      <c r="L56" s="185">
        <v>621800</v>
      </c>
      <c r="M56" s="66">
        <v>168900</v>
      </c>
      <c r="N56" s="67">
        <v>284300</v>
      </c>
      <c r="O56" s="67">
        <v>70300</v>
      </c>
      <c r="P56" s="67">
        <v>303600</v>
      </c>
      <c r="Q56" s="187">
        <v>79300</v>
      </c>
      <c r="R56" s="66">
        <v>284200</v>
      </c>
      <c r="S56" s="67">
        <v>337600</v>
      </c>
      <c r="T56" s="67">
        <v>93700</v>
      </c>
      <c r="U56" s="67">
        <v>438000</v>
      </c>
      <c r="V56" s="68">
        <v>90200</v>
      </c>
      <c r="W56" s="188">
        <f t="shared" si="22"/>
        <v>453100</v>
      </c>
      <c r="X56" s="189">
        <f t="shared" si="23"/>
        <v>621900</v>
      </c>
      <c r="Y56" s="189">
        <f t="shared" si="24"/>
        <v>164000</v>
      </c>
      <c r="Z56" s="189">
        <f t="shared" si="25"/>
        <v>741600</v>
      </c>
      <c r="AA56" s="190">
        <f t="shared" si="26"/>
        <v>169500</v>
      </c>
      <c r="AB56" s="191">
        <f t="shared" si="27"/>
        <v>1075000</v>
      </c>
      <c r="AC56" s="192">
        <f t="shared" si="28"/>
        <v>3.0994022581358749E-3</v>
      </c>
      <c r="AD56" s="193">
        <f t="shared" si="29"/>
        <v>-3.5250761095978467E-3</v>
      </c>
      <c r="AE56" s="193">
        <f t="shared" si="30"/>
        <v>-1.8259281801582539E-3</v>
      </c>
      <c r="AF56" s="193">
        <f t="shared" si="31"/>
        <v>-8.0840743734844622E-4</v>
      </c>
      <c r="AG56" s="194">
        <f t="shared" si="32"/>
        <v>1.7730496453900457E-3</v>
      </c>
      <c r="AH56" s="195">
        <f t="shared" si="33"/>
        <v>-8.3650896923503915E-4</v>
      </c>
      <c r="AI56" s="203">
        <f t="shared" si="34"/>
        <v>-3.4107866126625419E-2</v>
      </c>
      <c r="AJ56" s="186">
        <f t="shared" si="35"/>
        <v>-4.1461159062885278E-2</v>
      </c>
      <c r="AK56" s="186">
        <f t="shared" si="36"/>
        <v>-4.6511627906976716E-2</v>
      </c>
      <c r="AL56" s="186">
        <f t="shared" si="37"/>
        <v>-3.4500716052597302E-2</v>
      </c>
      <c r="AM56" s="204">
        <f t="shared" si="38"/>
        <v>-4.6145188519977509E-2</v>
      </c>
      <c r="AN56" s="205">
        <f t="shared" si="39"/>
        <v>-3.8375525538956956E-2</v>
      </c>
    </row>
    <row r="57" spans="1:40">
      <c r="A57" s="27" t="s">
        <v>109</v>
      </c>
      <c r="B57" s="163">
        <v>99600</v>
      </c>
      <c r="C57" s="164">
        <v>122000</v>
      </c>
      <c r="D57" s="164">
        <v>104600</v>
      </c>
      <c r="E57" s="164">
        <v>129500</v>
      </c>
      <c r="F57" s="167">
        <v>455800</v>
      </c>
      <c r="G57" s="163">
        <v>131300</v>
      </c>
      <c r="H57" s="164">
        <v>115200</v>
      </c>
      <c r="I57" s="164">
        <v>183500</v>
      </c>
      <c r="J57" s="164">
        <v>197200</v>
      </c>
      <c r="K57" s="166">
        <f t="shared" si="21"/>
        <v>0.3143631436314363</v>
      </c>
      <c r="L57" s="167">
        <v>627300</v>
      </c>
      <c r="M57" s="62">
        <v>170200</v>
      </c>
      <c r="N57" s="63">
        <v>285600</v>
      </c>
      <c r="O57" s="63">
        <v>70300</v>
      </c>
      <c r="P57" s="63">
        <v>305700</v>
      </c>
      <c r="Q57" s="168">
        <v>79800</v>
      </c>
      <c r="R57" s="62">
        <v>288000</v>
      </c>
      <c r="S57" s="63">
        <v>339300</v>
      </c>
      <c r="T57" s="63">
        <v>94100</v>
      </c>
      <c r="U57" s="63">
        <v>441500</v>
      </c>
      <c r="V57" s="64">
        <v>91700</v>
      </c>
      <c r="W57" s="169">
        <f t="shared" si="22"/>
        <v>458200</v>
      </c>
      <c r="X57" s="170">
        <f t="shared" si="23"/>
        <v>624900</v>
      </c>
      <c r="Y57" s="170">
        <f t="shared" si="24"/>
        <v>164400</v>
      </c>
      <c r="Z57" s="170">
        <f t="shared" si="25"/>
        <v>747200</v>
      </c>
      <c r="AA57" s="171">
        <f t="shared" si="26"/>
        <v>171500</v>
      </c>
      <c r="AB57" s="172">
        <f t="shared" si="27"/>
        <v>1083100</v>
      </c>
      <c r="AC57" s="179">
        <f t="shared" si="28"/>
        <v>1.1255793423085469E-2</v>
      </c>
      <c r="AD57" s="180">
        <f t="shared" si="29"/>
        <v>4.8239266763145938E-3</v>
      </c>
      <c r="AE57" s="180">
        <f t="shared" si="30"/>
        <v>2.4390243902439046E-3</v>
      </c>
      <c r="AF57" s="180">
        <f t="shared" si="31"/>
        <v>7.5512405609492461E-3</v>
      </c>
      <c r="AG57" s="181">
        <f t="shared" si="32"/>
        <v>1.1799410029498469E-2</v>
      </c>
      <c r="AH57" s="182">
        <f t="shared" si="33"/>
        <v>7.5348837209301411E-3</v>
      </c>
      <c r="AI57" s="200">
        <f t="shared" si="34"/>
        <v>-2.4068157614483443E-2</v>
      </c>
      <c r="AJ57" s="166">
        <f t="shared" si="35"/>
        <v>-2.405122598781817E-2</v>
      </c>
      <c r="AK57" s="166">
        <f t="shared" si="36"/>
        <v>-4.4186046511627941E-2</v>
      </c>
      <c r="AL57" s="166">
        <f t="shared" si="37"/>
        <v>-2.0450970110120648E-2</v>
      </c>
      <c r="AM57" s="201">
        <f t="shared" si="38"/>
        <v>-2.0559680182752671E-2</v>
      </c>
      <c r="AN57" s="202">
        <f t="shared" si="39"/>
        <v>-2.4058388898900662E-2</v>
      </c>
    </row>
    <row r="58" spans="1:40">
      <c r="A58" s="27" t="s">
        <v>110</v>
      </c>
      <c r="B58" s="163">
        <v>99700</v>
      </c>
      <c r="C58" s="164">
        <v>122800</v>
      </c>
      <c r="D58" s="164">
        <v>104300</v>
      </c>
      <c r="E58" s="164">
        <v>127900</v>
      </c>
      <c r="F58" s="167">
        <v>454700</v>
      </c>
      <c r="G58" s="163">
        <v>130100</v>
      </c>
      <c r="H58" s="164">
        <v>113800</v>
      </c>
      <c r="I58" s="164">
        <v>172200</v>
      </c>
      <c r="J58" s="164">
        <v>187100</v>
      </c>
      <c r="K58" s="166">
        <f t="shared" si="21"/>
        <v>0.31017904509283822</v>
      </c>
      <c r="L58" s="167">
        <v>603200</v>
      </c>
      <c r="M58" s="62">
        <v>172600</v>
      </c>
      <c r="N58" s="63">
        <v>282100</v>
      </c>
      <c r="O58" s="63">
        <v>70400</v>
      </c>
      <c r="P58" s="63">
        <v>304700</v>
      </c>
      <c r="Q58" s="168">
        <v>79600</v>
      </c>
      <c r="R58" s="62">
        <v>272100</v>
      </c>
      <c r="S58" s="63">
        <v>331100</v>
      </c>
      <c r="T58" s="63">
        <v>88100</v>
      </c>
      <c r="U58" s="63">
        <v>424600</v>
      </c>
      <c r="V58" s="64">
        <v>90500</v>
      </c>
      <c r="W58" s="169">
        <f t="shared" si="22"/>
        <v>444700</v>
      </c>
      <c r="X58" s="170">
        <f t="shared" si="23"/>
        <v>613200</v>
      </c>
      <c r="Y58" s="170">
        <f t="shared" si="24"/>
        <v>158500</v>
      </c>
      <c r="Z58" s="170">
        <f t="shared" si="25"/>
        <v>729300</v>
      </c>
      <c r="AA58" s="171">
        <f t="shared" si="26"/>
        <v>170100</v>
      </c>
      <c r="AB58" s="172">
        <f t="shared" si="27"/>
        <v>1057900</v>
      </c>
      <c r="AC58" s="179">
        <f t="shared" si="28"/>
        <v>-2.9463116542994272E-2</v>
      </c>
      <c r="AD58" s="180">
        <f t="shared" si="29"/>
        <v>-1.8722995679308685E-2</v>
      </c>
      <c r="AE58" s="180">
        <f t="shared" si="30"/>
        <v>-3.5888077858880818E-2</v>
      </c>
      <c r="AF58" s="180">
        <f t="shared" si="31"/>
        <v>-2.3956102783725952E-2</v>
      </c>
      <c r="AG58" s="181">
        <f t="shared" si="32"/>
        <v>-8.1632653061224358E-3</v>
      </c>
      <c r="AH58" s="182">
        <f t="shared" si="33"/>
        <v>-2.326654971840092E-2</v>
      </c>
      <c r="AI58" s="200">
        <f t="shared" si="34"/>
        <v>-3.6194191590810609E-2</v>
      </c>
      <c r="AJ58" s="166">
        <f t="shared" si="35"/>
        <v>-3.2502366677185202E-2</v>
      </c>
      <c r="AK58" s="166">
        <f t="shared" si="36"/>
        <v>-5.9905100830367708E-2</v>
      </c>
      <c r="AL58" s="166">
        <f t="shared" si="37"/>
        <v>-3.3399602385685845E-2</v>
      </c>
      <c r="AM58" s="201">
        <f t="shared" si="38"/>
        <v>-1.2195121951219523E-2</v>
      </c>
      <c r="AN58" s="202">
        <f t="shared" si="39"/>
        <v>-3.423406974621146E-2</v>
      </c>
    </row>
    <row r="59" spans="1:40">
      <c r="A59" s="27" t="s">
        <v>111</v>
      </c>
      <c r="B59" s="163">
        <v>103400</v>
      </c>
      <c r="C59" s="164">
        <v>125800</v>
      </c>
      <c r="D59" s="164">
        <v>103600</v>
      </c>
      <c r="E59" s="164">
        <v>126200</v>
      </c>
      <c r="F59" s="167">
        <v>459000</v>
      </c>
      <c r="G59" s="163">
        <v>126300</v>
      </c>
      <c r="H59" s="164">
        <v>109300</v>
      </c>
      <c r="I59" s="164">
        <v>166000</v>
      </c>
      <c r="J59" s="164">
        <v>178500</v>
      </c>
      <c r="K59" s="166">
        <f t="shared" si="21"/>
        <v>0.30775862068965515</v>
      </c>
      <c r="L59" s="167">
        <v>580000</v>
      </c>
      <c r="M59" s="62">
        <v>174900</v>
      </c>
      <c r="N59" s="63">
        <v>284100</v>
      </c>
      <c r="O59" s="63">
        <v>70900</v>
      </c>
      <c r="P59" s="63">
        <v>307700</v>
      </c>
      <c r="Q59" s="168">
        <v>80400</v>
      </c>
      <c r="R59" s="62">
        <v>257700</v>
      </c>
      <c r="S59" s="63">
        <v>322300</v>
      </c>
      <c r="T59" s="63">
        <v>84500</v>
      </c>
      <c r="U59" s="63">
        <v>407500</v>
      </c>
      <c r="V59" s="64">
        <v>88100</v>
      </c>
      <c r="W59" s="169">
        <f t="shared" si="22"/>
        <v>432600</v>
      </c>
      <c r="X59" s="170">
        <f t="shared" si="23"/>
        <v>606400</v>
      </c>
      <c r="Y59" s="170">
        <f t="shared" si="24"/>
        <v>155400</v>
      </c>
      <c r="Z59" s="170">
        <f t="shared" si="25"/>
        <v>715200</v>
      </c>
      <c r="AA59" s="171">
        <f t="shared" si="26"/>
        <v>168500</v>
      </c>
      <c r="AB59" s="172">
        <f t="shared" si="27"/>
        <v>1039000</v>
      </c>
      <c r="AC59" s="179">
        <f t="shared" si="28"/>
        <v>-2.7209354621092863E-2</v>
      </c>
      <c r="AD59" s="180">
        <f t="shared" si="29"/>
        <v>-1.108936725375087E-2</v>
      </c>
      <c r="AE59" s="180">
        <f t="shared" si="30"/>
        <v>-1.9558359621451138E-2</v>
      </c>
      <c r="AF59" s="180">
        <f t="shared" si="31"/>
        <v>-1.9333607568901678E-2</v>
      </c>
      <c r="AG59" s="181">
        <f t="shared" si="32"/>
        <v>-9.4062316284538872E-3</v>
      </c>
      <c r="AH59" s="182">
        <f t="shared" si="33"/>
        <v>-1.7865582758294751E-2</v>
      </c>
      <c r="AI59" s="200">
        <f t="shared" si="34"/>
        <v>-4.228470223599734E-2</v>
      </c>
      <c r="AJ59" s="166">
        <f t="shared" si="35"/>
        <v>-2.8360839609037014E-2</v>
      </c>
      <c r="AK59" s="166">
        <f t="shared" si="36"/>
        <v>-5.416920267802805E-2</v>
      </c>
      <c r="AL59" s="166">
        <f t="shared" si="37"/>
        <v>-3.6378334680679081E-2</v>
      </c>
      <c r="AM59" s="201">
        <f t="shared" si="38"/>
        <v>-4.137115839243477E-3</v>
      </c>
      <c r="AN59" s="202">
        <f t="shared" si="39"/>
        <v>-3.4296867738637382E-2</v>
      </c>
    </row>
    <row r="60" spans="1:40">
      <c r="A60" s="60" t="s">
        <v>112</v>
      </c>
      <c r="B60" s="183">
        <v>104000</v>
      </c>
      <c r="C60" s="184">
        <v>128300</v>
      </c>
      <c r="D60" s="184">
        <v>105700</v>
      </c>
      <c r="E60" s="184">
        <v>127700</v>
      </c>
      <c r="F60" s="185">
        <v>465700</v>
      </c>
      <c r="G60" s="183">
        <v>127000</v>
      </c>
      <c r="H60" s="184">
        <v>106300</v>
      </c>
      <c r="I60" s="184">
        <v>158100</v>
      </c>
      <c r="J60" s="184">
        <v>177900</v>
      </c>
      <c r="K60" s="186">
        <f t="shared" si="21"/>
        <v>0.31248902160548042</v>
      </c>
      <c r="L60" s="185">
        <v>569300</v>
      </c>
      <c r="M60" s="66">
        <v>181000</v>
      </c>
      <c r="N60" s="67">
        <v>284700</v>
      </c>
      <c r="O60" s="67">
        <v>74500</v>
      </c>
      <c r="P60" s="67">
        <v>310700</v>
      </c>
      <c r="Q60" s="187">
        <v>80500</v>
      </c>
      <c r="R60" s="66">
        <v>251300</v>
      </c>
      <c r="S60" s="67">
        <v>318000</v>
      </c>
      <c r="T60" s="67">
        <v>83200</v>
      </c>
      <c r="U60" s="67">
        <v>398600</v>
      </c>
      <c r="V60" s="68">
        <v>87500</v>
      </c>
      <c r="W60" s="188">
        <f t="shared" si="22"/>
        <v>432300</v>
      </c>
      <c r="X60" s="189">
        <f t="shared" si="23"/>
        <v>602700</v>
      </c>
      <c r="Y60" s="189">
        <f t="shared" si="24"/>
        <v>157700</v>
      </c>
      <c r="Z60" s="189">
        <f t="shared" si="25"/>
        <v>709300</v>
      </c>
      <c r="AA60" s="190">
        <f t="shared" si="26"/>
        <v>168000</v>
      </c>
      <c r="AB60" s="191">
        <f t="shared" si="27"/>
        <v>1035000</v>
      </c>
      <c r="AC60" s="192">
        <f t="shared" si="28"/>
        <v>-6.9348127600554754E-4</v>
      </c>
      <c r="AD60" s="193">
        <f t="shared" si="29"/>
        <v>-6.1015831134564325E-3</v>
      </c>
      <c r="AE60" s="193">
        <f t="shared" si="30"/>
        <v>1.4800514800514808E-2</v>
      </c>
      <c r="AF60" s="193">
        <f t="shared" si="31"/>
        <v>-8.2494407158836269E-3</v>
      </c>
      <c r="AG60" s="194">
        <f t="shared" si="32"/>
        <v>-2.9673590504450953E-3</v>
      </c>
      <c r="AH60" s="195">
        <f t="shared" si="33"/>
        <v>-3.8498556304138454E-3</v>
      </c>
      <c r="AI60" s="203">
        <f t="shared" si="34"/>
        <v>-4.5905981019642494E-2</v>
      </c>
      <c r="AJ60" s="186">
        <f t="shared" si="35"/>
        <v>-3.0873130728412912E-2</v>
      </c>
      <c r="AK60" s="186">
        <f t="shared" si="36"/>
        <v>-3.8414634146341498E-2</v>
      </c>
      <c r="AL60" s="186">
        <f t="shared" si="37"/>
        <v>-4.3554476806903941E-2</v>
      </c>
      <c r="AM60" s="204">
        <f t="shared" si="38"/>
        <v>-8.8495575221239076E-3</v>
      </c>
      <c r="AN60" s="205">
        <f t="shared" si="39"/>
        <v>-3.7209302325581395E-2</v>
      </c>
    </row>
    <row r="61" spans="1:40">
      <c r="A61" s="27" t="s">
        <v>113</v>
      </c>
      <c r="B61" s="163">
        <v>106800</v>
      </c>
      <c r="C61" s="164">
        <v>131100</v>
      </c>
      <c r="D61" s="164">
        <v>107700</v>
      </c>
      <c r="E61" s="164">
        <v>128800</v>
      </c>
      <c r="F61" s="167">
        <v>474500</v>
      </c>
      <c r="G61" s="163">
        <v>127300</v>
      </c>
      <c r="H61" s="164">
        <v>107700</v>
      </c>
      <c r="I61" s="164">
        <v>154400</v>
      </c>
      <c r="J61" s="164">
        <v>170100</v>
      </c>
      <c r="K61" s="166">
        <f t="shared" si="21"/>
        <v>0.30407579549517338</v>
      </c>
      <c r="L61" s="167">
        <v>559400</v>
      </c>
      <c r="M61" s="62">
        <v>186700</v>
      </c>
      <c r="N61" s="63">
        <v>287800</v>
      </c>
      <c r="O61" s="63">
        <v>77800</v>
      </c>
      <c r="P61" s="63">
        <v>314900</v>
      </c>
      <c r="Q61" s="168">
        <v>81800</v>
      </c>
      <c r="R61" s="62">
        <v>245200</v>
      </c>
      <c r="S61" s="63">
        <v>314200</v>
      </c>
      <c r="T61" s="63">
        <v>82800</v>
      </c>
      <c r="U61" s="63">
        <v>389800</v>
      </c>
      <c r="V61" s="64">
        <v>86900</v>
      </c>
      <c r="W61" s="169">
        <f t="shared" si="22"/>
        <v>431900</v>
      </c>
      <c r="X61" s="170">
        <f t="shared" si="23"/>
        <v>602000</v>
      </c>
      <c r="Y61" s="170">
        <f t="shared" si="24"/>
        <v>160600</v>
      </c>
      <c r="Z61" s="170">
        <f t="shared" si="25"/>
        <v>704700</v>
      </c>
      <c r="AA61" s="171">
        <f t="shared" si="26"/>
        <v>168700</v>
      </c>
      <c r="AB61" s="172">
        <f t="shared" si="27"/>
        <v>1033900</v>
      </c>
      <c r="AC61" s="179">
        <f t="shared" si="28"/>
        <v>-9.2528336803143763E-4</v>
      </c>
      <c r="AD61" s="180">
        <f t="shared" si="29"/>
        <v>-1.1614401858304202E-3</v>
      </c>
      <c r="AE61" s="180">
        <f t="shared" si="30"/>
        <v>1.8389346861128697E-2</v>
      </c>
      <c r="AF61" s="180">
        <f t="shared" si="31"/>
        <v>-6.4852671648103488E-3</v>
      </c>
      <c r="AG61" s="181">
        <f t="shared" si="32"/>
        <v>4.1666666666666519E-3</v>
      </c>
      <c r="AH61" s="182">
        <f t="shared" si="33"/>
        <v>-1.0628019323671856E-3</v>
      </c>
      <c r="AI61" s="200">
        <f t="shared" si="34"/>
        <v>-5.7398515931907479E-2</v>
      </c>
      <c r="AJ61" s="166">
        <f t="shared" si="35"/>
        <v>-3.6645863338134133E-2</v>
      </c>
      <c r="AK61" s="166">
        <f t="shared" si="36"/>
        <v>-2.311435523114358E-2</v>
      </c>
      <c r="AL61" s="166">
        <f t="shared" si="37"/>
        <v>-5.6879014989293375E-2</v>
      </c>
      <c r="AM61" s="201">
        <f t="shared" si="38"/>
        <v>-1.6326530612244872E-2</v>
      </c>
      <c r="AN61" s="202">
        <f t="shared" si="39"/>
        <v>-4.5425168497830293E-2</v>
      </c>
    </row>
    <row r="62" spans="1:40">
      <c r="A62" s="27" t="s">
        <v>114</v>
      </c>
      <c r="B62" s="163">
        <v>114000</v>
      </c>
      <c r="C62" s="164">
        <v>136500</v>
      </c>
      <c r="D62" s="164">
        <v>114200</v>
      </c>
      <c r="E62" s="164">
        <v>133000</v>
      </c>
      <c r="F62" s="167">
        <v>497700</v>
      </c>
      <c r="G62" s="163">
        <v>136700</v>
      </c>
      <c r="H62" s="164">
        <v>110900</v>
      </c>
      <c r="I62" s="164">
        <v>158300</v>
      </c>
      <c r="J62" s="164">
        <v>180800</v>
      </c>
      <c r="K62" s="166">
        <f t="shared" si="21"/>
        <v>0.30816430884608831</v>
      </c>
      <c r="L62" s="167">
        <v>586700</v>
      </c>
      <c r="M62" s="62">
        <v>199900</v>
      </c>
      <c r="N62" s="63">
        <v>297800</v>
      </c>
      <c r="O62" s="63">
        <v>86100</v>
      </c>
      <c r="P62" s="63">
        <v>327400</v>
      </c>
      <c r="Q62" s="168">
        <v>84300</v>
      </c>
      <c r="R62" s="62">
        <v>260500</v>
      </c>
      <c r="S62" s="63">
        <v>326200</v>
      </c>
      <c r="T62" s="63">
        <v>90700</v>
      </c>
      <c r="U62" s="63">
        <v>406600</v>
      </c>
      <c r="V62" s="64">
        <v>89400</v>
      </c>
      <c r="W62" s="169">
        <f t="shared" si="22"/>
        <v>460400</v>
      </c>
      <c r="X62" s="170">
        <f t="shared" si="23"/>
        <v>624000</v>
      </c>
      <c r="Y62" s="170">
        <f t="shared" si="24"/>
        <v>176800</v>
      </c>
      <c r="Z62" s="170">
        <f t="shared" si="25"/>
        <v>734000</v>
      </c>
      <c r="AA62" s="171">
        <f t="shared" si="26"/>
        <v>173700</v>
      </c>
      <c r="AB62" s="172">
        <f t="shared" si="27"/>
        <v>1084400</v>
      </c>
      <c r="AC62" s="179">
        <f t="shared" si="28"/>
        <v>6.5987497105811421E-2</v>
      </c>
      <c r="AD62" s="180">
        <f t="shared" si="29"/>
        <v>3.6544850498338777E-2</v>
      </c>
      <c r="AE62" s="180">
        <f t="shared" si="30"/>
        <v>0.10087173100871727</v>
      </c>
      <c r="AF62" s="180">
        <f t="shared" si="31"/>
        <v>4.1577976443876841E-2</v>
      </c>
      <c r="AG62" s="181">
        <f t="shared" si="32"/>
        <v>2.9638411381149865E-2</v>
      </c>
      <c r="AH62" s="182">
        <f t="shared" si="33"/>
        <v>4.8844182222652188E-2</v>
      </c>
      <c r="AI62" s="200">
        <f t="shared" si="34"/>
        <v>3.5304699797616301E-2</v>
      </c>
      <c r="AJ62" s="166">
        <f t="shared" si="35"/>
        <v>1.7612524461839474E-2</v>
      </c>
      <c r="AK62" s="166">
        <f t="shared" si="36"/>
        <v>0.11545741324921144</v>
      </c>
      <c r="AL62" s="166">
        <f t="shared" si="37"/>
        <v>6.4445358563005595E-3</v>
      </c>
      <c r="AM62" s="201">
        <f t="shared" si="38"/>
        <v>2.1164021164021163E-2</v>
      </c>
      <c r="AN62" s="202">
        <f t="shared" si="39"/>
        <v>2.5049626618772969E-2</v>
      </c>
    </row>
    <row r="63" spans="1:40">
      <c r="A63" s="27" t="s">
        <v>115</v>
      </c>
      <c r="B63" s="163">
        <v>106700</v>
      </c>
      <c r="C63" s="164">
        <v>136200</v>
      </c>
      <c r="D63" s="164">
        <v>116700</v>
      </c>
      <c r="E63" s="164">
        <v>137200</v>
      </c>
      <c r="F63" s="167">
        <v>496800</v>
      </c>
      <c r="G63" s="163">
        <v>139900</v>
      </c>
      <c r="H63" s="164">
        <v>119800</v>
      </c>
      <c r="I63" s="164">
        <v>180600</v>
      </c>
      <c r="J63" s="164">
        <v>201800</v>
      </c>
      <c r="K63" s="166">
        <f t="shared" si="21"/>
        <v>0.31428126460052952</v>
      </c>
      <c r="L63" s="167">
        <v>642100</v>
      </c>
      <c r="M63" s="62">
        <v>199500</v>
      </c>
      <c r="N63" s="63">
        <v>297300</v>
      </c>
      <c r="O63" s="63">
        <v>85300</v>
      </c>
      <c r="P63" s="63">
        <v>325900</v>
      </c>
      <c r="Q63" s="168">
        <v>85600</v>
      </c>
      <c r="R63" s="62">
        <v>291000</v>
      </c>
      <c r="S63" s="63">
        <v>351100</v>
      </c>
      <c r="T63" s="63">
        <v>104500</v>
      </c>
      <c r="U63" s="63">
        <v>442800</v>
      </c>
      <c r="V63" s="64">
        <v>94800</v>
      </c>
      <c r="W63" s="169">
        <f t="shared" si="22"/>
        <v>490500</v>
      </c>
      <c r="X63" s="170">
        <f t="shared" si="23"/>
        <v>648400</v>
      </c>
      <c r="Y63" s="170">
        <f t="shared" si="24"/>
        <v>189800</v>
      </c>
      <c r="Z63" s="170">
        <f t="shared" si="25"/>
        <v>768700</v>
      </c>
      <c r="AA63" s="171">
        <f t="shared" si="26"/>
        <v>180400</v>
      </c>
      <c r="AB63" s="172">
        <f t="shared" si="27"/>
        <v>1138900</v>
      </c>
      <c r="AC63" s="179">
        <f t="shared" si="28"/>
        <v>6.5377932232840941E-2</v>
      </c>
      <c r="AD63" s="180">
        <f t="shared" si="29"/>
        <v>3.9102564102564186E-2</v>
      </c>
      <c r="AE63" s="180">
        <f t="shared" si="30"/>
        <v>7.3529411764705843E-2</v>
      </c>
      <c r="AF63" s="180">
        <f t="shared" si="31"/>
        <v>4.7275204359672918E-2</v>
      </c>
      <c r="AG63" s="181">
        <f t="shared" si="32"/>
        <v>3.8572251007484182E-2</v>
      </c>
      <c r="AH63" s="182">
        <f t="shared" si="33"/>
        <v>5.0258207303577995E-2</v>
      </c>
      <c r="AI63" s="200">
        <f t="shared" si="34"/>
        <v>0.13384188626907068</v>
      </c>
      <c r="AJ63" s="166">
        <f t="shared" si="35"/>
        <v>6.9261213720316572E-2</v>
      </c>
      <c r="AK63" s="166">
        <f t="shared" si="36"/>
        <v>0.22136422136422129</v>
      </c>
      <c r="AL63" s="166">
        <f t="shared" si="37"/>
        <v>7.480425055928408E-2</v>
      </c>
      <c r="AM63" s="201">
        <f t="shared" si="38"/>
        <v>7.0623145400593446E-2</v>
      </c>
      <c r="AN63" s="202">
        <f t="shared" si="39"/>
        <v>9.6150144369586243E-2</v>
      </c>
    </row>
    <row r="64" spans="1:40">
      <c r="A64" s="60" t="s">
        <v>116</v>
      </c>
      <c r="B64" s="183">
        <v>110200</v>
      </c>
      <c r="C64" s="184">
        <v>139000</v>
      </c>
      <c r="D64" s="184">
        <v>118500</v>
      </c>
      <c r="E64" s="184">
        <v>142800</v>
      </c>
      <c r="F64" s="185">
        <v>510500</v>
      </c>
      <c r="G64" s="183">
        <v>148800</v>
      </c>
      <c r="H64" s="184">
        <v>122600</v>
      </c>
      <c r="I64" s="184">
        <v>189600</v>
      </c>
      <c r="J64" s="184">
        <v>211200</v>
      </c>
      <c r="K64" s="186">
        <f t="shared" si="21"/>
        <v>0.31423895253682488</v>
      </c>
      <c r="L64" s="185">
        <v>672100</v>
      </c>
      <c r="M64" s="66">
        <v>205100</v>
      </c>
      <c r="N64" s="67">
        <v>305400</v>
      </c>
      <c r="O64" s="67">
        <v>87200</v>
      </c>
      <c r="P64" s="67">
        <v>334400</v>
      </c>
      <c r="Q64" s="187">
        <v>88900</v>
      </c>
      <c r="R64" s="66">
        <v>306700</v>
      </c>
      <c r="S64" s="67">
        <v>365400</v>
      </c>
      <c r="T64" s="67">
        <v>108000</v>
      </c>
      <c r="U64" s="67">
        <v>465300</v>
      </c>
      <c r="V64" s="68">
        <v>98800</v>
      </c>
      <c r="W64" s="188">
        <f t="shared" si="22"/>
        <v>511800</v>
      </c>
      <c r="X64" s="189">
        <f t="shared" si="23"/>
        <v>670800</v>
      </c>
      <c r="Y64" s="189">
        <f t="shared" si="24"/>
        <v>195200</v>
      </c>
      <c r="Z64" s="189">
        <f t="shared" si="25"/>
        <v>799700</v>
      </c>
      <c r="AA64" s="190">
        <f t="shared" si="26"/>
        <v>187700</v>
      </c>
      <c r="AB64" s="191">
        <f t="shared" si="27"/>
        <v>1182600</v>
      </c>
      <c r="AC64" s="192">
        <f t="shared" si="28"/>
        <v>4.3425076452599409E-2</v>
      </c>
      <c r="AD64" s="193">
        <f t="shared" si="29"/>
        <v>3.4546576187538536E-2</v>
      </c>
      <c r="AE64" s="193">
        <f t="shared" si="30"/>
        <v>2.8451001053740876E-2</v>
      </c>
      <c r="AF64" s="193">
        <f t="shared" si="31"/>
        <v>4.0327826200078132E-2</v>
      </c>
      <c r="AG64" s="194">
        <f t="shared" si="32"/>
        <v>4.0465631929046619E-2</v>
      </c>
      <c r="AH64" s="195">
        <f t="shared" si="33"/>
        <v>3.8370357362367269E-2</v>
      </c>
      <c r="AI64" s="203">
        <f t="shared" si="34"/>
        <v>0.1839000693962527</v>
      </c>
      <c r="AJ64" s="186">
        <f t="shared" si="35"/>
        <v>0.11299153807864615</v>
      </c>
      <c r="AK64" s="186">
        <f t="shared" si="36"/>
        <v>0.23779327837666453</v>
      </c>
      <c r="AL64" s="186">
        <f t="shared" si="37"/>
        <v>0.12744959819540402</v>
      </c>
      <c r="AM64" s="204">
        <f t="shared" si="38"/>
        <v>0.11726190476190479</v>
      </c>
      <c r="AN64" s="205">
        <f t="shared" si="39"/>
        <v>0.14260869565217393</v>
      </c>
    </row>
    <row r="65" spans="1:40">
      <c r="A65" s="27" t="s">
        <v>117</v>
      </c>
      <c r="B65" s="163">
        <v>110000</v>
      </c>
      <c r="C65" s="164">
        <v>141800</v>
      </c>
      <c r="D65" s="164">
        <v>118200</v>
      </c>
      <c r="E65" s="164">
        <v>145800</v>
      </c>
      <c r="F65" s="167">
        <v>515800</v>
      </c>
      <c r="G65" s="163">
        <v>150400</v>
      </c>
      <c r="H65" s="164">
        <v>127300</v>
      </c>
      <c r="I65" s="164">
        <v>195900</v>
      </c>
      <c r="J65" s="164">
        <v>226900</v>
      </c>
      <c r="K65" s="166">
        <f t="shared" si="21"/>
        <v>0.32391149179157747</v>
      </c>
      <c r="L65" s="167">
        <v>700500</v>
      </c>
      <c r="M65" s="62">
        <v>207800</v>
      </c>
      <c r="N65" s="63">
        <v>307900</v>
      </c>
      <c r="O65" s="63">
        <v>85500</v>
      </c>
      <c r="P65" s="63">
        <v>338500</v>
      </c>
      <c r="Q65" s="168">
        <v>91800</v>
      </c>
      <c r="R65" s="62">
        <v>322400</v>
      </c>
      <c r="S65" s="63">
        <v>378100</v>
      </c>
      <c r="T65" s="63">
        <v>111900</v>
      </c>
      <c r="U65" s="63">
        <v>485100</v>
      </c>
      <c r="V65" s="64">
        <v>103500</v>
      </c>
      <c r="W65" s="169">
        <f t="shared" si="22"/>
        <v>530200</v>
      </c>
      <c r="X65" s="170">
        <f t="shared" si="23"/>
        <v>686000</v>
      </c>
      <c r="Y65" s="170">
        <f t="shared" si="24"/>
        <v>197400</v>
      </c>
      <c r="Z65" s="170">
        <f t="shared" si="25"/>
        <v>823600</v>
      </c>
      <c r="AA65" s="171">
        <f t="shared" si="26"/>
        <v>195300</v>
      </c>
      <c r="AB65" s="172">
        <f t="shared" si="27"/>
        <v>1216300</v>
      </c>
      <c r="AC65" s="179">
        <f t="shared" si="28"/>
        <v>3.5951543571707711E-2</v>
      </c>
      <c r="AD65" s="180">
        <f t="shared" si="29"/>
        <v>2.2659511031604129E-2</v>
      </c>
      <c r="AE65" s="180">
        <f t="shared" si="30"/>
        <v>1.1270491803278659E-2</v>
      </c>
      <c r="AF65" s="180">
        <f t="shared" si="31"/>
        <v>2.9886207327747938E-2</v>
      </c>
      <c r="AG65" s="181">
        <f t="shared" si="32"/>
        <v>4.0490143846563686E-2</v>
      </c>
      <c r="AH65" s="182">
        <f t="shared" si="33"/>
        <v>2.8496533062743135E-2</v>
      </c>
      <c r="AI65" s="200">
        <f t="shared" si="34"/>
        <v>0.22759898124565869</v>
      </c>
      <c r="AJ65" s="166">
        <f t="shared" si="35"/>
        <v>0.13953488372093026</v>
      </c>
      <c r="AK65" s="166">
        <f t="shared" si="36"/>
        <v>0.22914072229140725</v>
      </c>
      <c r="AL65" s="166">
        <f t="shared" si="37"/>
        <v>0.16872427983539096</v>
      </c>
      <c r="AM65" s="201">
        <f t="shared" si="38"/>
        <v>0.15767634854771795</v>
      </c>
      <c r="AN65" s="202">
        <f t="shared" si="39"/>
        <v>0.17641938291904435</v>
      </c>
    </row>
    <row r="66" spans="1:40">
      <c r="A66" s="27" t="s">
        <v>118</v>
      </c>
      <c r="B66" s="163">
        <v>112400</v>
      </c>
      <c r="C66" s="164">
        <v>142400</v>
      </c>
      <c r="D66" s="164">
        <v>120400</v>
      </c>
      <c r="E66" s="164">
        <v>146300</v>
      </c>
      <c r="F66" s="167">
        <v>521500</v>
      </c>
      <c r="G66" s="163">
        <v>150700</v>
      </c>
      <c r="H66" s="164">
        <v>130000</v>
      </c>
      <c r="I66" s="164">
        <v>208800</v>
      </c>
      <c r="J66" s="164">
        <v>239200</v>
      </c>
      <c r="K66" s="166">
        <f t="shared" si="21"/>
        <v>0.32825579799643201</v>
      </c>
      <c r="L66" s="167">
        <v>728700</v>
      </c>
      <c r="M66" s="62">
        <v>210800</v>
      </c>
      <c r="N66" s="63">
        <v>310700</v>
      </c>
      <c r="O66" s="63">
        <v>85500</v>
      </c>
      <c r="P66" s="63">
        <v>341900</v>
      </c>
      <c r="Q66" s="168">
        <v>94100</v>
      </c>
      <c r="R66" s="62">
        <v>342000</v>
      </c>
      <c r="S66" s="63">
        <v>386700</v>
      </c>
      <c r="T66" s="63">
        <v>114900</v>
      </c>
      <c r="U66" s="63">
        <v>505900</v>
      </c>
      <c r="V66" s="64">
        <v>107900</v>
      </c>
      <c r="W66" s="169">
        <f t="shared" si="22"/>
        <v>552800</v>
      </c>
      <c r="X66" s="170">
        <f t="shared" si="23"/>
        <v>697400</v>
      </c>
      <c r="Y66" s="170">
        <f t="shared" si="24"/>
        <v>200400</v>
      </c>
      <c r="Z66" s="170">
        <f t="shared" si="25"/>
        <v>847800</v>
      </c>
      <c r="AA66" s="171">
        <f t="shared" si="26"/>
        <v>202000</v>
      </c>
      <c r="AB66" s="172">
        <f t="shared" si="27"/>
        <v>1250200</v>
      </c>
      <c r="AC66" s="179">
        <f t="shared" si="28"/>
        <v>4.2625424368162967E-2</v>
      </c>
      <c r="AD66" s="180">
        <f t="shared" si="29"/>
        <v>1.6618075801749344E-2</v>
      </c>
      <c r="AE66" s="180">
        <f t="shared" si="30"/>
        <v>1.5197568389057725E-2</v>
      </c>
      <c r="AF66" s="180">
        <f t="shared" si="31"/>
        <v>2.9383195726080613E-2</v>
      </c>
      <c r="AG66" s="181">
        <f t="shared" si="32"/>
        <v>3.4306195596518263E-2</v>
      </c>
      <c r="AH66" s="182">
        <f t="shared" si="33"/>
        <v>2.7871413302639203E-2</v>
      </c>
      <c r="AI66" s="200">
        <f t="shared" si="34"/>
        <v>0.20069504778453529</v>
      </c>
      <c r="AJ66" s="166">
        <f t="shared" si="35"/>
        <v>0.11762820512820515</v>
      </c>
      <c r="AK66" s="166">
        <f t="shared" si="36"/>
        <v>0.13348416289592757</v>
      </c>
      <c r="AL66" s="166">
        <f t="shared" si="37"/>
        <v>0.15504087193460481</v>
      </c>
      <c r="AM66" s="201">
        <f t="shared" si="38"/>
        <v>0.1629245826137018</v>
      </c>
      <c r="AN66" s="202">
        <f t="shared" si="39"/>
        <v>0.15289561047583922</v>
      </c>
    </row>
    <row r="67" spans="1:40">
      <c r="A67" s="27" t="s">
        <v>119</v>
      </c>
      <c r="B67" s="163">
        <v>115200</v>
      </c>
      <c r="C67" s="164">
        <v>141400</v>
      </c>
      <c r="D67" s="164">
        <v>126400</v>
      </c>
      <c r="E67" s="164">
        <v>145600</v>
      </c>
      <c r="F67" s="167">
        <v>528500</v>
      </c>
      <c r="G67" s="163">
        <v>156900</v>
      </c>
      <c r="H67" s="164">
        <v>132800</v>
      </c>
      <c r="I67" s="164">
        <v>213800</v>
      </c>
      <c r="J67" s="164">
        <v>253900</v>
      </c>
      <c r="K67" s="166">
        <f t="shared" si="21"/>
        <v>0.33527003829393898</v>
      </c>
      <c r="L67" s="167">
        <v>757300</v>
      </c>
      <c r="M67" s="62">
        <v>214000</v>
      </c>
      <c r="N67" s="63">
        <v>314600</v>
      </c>
      <c r="O67" s="63">
        <v>86200</v>
      </c>
      <c r="P67" s="63">
        <v>345500</v>
      </c>
      <c r="Q67" s="168">
        <v>96800</v>
      </c>
      <c r="R67" s="62">
        <v>358200</v>
      </c>
      <c r="S67" s="63">
        <v>399100</v>
      </c>
      <c r="T67" s="63">
        <v>118900</v>
      </c>
      <c r="U67" s="63">
        <v>525800</v>
      </c>
      <c r="V67" s="64">
        <v>112700</v>
      </c>
      <c r="W67" s="169">
        <f t="shared" si="22"/>
        <v>572200</v>
      </c>
      <c r="X67" s="170">
        <f t="shared" si="23"/>
        <v>713700</v>
      </c>
      <c r="Y67" s="170">
        <f t="shared" si="24"/>
        <v>205100</v>
      </c>
      <c r="Z67" s="170">
        <f t="shared" si="25"/>
        <v>871300</v>
      </c>
      <c r="AA67" s="171">
        <f t="shared" si="26"/>
        <v>209500</v>
      </c>
      <c r="AB67" s="172">
        <f t="shared" si="27"/>
        <v>1285800</v>
      </c>
      <c r="AC67" s="179">
        <f t="shared" si="28"/>
        <v>3.5094066570188209E-2</v>
      </c>
      <c r="AD67" s="180">
        <f t="shared" si="29"/>
        <v>2.3372526527100757E-2</v>
      </c>
      <c r="AE67" s="180">
        <f t="shared" si="30"/>
        <v>2.3453093812375148E-2</v>
      </c>
      <c r="AF67" s="180">
        <f t="shared" si="31"/>
        <v>2.7718801604151855E-2</v>
      </c>
      <c r="AG67" s="181">
        <f t="shared" si="32"/>
        <v>3.7128712871287162E-2</v>
      </c>
      <c r="AH67" s="182">
        <f t="shared" si="33"/>
        <v>2.8475443928971389E-2</v>
      </c>
      <c r="AI67" s="200">
        <f t="shared" si="34"/>
        <v>0.16656472986748216</v>
      </c>
      <c r="AJ67" s="166">
        <f t="shared" si="35"/>
        <v>0.10070943861813686</v>
      </c>
      <c r="AK67" s="166">
        <f t="shared" si="36"/>
        <v>8.0611169652265557E-2</v>
      </c>
      <c r="AL67" s="166">
        <f t="shared" si="37"/>
        <v>0.13347209574606489</v>
      </c>
      <c r="AM67" s="201">
        <f t="shared" si="38"/>
        <v>0.16130820399113088</v>
      </c>
      <c r="AN67" s="202">
        <f t="shared" si="39"/>
        <v>0.1289841074721223</v>
      </c>
    </row>
    <row r="68" spans="1:40" s="12" customFormat="1">
      <c r="A68" s="60" t="s">
        <v>120</v>
      </c>
      <c r="B68" s="183">
        <v>114300</v>
      </c>
      <c r="C68" s="184">
        <v>143700</v>
      </c>
      <c r="D68" s="184">
        <v>125200</v>
      </c>
      <c r="E68" s="184">
        <v>149800</v>
      </c>
      <c r="F68" s="185">
        <v>533100</v>
      </c>
      <c r="G68" s="183">
        <v>158900</v>
      </c>
      <c r="H68" s="184">
        <v>132900</v>
      </c>
      <c r="I68" s="184">
        <v>230900</v>
      </c>
      <c r="J68" s="184">
        <v>261000</v>
      </c>
      <c r="K68" s="186">
        <f t="shared" si="21"/>
        <v>0.33303560035727958</v>
      </c>
      <c r="L68" s="185">
        <v>783700</v>
      </c>
      <c r="M68" s="66">
        <v>214700</v>
      </c>
      <c r="N68" s="67">
        <v>318300</v>
      </c>
      <c r="O68" s="67">
        <v>84200</v>
      </c>
      <c r="P68" s="67">
        <v>348400</v>
      </c>
      <c r="Q68" s="187">
        <v>100400</v>
      </c>
      <c r="R68" s="66">
        <v>372600</v>
      </c>
      <c r="S68" s="67">
        <v>411100</v>
      </c>
      <c r="T68" s="67">
        <v>121400</v>
      </c>
      <c r="U68" s="67">
        <v>544300</v>
      </c>
      <c r="V68" s="68">
        <v>117900</v>
      </c>
      <c r="W68" s="188">
        <f t="shared" si="22"/>
        <v>587300</v>
      </c>
      <c r="X68" s="189">
        <f t="shared" si="23"/>
        <v>729400</v>
      </c>
      <c r="Y68" s="189">
        <f t="shared" si="24"/>
        <v>205600</v>
      </c>
      <c r="Z68" s="189">
        <f t="shared" si="25"/>
        <v>892700</v>
      </c>
      <c r="AA68" s="190">
        <f t="shared" si="26"/>
        <v>218300</v>
      </c>
      <c r="AB68" s="191">
        <f t="shared" si="27"/>
        <v>1316800</v>
      </c>
      <c r="AC68" s="192">
        <f t="shared" si="28"/>
        <v>2.6389374344634842E-2</v>
      </c>
      <c r="AD68" s="193">
        <f t="shared" si="29"/>
        <v>2.1998038391481067E-2</v>
      </c>
      <c r="AE68" s="193">
        <f t="shared" si="30"/>
        <v>2.4378352023404215E-3</v>
      </c>
      <c r="AF68" s="193">
        <f t="shared" si="31"/>
        <v>2.4561000803397182E-2</v>
      </c>
      <c r="AG68" s="194">
        <f t="shared" si="32"/>
        <v>4.2004773269689766E-2</v>
      </c>
      <c r="AH68" s="195">
        <f t="shared" si="33"/>
        <v>2.4109503810856969E-2</v>
      </c>
      <c r="AI68" s="203">
        <f t="shared" si="34"/>
        <v>0.14751856193825708</v>
      </c>
      <c r="AJ68" s="186">
        <f t="shared" si="35"/>
        <v>8.735837805605251E-2</v>
      </c>
      <c r="AK68" s="186">
        <f t="shared" si="36"/>
        <v>5.3278688524590168E-2</v>
      </c>
      <c r="AL68" s="186">
        <f t="shared" si="37"/>
        <v>0.11629361010378902</v>
      </c>
      <c r="AM68" s="204">
        <f t="shared" si="38"/>
        <v>0.16302610548747998</v>
      </c>
      <c r="AN68" s="205">
        <f t="shared" si="39"/>
        <v>0.11347877557923214</v>
      </c>
    </row>
    <row r="69" spans="1:40">
      <c r="A69" s="27" t="s">
        <v>121</v>
      </c>
      <c r="B69" s="163">
        <v>114100</v>
      </c>
      <c r="C69" s="164">
        <v>145400</v>
      </c>
      <c r="D69" s="164">
        <v>125800</v>
      </c>
      <c r="E69" s="164">
        <v>154200</v>
      </c>
      <c r="F69" s="167">
        <v>539500</v>
      </c>
      <c r="G69" s="163">
        <v>162700</v>
      </c>
      <c r="H69" s="164">
        <v>137400</v>
      </c>
      <c r="I69" s="164">
        <v>231200</v>
      </c>
      <c r="J69" s="164">
        <v>277800</v>
      </c>
      <c r="K69" s="166">
        <f t="shared" si="21"/>
        <v>0.3433868974042027</v>
      </c>
      <c r="L69" s="167">
        <v>809000</v>
      </c>
      <c r="M69" s="62">
        <v>216300</v>
      </c>
      <c r="N69" s="63">
        <v>323200</v>
      </c>
      <c r="O69" s="63">
        <v>85200</v>
      </c>
      <c r="P69" s="63">
        <v>350700</v>
      </c>
      <c r="Q69" s="168">
        <v>103700</v>
      </c>
      <c r="R69" s="62">
        <v>387600</v>
      </c>
      <c r="S69" s="63">
        <v>421400</v>
      </c>
      <c r="T69" s="63">
        <v>123600</v>
      </c>
      <c r="U69" s="63">
        <v>561100</v>
      </c>
      <c r="V69" s="64">
        <v>124300</v>
      </c>
      <c r="W69" s="169">
        <f t="shared" si="22"/>
        <v>603900</v>
      </c>
      <c r="X69" s="170">
        <f t="shared" si="23"/>
        <v>744600</v>
      </c>
      <c r="Y69" s="170">
        <f t="shared" si="24"/>
        <v>208800</v>
      </c>
      <c r="Z69" s="170">
        <f t="shared" si="25"/>
        <v>911800</v>
      </c>
      <c r="AA69" s="171">
        <f t="shared" si="26"/>
        <v>228000</v>
      </c>
      <c r="AB69" s="172">
        <f t="shared" si="27"/>
        <v>1348500</v>
      </c>
      <c r="AC69" s="179">
        <f t="shared" si="28"/>
        <v>2.8264941256598064E-2</v>
      </c>
      <c r="AD69" s="180">
        <f t="shared" si="29"/>
        <v>2.0839045791061217E-2</v>
      </c>
      <c r="AE69" s="180">
        <f t="shared" si="30"/>
        <v>1.5564202334630295E-2</v>
      </c>
      <c r="AF69" s="180">
        <f t="shared" si="31"/>
        <v>2.1395765654755206E-2</v>
      </c>
      <c r="AG69" s="181">
        <f t="shared" si="32"/>
        <v>4.4434264773247856E-2</v>
      </c>
      <c r="AH69" s="182">
        <f t="shared" si="33"/>
        <v>2.4073511543134973E-2</v>
      </c>
      <c r="AI69" s="200">
        <f t="shared" si="34"/>
        <v>0.13900414937759331</v>
      </c>
      <c r="AJ69" s="166">
        <f t="shared" si="35"/>
        <v>8.5422740524781382E-2</v>
      </c>
      <c r="AK69" s="166">
        <f t="shared" si="36"/>
        <v>5.7750759878419489E-2</v>
      </c>
      <c r="AL69" s="166">
        <f t="shared" si="37"/>
        <v>0.10709082078678978</v>
      </c>
      <c r="AM69" s="201">
        <f t="shared" si="38"/>
        <v>0.16743471582181257</v>
      </c>
      <c r="AN69" s="202">
        <f t="shared" si="39"/>
        <v>0.10869029022445131</v>
      </c>
    </row>
    <row r="70" spans="1:40">
      <c r="A70" s="27" t="s">
        <v>122</v>
      </c>
      <c r="B70" s="163">
        <v>118500</v>
      </c>
      <c r="C70" s="164">
        <v>148000</v>
      </c>
      <c r="D70" s="164">
        <v>127800</v>
      </c>
      <c r="E70" s="164">
        <v>154800</v>
      </c>
      <c r="F70" s="167">
        <v>549100</v>
      </c>
      <c r="G70" s="163">
        <v>167500</v>
      </c>
      <c r="H70" s="164">
        <v>139200</v>
      </c>
      <c r="I70" s="164">
        <v>235500</v>
      </c>
      <c r="J70" s="164">
        <v>286800</v>
      </c>
      <c r="K70" s="166">
        <f t="shared" si="21"/>
        <v>0.34595898673100123</v>
      </c>
      <c r="L70" s="167">
        <v>829000</v>
      </c>
      <c r="M70" s="62">
        <v>219200</v>
      </c>
      <c r="N70" s="63">
        <v>329900</v>
      </c>
      <c r="O70" s="63">
        <v>86500</v>
      </c>
      <c r="P70" s="63">
        <v>354700</v>
      </c>
      <c r="Q70" s="168">
        <v>107900</v>
      </c>
      <c r="R70" s="62">
        <v>395400</v>
      </c>
      <c r="S70" s="63">
        <v>433600</v>
      </c>
      <c r="T70" s="63">
        <v>125200</v>
      </c>
      <c r="U70" s="63">
        <v>574100</v>
      </c>
      <c r="V70" s="64">
        <v>129600</v>
      </c>
      <c r="W70" s="169">
        <f t="shared" si="22"/>
        <v>614600</v>
      </c>
      <c r="X70" s="170">
        <f t="shared" si="23"/>
        <v>763500</v>
      </c>
      <c r="Y70" s="170">
        <f t="shared" si="24"/>
        <v>211700</v>
      </c>
      <c r="Z70" s="170">
        <f t="shared" si="25"/>
        <v>928800</v>
      </c>
      <c r="AA70" s="171">
        <f t="shared" si="26"/>
        <v>237500</v>
      </c>
      <c r="AB70" s="172">
        <f t="shared" si="27"/>
        <v>1378100</v>
      </c>
      <c r="AC70" s="179">
        <f t="shared" si="28"/>
        <v>1.7718165259148932E-2</v>
      </c>
      <c r="AD70" s="180">
        <f t="shared" si="29"/>
        <v>2.5382755842062954E-2</v>
      </c>
      <c r="AE70" s="180">
        <f t="shared" si="30"/>
        <v>1.388888888888884E-2</v>
      </c>
      <c r="AF70" s="180">
        <f t="shared" si="31"/>
        <v>1.8644439570081106E-2</v>
      </c>
      <c r="AG70" s="181">
        <f t="shared" si="32"/>
        <v>4.1666666666666741E-2</v>
      </c>
      <c r="AH70" s="182">
        <f t="shared" si="33"/>
        <v>2.1950315164998235E-2</v>
      </c>
      <c r="AI70" s="200">
        <f t="shared" si="34"/>
        <v>0.11179450072358899</v>
      </c>
      <c r="AJ70" s="166">
        <f t="shared" si="35"/>
        <v>9.4780613708058459E-2</v>
      </c>
      <c r="AK70" s="166">
        <f t="shared" si="36"/>
        <v>5.6387225548902187E-2</v>
      </c>
      <c r="AL70" s="166">
        <f t="shared" si="37"/>
        <v>9.5541401273885329E-2</v>
      </c>
      <c r="AM70" s="201">
        <f t="shared" si="38"/>
        <v>0.17574257425742568</v>
      </c>
      <c r="AN70" s="202">
        <f t="shared" si="39"/>
        <v>0.10230363141897292</v>
      </c>
    </row>
    <row r="71" spans="1:40">
      <c r="A71" s="27" t="s">
        <v>123</v>
      </c>
      <c r="B71" s="163">
        <v>120400</v>
      </c>
      <c r="C71" s="164">
        <v>149400</v>
      </c>
      <c r="D71" s="164">
        <v>129900</v>
      </c>
      <c r="E71" s="164">
        <v>154300</v>
      </c>
      <c r="F71" s="167">
        <v>554000</v>
      </c>
      <c r="G71" s="163">
        <v>172800</v>
      </c>
      <c r="H71" s="164">
        <v>141700</v>
      </c>
      <c r="I71" s="164">
        <v>234700</v>
      </c>
      <c r="J71" s="164">
        <v>281300</v>
      </c>
      <c r="K71" s="166">
        <f t="shared" si="21"/>
        <v>0.3387116195063215</v>
      </c>
      <c r="L71" s="167">
        <v>830500</v>
      </c>
      <c r="M71" s="62">
        <v>221500</v>
      </c>
      <c r="N71" s="63">
        <v>332500</v>
      </c>
      <c r="O71" s="63">
        <v>86000</v>
      </c>
      <c r="P71" s="63">
        <v>356400</v>
      </c>
      <c r="Q71" s="168">
        <v>111500</v>
      </c>
      <c r="R71" s="62">
        <v>392100</v>
      </c>
      <c r="S71" s="63">
        <v>438400</v>
      </c>
      <c r="T71" s="63">
        <v>124600</v>
      </c>
      <c r="U71" s="63">
        <v>572700</v>
      </c>
      <c r="V71" s="64">
        <v>133200</v>
      </c>
      <c r="W71" s="169">
        <f t="shared" si="22"/>
        <v>613600</v>
      </c>
      <c r="X71" s="170">
        <f t="shared" si="23"/>
        <v>770900</v>
      </c>
      <c r="Y71" s="170">
        <f t="shared" si="24"/>
        <v>210600</v>
      </c>
      <c r="Z71" s="170">
        <f t="shared" si="25"/>
        <v>929100</v>
      </c>
      <c r="AA71" s="171">
        <f t="shared" si="26"/>
        <v>244700</v>
      </c>
      <c r="AB71" s="172">
        <f t="shared" si="27"/>
        <v>1384500</v>
      </c>
      <c r="AC71" s="179">
        <f t="shared" si="28"/>
        <v>-1.6270745200129832E-3</v>
      </c>
      <c r="AD71" s="180">
        <f t="shared" si="29"/>
        <v>9.6922069417157974E-3</v>
      </c>
      <c r="AE71" s="180">
        <f t="shared" si="30"/>
        <v>-5.1960321209257865E-3</v>
      </c>
      <c r="AF71" s="180">
        <f t="shared" si="31"/>
        <v>3.2299741602059839E-4</v>
      </c>
      <c r="AG71" s="181">
        <f t="shared" si="32"/>
        <v>3.0315789473684296E-2</v>
      </c>
      <c r="AH71" s="182">
        <f t="shared" si="33"/>
        <v>4.6440751759668775E-3</v>
      </c>
      <c r="AI71" s="200">
        <f t="shared" si="34"/>
        <v>7.2352324362111142E-2</v>
      </c>
      <c r="AJ71" s="166">
        <f t="shared" si="35"/>
        <v>8.0145719489981726E-2</v>
      </c>
      <c r="AK71" s="166">
        <f t="shared" si="36"/>
        <v>2.6816187225743526E-2</v>
      </c>
      <c r="AL71" s="166">
        <f t="shared" si="37"/>
        <v>6.6337656375530907E-2</v>
      </c>
      <c r="AM71" s="201">
        <f t="shared" si="38"/>
        <v>0.16801909307875884</v>
      </c>
      <c r="AN71" s="202">
        <f t="shared" si="39"/>
        <v>7.6761549230051296E-2</v>
      </c>
    </row>
    <row r="72" spans="1:40">
      <c r="A72" s="60" t="s">
        <v>124</v>
      </c>
      <c r="B72" s="183">
        <v>122900</v>
      </c>
      <c r="C72" s="184">
        <v>148800</v>
      </c>
      <c r="D72" s="184">
        <v>131600</v>
      </c>
      <c r="E72" s="184">
        <v>153700</v>
      </c>
      <c r="F72" s="185">
        <v>557100</v>
      </c>
      <c r="G72" s="183">
        <v>174200</v>
      </c>
      <c r="H72" s="184">
        <v>141200</v>
      </c>
      <c r="I72" s="184">
        <v>234300</v>
      </c>
      <c r="J72" s="184">
        <v>289700</v>
      </c>
      <c r="K72" s="186">
        <f t="shared" si="21"/>
        <v>0.34512747200381227</v>
      </c>
      <c r="L72" s="185">
        <v>839400</v>
      </c>
      <c r="M72" s="66">
        <v>220400</v>
      </c>
      <c r="N72" s="67">
        <v>336700</v>
      </c>
      <c r="O72" s="67">
        <v>85600</v>
      </c>
      <c r="P72" s="67">
        <v>356400</v>
      </c>
      <c r="Q72" s="187">
        <v>115000</v>
      </c>
      <c r="R72" s="66">
        <v>395500</v>
      </c>
      <c r="S72" s="67">
        <v>443900</v>
      </c>
      <c r="T72" s="67">
        <v>124000</v>
      </c>
      <c r="U72" s="67">
        <v>578800</v>
      </c>
      <c r="V72" s="68">
        <v>136700</v>
      </c>
      <c r="W72" s="188">
        <f t="shared" si="22"/>
        <v>615900</v>
      </c>
      <c r="X72" s="189">
        <f t="shared" si="23"/>
        <v>780600</v>
      </c>
      <c r="Y72" s="189">
        <f t="shared" si="24"/>
        <v>209600</v>
      </c>
      <c r="Z72" s="189">
        <f t="shared" si="25"/>
        <v>935200</v>
      </c>
      <c r="AA72" s="190">
        <f t="shared" si="26"/>
        <v>251700</v>
      </c>
      <c r="AB72" s="191">
        <f t="shared" si="27"/>
        <v>1396500</v>
      </c>
      <c r="AC72" s="192">
        <f t="shared" si="28"/>
        <v>3.7483702737939328E-3</v>
      </c>
      <c r="AD72" s="193">
        <f t="shared" si="29"/>
        <v>1.2582695550655165E-2</v>
      </c>
      <c r="AE72" s="193">
        <f t="shared" si="30"/>
        <v>-4.7483380816714105E-3</v>
      </c>
      <c r="AF72" s="193">
        <f t="shared" si="31"/>
        <v>6.5654934883221383E-3</v>
      </c>
      <c r="AG72" s="194">
        <f t="shared" si="32"/>
        <v>2.8606456885982734E-2</v>
      </c>
      <c r="AH72" s="195">
        <f t="shared" si="33"/>
        <v>8.6673889490791467E-3</v>
      </c>
      <c r="AI72" s="203">
        <f t="shared" si="34"/>
        <v>4.8697428911969931E-2</v>
      </c>
      <c r="AJ72" s="186">
        <f t="shared" si="35"/>
        <v>7.0194680559363842E-2</v>
      </c>
      <c r="AK72" s="186">
        <f t="shared" si="36"/>
        <v>1.9455252918287869E-2</v>
      </c>
      <c r="AL72" s="186">
        <f t="shared" si="37"/>
        <v>4.7608379074717044E-2</v>
      </c>
      <c r="AM72" s="204">
        <f t="shared" si="38"/>
        <v>0.15300045808520379</v>
      </c>
      <c r="AN72" s="205">
        <f t="shared" si="39"/>
        <v>6.0525516403402202E-2</v>
      </c>
    </row>
    <row r="73" spans="1:40">
      <c r="A73" s="27" t="s">
        <v>125</v>
      </c>
      <c r="B73" s="163">
        <v>125600</v>
      </c>
      <c r="C73" s="164">
        <v>152300</v>
      </c>
      <c r="D73" s="164">
        <v>134600</v>
      </c>
      <c r="E73" s="164">
        <v>155000</v>
      </c>
      <c r="F73" s="167">
        <v>567500</v>
      </c>
      <c r="G73" s="163">
        <v>178900</v>
      </c>
      <c r="H73" s="164">
        <v>143000</v>
      </c>
      <c r="I73" s="164">
        <v>228800</v>
      </c>
      <c r="J73" s="164">
        <v>295700</v>
      </c>
      <c r="K73" s="166">
        <f t="shared" si="21"/>
        <v>0.34936200378071836</v>
      </c>
      <c r="L73" s="167">
        <v>846400</v>
      </c>
      <c r="M73" s="62">
        <v>226800</v>
      </c>
      <c r="N73" s="63">
        <v>340700</v>
      </c>
      <c r="O73" s="63">
        <v>87300</v>
      </c>
      <c r="P73" s="63">
        <v>361500</v>
      </c>
      <c r="Q73" s="168">
        <v>118700</v>
      </c>
      <c r="R73" s="62">
        <v>396400</v>
      </c>
      <c r="S73" s="63">
        <v>450000</v>
      </c>
      <c r="T73" s="63">
        <v>125100</v>
      </c>
      <c r="U73" s="63">
        <v>581700</v>
      </c>
      <c r="V73" s="64">
        <v>139600</v>
      </c>
      <c r="W73" s="169">
        <f t="shared" si="22"/>
        <v>623200</v>
      </c>
      <c r="X73" s="170">
        <f t="shared" si="23"/>
        <v>790700</v>
      </c>
      <c r="Y73" s="170">
        <f t="shared" si="24"/>
        <v>212400</v>
      </c>
      <c r="Z73" s="170">
        <f t="shared" si="25"/>
        <v>943200</v>
      </c>
      <c r="AA73" s="171">
        <f t="shared" si="26"/>
        <v>258300</v>
      </c>
      <c r="AB73" s="172">
        <f t="shared" si="27"/>
        <v>1413900</v>
      </c>
      <c r="AC73" s="179">
        <f t="shared" si="28"/>
        <v>1.1852573469719019E-2</v>
      </c>
      <c r="AD73" s="180">
        <f t="shared" si="29"/>
        <v>1.2938765052523671E-2</v>
      </c>
      <c r="AE73" s="180">
        <f t="shared" si="30"/>
        <v>1.3358778625954137E-2</v>
      </c>
      <c r="AF73" s="180">
        <f t="shared" si="31"/>
        <v>8.5543199315654128E-3</v>
      </c>
      <c r="AG73" s="181">
        <f t="shared" si="32"/>
        <v>2.6221692491060766E-2</v>
      </c>
      <c r="AH73" s="182">
        <f t="shared" si="33"/>
        <v>1.2459720730397361E-2</v>
      </c>
      <c r="AI73" s="200">
        <f t="shared" si="34"/>
        <v>3.195893359827795E-2</v>
      </c>
      <c r="AJ73" s="166">
        <f t="shared" si="35"/>
        <v>6.1912436207359756E-2</v>
      </c>
      <c r="AK73" s="166">
        <f t="shared" si="36"/>
        <v>1.7241379310344751E-2</v>
      </c>
      <c r="AL73" s="166">
        <f t="shared" si="37"/>
        <v>3.4437376617679316E-2</v>
      </c>
      <c r="AM73" s="201">
        <f t="shared" si="38"/>
        <v>0.13289473684210518</v>
      </c>
      <c r="AN73" s="202">
        <f t="shared" si="39"/>
        <v>4.8498331479421619E-2</v>
      </c>
    </row>
    <row r="74" spans="1:40">
      <c r="A74" s="27" t="s">
        <v>126</v>
      </c>
      <c r="B74" s="163">
        <v>128000</v>
      </c>
      <c r="C74" s="164">
        <v>156900</v>
      </c>
      <c r="D74" s="164">
        <v>135200</v>
      </c>
      <c r="E74" s="164">
        <v>160800</v>
      </c>
      <c r="F74" s="167">
        <v>580800</v>
      </c>
      <c r="G74" s="163">
        <v>180500</v>
      </c>
      <c r="H74" s="164">
        <v>147100</v>
      </c>
      <c r="I74" s="164">
        <v>237800</v>
      </c>
      <c r="J74" s="164">
        <v>293800</v>
      </c>
      <c r="K74" s="166">
        <f t="shared" si="21"/>
        <v>0.34190620272314676</v>
      </c>
      <c r="L74" s="167">
        <v>859300</v>
      </c>
      <c r="M74" s="62">
        <v>231700</v>
      </c>
      <c r="N74" s="63">
        <v>349100</v>
      </c>
      <c r="O74" s="63">
        <v>89100</v>
      </c>
      <c r="P74" s="63">
        <v>368900</v>
      </c>
      <c r="Q74" s="168">
        <v>122800</v>
      </c>
      <c r="R74" s="62">
        <v>401900</v>
      </c>
      <c r="S74" s="63">
        <v>457400</v>
      </c>
      <c r="T74" s="63">
        <v>127700</v>
      </c>
      <c r="U74" s="63">
        <v>588200</v>
      </c>
      <c r="V74" s="64">
        <v>143400</v>
      </c>
      <c r="W74" s="169">
        <f t="shared" si="22"/>
        <v>633600</v>
      </c>
      <c r="X74" s="170">
        <f t="shared" si="23"/>
        <v>806500</v>
      </c>
      <c r="Y74" s="170">
        <f t="shared" si="24"/>
        <v>216800</v>
      </c>
      <c r="Z74" s="170">
        <f t="shared" si="25"/>
        <v>957100</v>
      </c>
      <c r="AA74" s="171">
        <f t="shared" si="26"/>
        <v>266200</v>
      </c>
      <c r="AB74" s="172">
        <f t="shared" si="27"/>
        <v>1440100</v>
      </c>
      <c r="AC74" s="179">
        <f t="shared" si="28"/>
        <v>1.6688061617458283E-2</v>
      </c>
      <c r="AD74" s="180">
        <f t="shared" si="29"/>
        <v>1.9982294169722969E-2</v>
      </c>
      <c r="AE74" s="180">
        <f t="shared" si="30"/>
        <v>2.0715630885122405E-2</v>
      </c>
      <c r="AF74" s="180">
        <f t="shared" si="31"/>
        <v>1.4737065309584407E-2</v>
      </c>
      <c r="AG74" s="181">
        <f t="shared" si="32"/>
        <v>3.0584591560201213E-2</v>
      </c>
      <c r="AH74" s="182">
        <f t="shared" si="33"/>
        <v>1.8530306245137629E-2</v>
      </c>
      <c r="AI74" s="200">
        <f t="shared" si="34"/>
        <v>3.0914415880247237E-2</v>
      </c>
      <c r="AJ74" s="166">
        <f t="shared" si="35"/>
        <v>5.6319580877537634E-2</v>
      </c>
      <c r="AK74" s="166">
        <f t="shared" si="36"/>
        <v>2.4090694378837929E-2</v>
      </c>
      <c r="AL74" s="166">
        <f t="shared" si="37"/>
        <v>3.0469422911283406E-2</v>
      </c>
      <c r="AM74" s="201">
        <f t="shared" si="38"/>
        <v>0.12084210526315786</v>
      </c>
      <c r="AN74" s="202">
        <f t="shared" si="39"/>
        <v>4.4989478267179361E-2</v>
      </c>
    </row>
    <row r="75" spans="1:40">
      <c r="A75" s="27" t="s">
        <v>127</v>
      </c>
      <c r="B75" s="163">
        <v>129800</v>
      </c>
      <c r="C75" s="164">
        <v>165700</v>
      </c>
      <c r="D75" s="164">
        <v>134800</v>
      </c>
      <c r="E75" s="164">
        <v>166000</v>
      </c>
      <c r="F75" s="167">
        <v>596400</v>
      </c>
      <c r="G75" s="163">
        <v>184400</v>
      </c>
      <c r="H75" s="164">
        <v>151200</v>
      </c>
      <c r="I75" s="164">
        <v>239200</v>
      </c>
      <c r="J75" s="164">
        <v>293500</v>
      </c>
      <c r="K75" s="166">
        <f t="shared" si="21"/>
        <v>0.33801681446504667</v>
      </c>
      <c r="L75" s="167">
        <v>868300</v>
      </c>
      <c r="M75" s="62">
        <v>238200</v>
      </c>
      <c r="N75" s="63">
        <v>358100</v>
      </c>
      <c r="O75" s="63">
        <v>92000</v>
      </c>
      <c r="P75" s="63">
        <v>376400</v>
      </c>
      <c r="Q75" s="168">
        <v>127900</v>
      </c>
      <c r="R75" s="62">
        <v>403500</v>
      </c>
      <c r="S75" s="63">
        <v>464800</v>
      </c>
      <c r="T75" s="63">
        <v>128800</v>
      </c>
      <c r="U75" s="63">
        <v>593100</v>
      </c>
      <c r="V75" s="64">
        <v>146400</v>
      </c>
      <c r="W75" s="169">
        <f t="shared" si="22"/>
        <v>641700</v>
      </c>
      <c r="X75" s="170">
        <f t="shared" si="23"/>
        <v>822900</v>
      </c>
      <c r="Y75" s="170">
        <f t="shared" si="24"/>
        <v>220800</v>
      </c>
      <c r="Z75" s="170">
        <f t="shared" si="25"/>
        <v>969500</v>
      </c>
      <c r="AA75" s="171">
        <f t="shared" si="26"/>
        <v>274300</v>
      </c>
      <c r="AB75" s="172">
        <f t="shared" si="27"/>
        <v>1464700</v>
      </c>
      <c r="AC75" s="179">
        <f t="shared" si="28"/>
        <v>1.2784090909090828E-2</v>
      </c>
      <c r="AD75" s="180">
        <f t="shared" si="29"/>
        <v>2.0334779913205203E-2</v>
      </c>
      <c r="AE75" s="180">
        <f t="shared" si="30"/>
        <v>1.8450184501844991E-2</v>
      </c>
      <c r="AF75" s="180">
        <f t="shared" si="31"/>
        <v>1.2955803991223425E-2</v>
      </c>
      <c r="AG75" s="181">
        <f t="shared" si="32"/>
        <v>3.042824943651401E-2</v>
      </c>
      <c r="AH75" s="182">
        <f t="shared" si="33"/>
        <v>1.7082147073119947E-2</v>
      </c>
      <c r="AI75" s="200">
        <f t="shared" si="34"/>
        <v>4.5795306388526802E-2</v>
      </c>
      <c r="AJ75" s="166">
        <f t="shared" si="35"/>
        <v>6.7453625632377667E-2</v>
      </c>
      <c r="AK75" s="166">
        <f t="shared" si="36"/>
        <v>4.8433048433048409E-2</v>
      </c>
      <c r="AL75" s="166">
        <f t="shared" si="37"/>
        <v>4.3482940480034538E-2</v>
      </c>
      <c r="AM75" s="201">
        <f t="shared" si="38"/>
        <v>0.12096444626072733</v>
      </c>
      <c r="AN75" s="202">
        <f t="shared" si="39"/>
        <v>5.7927049476345305E-2</v>
      </c>
    </row>
    <row r="76" spans="1:40">
      <c r="A76" s="60" t="s">
        <v>128</v>
      </c>
      <c r="B76" s="183">
        <v>135600</v>
      </c>
      <c r="C76" s="184">
        <v>167900</v>
      </c>
      <c r="D76" s="184">
        <v>140200</v>
      </c>
      <c r="E76" s="184">
        <v>168900</v>
      </c>
      <c r="F76" s="185">
        <v>612700</v>
      </c>
      <c r="G76" s="183">
        <v>188900</v>
      </c>
      <c r="H76" s="184">
        <v>157500</v>
      </c>
      <c r="I76" s="184">
        <v>223400</v>
      </c>
      <c r="J76" s="184">
        <v>304300</v>
      </c>
      <c r="K76" s="186">
        <f t="shared" si="21"/>
        <v>0.34812950463333714</v>
      </c>
      <c r="L76" s="185">
        <v>874100</v>
      </c>
      <c r="M76" s="66">
        <v>244500</v>
      </c>
      <c r="N76" s="67">
        <v>368200</v>
      </c>
      <c r="O76" s="67">
        <v>96400</v>
      </c>
      <c r="P76" s="67">
        <v>384300</v>
      </c>
      <c r="Q76" s="187">
        <v>132000</v>
      </c>
      <c r="R76" s="66">
        <v>404200</v>
      </c>
      <c r="S76" s="67">
        <v>469900</v>
      </c>
      <c r="T76" s="67">
        <v>129900</v>
      </c>
      <c r="U76" s="67">
        <v>595000</v>
      </c>
      <c r="V76" s="68">
        <v>149200</v>
      </c>
      <c r="W76" s="188">
        <f t="shared" si="22"/>
        <v>648700</v>
      </c>
      <c r="X76" s="189">
        <f t="shared" si="23"/>
        <v>838100</v>
      </c>
      <c r="Y76" s="189">
        <f t="shared" si="24"/>
        <v>226300</v>
      </c>
      <c r="Z76" s="189">
        <f t="shared" si="25"/>
        <v>979300</v>
      </c>
      <c r="AA76" s="190">
        <f t="shared" si="26"/>
        <v>281200</v>
      </c>
      <c r="AB76" s="191">
        <f t="shared" si="27"/>
        <v>1486800</v>
      </c>
      <c r="AC76" s="192">
        <f t="shared" si="28"/>
        <v>1.0908524232507322E-2</v>
      </c>
      <c r="AD76" s="193">
        <f t="shared" si="29"/>
        <v>1.8471260177421289E-2</v>
      </c>
      <c r="AE76" s="193">
        <f t="shared" si="30"/>
        <v>2.4909420289854989E-2</v>
      </c>
      <c r="AF76" s="193">
        <f t="shared" si="31"/>
        <v>1.0108303249097395E-2</v>
      </c>
      <c r="AG76" s="194">
        <f t="shared" si="32"/>
        <v>2.5154939846882884E-2</v>
      </c>
      <c r="AH76" s="195">
        <f t="shared" si="33"/>
        <v>1.5088414009694739E-2</v>
      </c>
      <c r="AI76" s="203">
        <f t="shared" si="34"/>
        <v>5.3255398603669457E-2</v>
      </c>
      <c r="AJ76" s="186">
        <f t="shared" si="35"/>
        <v>7.3661286190110253E-2</v>
      </c>
      <c r="AK76" s="186">
        <f t="shared" si="36"/>
        <v>7.9675572519083859E-2</v>
      </c>
      <c r="AL76" s="186">
        <f t="shared" si="37"/>
        <v>4.7155688622754433E-2</v>
      </c>
      <c r="AM76" s="204">
        <f t="shared" si="38"/>
        <v>0.11720301946762013</v>
      </c>
      <c r="AN76" s="205">
        <f t="shared" si="39"/>
        <v>6.466165413533842E-2</v>
      </c>
    </row>
    <row r="77" spans="1:40">
      <c r="A77" s="27" t="s">
        <v>129</v>
      </c>
      <c r="B77" s="163">
        <v>144400</v>
      </c>
      <c r="C77" s="164">
        <v>169600</v>
      </c>
      <c r="D77" s="164">
        <v>145200</v>
      </c>
      <c r="E77" s="164">
        <v>172200</v>
      </c>
      <c r="F77" s="167">
        <v>631400</v>
      </c>
      <c r="G77" s="163">
        <v>191800</v>
      </c>
      <c r="H77" s="164">
        <v>152900</v>
      </c>
      <c r="I77" s="164">
        <v>245600</v>
      </c>
      <c r="J77" s="164">
        <v>295100</v>
      </c>
      <c r="K77" s="166">
        <f t="shared" si="21"/>
        <v>0.33329568556584593</v>
      </c>
      <c r="L77" s="167">
        <v>885400</v>
      </c>
      <c r="M77" s="62">
        <v>252700</v>
      </c>
      <c r="N77" s="63">
        <v>378700</v>
      </c>
      <c r="O77" s="63">
        <v>99300</v>
      </c>
      <c r="P77" s="63">
        <v>395500</v>
      </c>
      <c r="Q77" s="168">
        <v>136500</v>
      </c>
      <c r="R77" s="62">
        <v>410400</v>
      </c>
      <c r="S77" s="63">
        <v>475000</v>
      </c>
      <c r="T77" s="63">
        <v>132100</v>
      </c>
      <c r="U77" s="63">
        <v>601500</v>
      </c>
      <c r="V77" s="64">
        <v>151800</v>
      </c>
      <c r="W77" s="169">
        <f t="shared" si="22"/>
        <v>663100</v>
      </c>
      <c r="X77" s="170">
        <f t="shared" si="23"/>
        <v>853700</v>
      </c>
      <c r="Y77" s="170">
        <f t="shared" si="24"/>
        <v>231400</v>
      </c>
      <c r="Z77" s="170">
        <f t="shared" si="25"/>
        <v>997000</v>
      </c>
      <c r="AA77" s="171">
        <f t="shared" si="26"/>
        <v>288300</v>
      </c>
      <c r="AB77" s="172">
        <f t="shared" si="27"/>
        <v>1516800</v>
      </c>
      <c r="AC77" s="179">
        <f t="shared" si="28"/>
        <v>2.219824263912451E-2</v>
      </c>
      <c r="AD77" s="180">
        <f t="shared" si="29"/>
        <v>1.8613530604939754E-2</v>
      </c>
      <c r="AE77" s="180">
        <f t="shared" si="30"/>
        <v>2.2536456031816199E-2</v>
      </c>
      <c r="AF77" s="180">
        <f t="shared" si="31"/>
        <v>1.8074134585928769E-2</v>
      </c>
      <c r="AG77" s="181">
        <f t="shared" si="32"/>
        <v>2.5248933143670049E-2</v>
      </c>
      <c r="AH77" s="182">
        <f t="shared" si="33"/>
        <v>2.0177562550443895E-2</v>
      </c>
      <c r="AI77" s="200">
        <f t="shared" si="34"/>
        <v>6.4024390243902385E-2</v>
      </c>
      <c r="AJ77" s="166">
        <f t="shared" si="35"/>
        <v>7.9676236246363885E-2</v>
      </c>
      <c r="AK77" s="166">
        <f t="shared" si="36"/>
        <v>8.9453860640301253E-2</v>
      </c>
      <c r="AL77" s="166">
        <f t="shared" si="37"/>
        <v>5.7039864291772657E-2</v>
      </c>
      <c r="AM77" s="201">
        <f t="shared" si="38"/>
        <v>0.11614401858304291</v>
      </c>
      <c r="AN77" s="202">
        <f t="shared" si="39"/>
        <v>7.2777424145979097E-2</v>
      </c>
    </row>
    <row r="78" spans="1:40">
      <c r="A78" s="27" t="s">
        <v>130</v>
      </c>
      <c r="B78" s="163">
        <v>140900</v>
      </c>
      <c r="C78" s="164">
        <v>172700</v>
      </c>
      <c r="D78" s="164">
        <v>144100</v>
      </c>
      <c r="E78" s="164">
        <v>174400</v>
      </c>
      <c r="F78" s="167">
        <v>632100</v>
      </c>
      <c r="G78" s="163">
        <v>191300</v>
      </c>
      <c r="H78" s="164">
        <v>154200</v>
      </c>
      <c r="I78" s="164">
        <v>244800</v>
      </c>
      <c r="J78" s="164">
        <v>308400</v>
      </c>
      <c r="K78" s="166">
        <f t="shared" si="21"/>
        <v>0.34316234561032605</v>
      </c>
      <c r="L78" s="167">
        <v>898700</v>
      </c>
      <c r="M78" s="62">
        <v>252500</v>
      </c>
      <c r="N78" s="63">
        <v>379500</v>
      </c>
      <c r="O78" s="63">
        <v>98400</v>
      </c>
      <c r="P78" s="63">
        <v>394800</v>
      </c>
      <c r="Q78" s="168">
        <v>138900</v>
      </c>
      <c r="R78" s="62">
        <v>421000</v>
      </c>
      <c r="S78" s="63">
        <v>477600</v>
      </c>
      <c r="T78" s="63">
        <v>132700</v>
      </c>
      <c r="U78" s="63">
        <v>611100</v>
      </c>
      <c r="V78" s="64">
        <v>154800</v>
      </c>
      <c r="W78" s="169">
        <f t="shared" si="22"/>
        <v>673500</v>
      </c>
      <c r="X78" s="170">
        <f t="shared" si="23"/>
        <v>857100</v>
      </c>
      <c r="Y78" s="170">
        <f t="shared" si="24"/>
        <v>231100</v>
      </c>
      <c r="Z78" s="170">
        <f t="shared" si="25"/>
        <v>1005900</v>
      </c>
      <c r="AA78" s="171">
        <f t="shared" si="26"/>
        <v>293700</v>
      </c>
      <c r="AB78" s="172">
        <f t="shared" si="27"/>
        <v>1530800</v>
      </c>
      <c r="AC78" s="179">
        <f t="shared" si="28"/>
        <v>1.5683908912682787E-2</v>
      </c>
      <c r="AD78" s="180">
        <f t="shared" si="29"/>
        <v>3.9826636991917574E-3</v>
      </c>
      <c r="AE78" s="180">
        <f t="shared" si="30"/>
        <v>-1.2964563526360884E-3</v>
      </c>
      <c r="AF78" s="180">
        <f t="shared" si="31"/>
        <v>8.9267803410231217E-3</v>
      </c>
      <c r="AG78" s="181">
        <f t="shared" si="32"/>
        <v>1.8730489073881307E-2</v>
      </c>
      <c r="AH78" s="182">
        <f t="shared" si="33"/>
        <v>9.2299578059071852E-3</v>
      </c>
      <c r="AI78" s="200">
        <f t="shared" si="34"/>
        <v>6.2973484848484862E-2</v>
      </c>
      <c r="AJ78" s="166">
        <f t="shared" si="35"/>
        <v>6.2740235585864834E-2</v>
      </c>
      <c r="AK78" s="166">
        <f t="shared" si="36"/>
        <v>6.5959409594095852E-2</v>
      </c>
      <c r="AL78" s="166">
        <f t="shared" si="37"/>
        <v>5.0987357642879427E-2</v>
      </c>
      <c r="AM78" s="201">
        <f t="shared" si="38"/>
        <v>0.10330578512396693</v>
      </c>
      <c r="AN78" s="202">
        <f t="shared" si="39"/>
        <v>6.2981737379348646E-2</v>
      </c>
    </row>
    <row r="79" spans="1:40">
      <c r="A79" s="27" t="s">
        <v>131</v>
      </c>
      <c r="B79" s="163">
        <v>145900</v>
      </c>
      <c r="C79" s="164">
        <v>172400</v>
      </c>
      <c r="D79" s="164">
        <v>144500</v>
      </c>
      <c r="E79" s="164">
        <v>173300</v>
      </c>
      <c r="F79" s="167">
        <v>636000</v>
      </c>
      <c r="G79" s="163">
        <v>191000</v>
      </c>
      <c r="H79" s="164">
        <v>157300</v>
      </c>
      <c r="I79" s="164">
        <v>249300</v>
      </c>
      <c r="J79" s="164">
        <v>318600</v>
      </c>
      <c r="K79" s="166">
        <f t="shared" si="21"/>
        <v>0.34774066797642439</v>
      </c>
      <c r="L79" s="167">
        <v>916200</v>
      </c>
      <c r="M79" s="62">
        <v>254300</v>
      </c>
      <c r="N79" s="63">
        <v>381700</v>
      </c>
      <c r="O79" s="63">
        <v>96800</v>
      </c>
      <c r="P79" s="63">
        <v>397800</v>
      </c>
      <c r="Q79" s="168">
        <v>141400</v>
      </c>
      <c r="R79" s="62">
        <v>431400</v>
      </c>
      <c r="S79" s="63">
        <v>484800</v>
      </c>
      <c r="T79" s="63">
        <v>134800</v>
      </c>
      <c r="U79" s="63">
        <v>622800</v>
      </c>
      <c r="V79" s="64">
        <v>158600</v>
      </c>
      <c r="W79" s="169">
        <f t="shared" si="22"/>
        <v>685700</v>
      </c>
      <c r="X79" s="170">
        <f t="shared" si="23"/>
        <v>866500</v>
      </c>
      <c r="Y79" s="170">
        <f t="shared" si="24"/>
        <v>231600</v>
      </c>
      <c r="Z79" s="170">
        <f t="shared" si="25"/>
        <v>1020600</v>
      </c>
      <c r="AA79" s="171">
        <f t="shared" si="26"/>
        <v>300000</v>
      </c>
      <c r="AB79" s="172">
        <f t="shared" si="27"/>
        <v>1552200</v>
      </c>
      <c r="AC79" s="179">
        <f t="shared" si="28"/>
        <v>1.8114328136599855E-2</v>
      </c>
      <c r="AD79" s="180">
        <f t="shared" si="29"/>
        <v>1.0967215027418042E-2</v>
      </c>
      <c r="AE79" s="180">
        <f t="shared" si="30"/>
        <v>2.163565556036362E-3</v>
      </c>
      <c r="AF79" s="180">
        <f t="shared" si="31"/>
        <v>1.4613778705636848E-2</v>
      </c>
      <c r="AG79" s="181">
        <f t="shared" si="32"/>
        <v>2.1450459652706755E-2</v>
      </c>
      <c r="AH79" s="182">
        <f t="shared" si="33"/>
        <v>1.3979618500130631E-2</v>
      </c>
      <c r="AI79" s="200">
        <f t="shared" si="34"/>
        <v>6.8567866604332339E-2</v>
      </c>
      <c r="AJ79" s="166">
        <f t="shared" si="35"/>
        <v>5.298335156155054E-2</v>
      </c>
      <c r="AK79" s="166">
        <f t="shared" si="36"/>
        <v>4.8913043478260976E-2</v>
      </c>
      <c r="AL79" s="166">
        <f t="shared" si="37"/>
        <v>5.2707581227436906E-2</v>
      </c>
      <c r="AM79" s="201">
        <f t="shared" si="38"/>
        <v>9.3693036820998943E-2</v>
      </c>
      <c r="AN79" s="202">
        <f t="shared" si="39"/>
        <v>5.9739195739741957E-2</v>
      </c>
    </row>
    <row r="80" spans="1:40" s="12" customFormat="1">
      <c r="A80" s="60" t="s">
        <v>132</v>
      </c>
      <c r="B80" s="183">
        <v>145200</v>
      </c>
      <c r="C80" s="184">
        <v>176200</v>
      </c>
      <c r="D80" s="184">
        <v>147200</v>
      </c>
      <c r="E80" s="184">
        <v>180900</v>
      </c>
      <c r="F80" s="185">
        <v>649500</v>
      </c>
      <c r="G80" s="183">
        <v>198700</v>
      </c>
      <c r="H80" s="184">
        <v>167100</v>
      </c>
      <c r="I80" s="184">
        <v>251100</v>
      </c>
      <c r="J80" s="184">
        <v>328900</v>
      </c>
      <c r="K80" s="186">
        <f t="shared" si="21"/>
        <v>0.3477479382533305</v>
      </c>
      <c r="L80" s="185">
        <v>945800</v>
      </c>
      <c r="M80" s="66">
        <v>260000</v>
      </c>
      <c r="N80" s="67">
        <v>389500</v>
      </c>
      <c r="O80" s="67">
        <v>99000</v>
      </c>
      <c r="P80" s="67">
        <v>404900</v>
      </c>
      <c r="Q80" s="187">
        <v>145700</v>
      </c>
      <c r="R80" s="66">
        <v>448200</v>
      </c>
      <c r="S80" s="67">
        <v>497600</v>
      </c>
      <c r="T80" s="67">
        <v>137700</v>
      </c>
      <c r="U80" s="67">
        <v>643700</v>
      </c>
      <c r="V80" s="68">
        <v>164500</v>
      </c>
      <c r="W80" s="188">
        <f t="shared" si="22"/>
        <v>708200</v>
      </c>
      <c r="X80" s="189">
        <f t="shared" si="23"/>
        <v>887100</v>
      </c>
      <c r="Y80" s="189">
        <f t="shared" si="24"/>
        <v>236700</v>
      </c>
      <c r="Z80" s="189">
        <f t="shared" si="25"/>
        <v>1048600</v>
      </c>
      <c r="AA80" s="190">
        <f t="shared" si="26"/>
        <v>310200</v>
      </c>
      <c r="AB80" s="191">
        <f t="shared" si="27"/>
        <v>1595300</v>
      </c>
      <c r="AC80" s="192">
        <f t="shared" si="28"/>
        <v>3.2813183607991903E-2</v>
      </c>
      <c r="AD80" s="193">
        <f t="shared" si="29"/>
        <v>2.3773802654356579E-2</v>
      </c>
      <c r="AE80" s="193">
        <f t="shared" si="30"/>
        <v>2.2020725388601115E-2</v>
      </c>
      <c r="AF80" s="193">
        <f t="shared" si="31"/>
        <v>2.7434842249657088E-2</v>
      </c>
      <c r="AG80" s="194">
        <f t="shared" si="32"/>
        <v>3.400000000000003E-2</v>
      </c>
      <c r="AH80" s="195">
        <f t="shared" si="33"/>
        <v>2.7767040329854442E-2</v>
      </c>
      <c r="AI80" s="203">
        <f t="shared" si="34"/>
        <v>9.1721905349159805E-2</v>
      </c>
      <c r="AJ80" s="186">
        <f t="shared" si="35"/>
        <v>5.8465576900131211E-2</v>
      </c>
      <c r="AK80" s="186">
        <f t="shared" si="36"/>
        <v>4.595669465311536E-2</v>
      </c>
      <c r="AL80" s="186">
        <f t="shared" si="37"/>
        <v>7.0764832022873536E-2</v>
      </c>
      <c r="AM80" s="204">
        <f t="shared" si="38"/>
        <v>0.10312944523470846</v>
      </c>
      <c r="AN80" s="205">
        <f t="shared" si="39"/>
        <v>7.2975517890772057E-2</v>
      </c>
    </row>
    <row r="81" spans="1:40">
      <c r="A81" s="27" t="s">
        <v>133</v>
      </c>
      <c r="B81" s="163">
        <v>148600</v>
      </c>
      <c r="C81" s="164">
        <v>177800</v>
      </c>
      <c r="D81" s="164">
        <v>147400</v>
      </c>
      <c r="E81" s="164">
        <v>178800</v>
      </c>
      <c r="F81" s="167">
        <v>652600</v>
      </c>
      <c r="G81" s="163">
        <v>198300</v>
      </c>
      <c r="H81" s="164">
        <v>163200</v>
      </c>
      <c r="I81" s="164">
        <v>259600</v>
      </c>
      <c r="J81" s="164">
        <v>331200</v>
      </c>
      <c r="K81" s="166">
        <f t="shared" si="21"/>
        <v>0.34782608695652173</v>
      </c>
      <c r="L81" s="167">
        <v>952200</v>
      </c>
      <c r="M81" s="62">
        <v>262200</v>
      </c>
      <c r="N81" s="63">
        <v>390400</v>
      </c>
      <c r="O81" s="63">
        <v>97200</v>
      </c>
      <c r="P81" s="63">
        <v>406300</v>
      </c>
      <c r="Q81" s="168">
        <v>149100</v>
      </c>
      <c r="R81" s="62">
        <v>450200</v>
      </c>
      <c r="S81" s="63">
        <v>502100</v>
      </c>
      <c r="T81" s="63">
        <v>136800</v>
      </c>
      <c r="U81" s="63">
        <v>647600</v>
      </c>
      <c r="V81" s="64">
        <v>167800</v>
      </c>
      <c r="W81" s="169">
        <f t="shared" si="22"/>
        <v>712400</v>
      </c>
      <c r="X81" s="170">
        <f t="shared" si="23"/>
        <v>892500</v>
      </c>
      <c r="Y81" s="170">
        <f t="shared" si="24"/>
        <v>234000</v>
      </c>
      <c r="Z81" s="170">
        <f t="shared" si="25"/>
        <v>1053900</v>
      </c>
      <c r="AA81" s="171">
        <f t="shared" si="26"/>
        <v>316900</v>
      </c>
      <c r="AB81" s="172">
        <f t="shared" si="27"/>
        <v>1604800</v>
      </c>
      <c r="AC81" s="179">
        <f t="shared" si="28"/>
        <v>5.9305280994068621E-3</v>
      </c>
      <c r="AD81" s="180">
        <f t="shared" si="29"/>
        <v>6.0872505918161401E-3</v>
      </c>
      <c r="AE81" s="180">
        <f t="shared" si="30"/>
        <v>-1.1406844106463865E-2</v>
      </c>
      <c r="AF81" s="180">
        <f t="shared" si="31"/>
        <v>5.0543581918749414E-3</v>
      </c>
      <c r="AG81" s="181">
        <f t="shared" si="32"/>
        <v>2.1598968407479102E-2</v>
      </c>
      <c r="AH81" s="182">
        <f t="shared" si="33"/>
        <v>5.9549927913244982E-3</v>
      </c>
      <c r="AI81" s="200">
        <f t="shared" si="34"/>
        <v>7.4347760518775452E-2</v>
      </c>
      <c r="AJ81" s="166">
        <f t="shared" si="35"/>
        <v>4.5449221037835219E-2</v>
      </c>
      <c r="AK81" s="166">
        <f t="shared" si="36"/>
        <v>1.1235955056179803E-2</v>
      </c>
      <c r="AL81" s="166">
        <f t="shared" si="37"/>
        <v>5.7071213640922824E-2</v>
      </c>
      <c r="AM81" s="201">
        <f t="shared" si="38"/>
        <v>9.9202219909816147E-2</v>
      </c>
      <c r="AN81" s="202">
        <f t="shared" si="39"/>
        <v>5.8016877637130815E-2</v>
      </c>
    </row>
    <row r="82" spans="1:40">
      <c r="A82" s="27" t="s">
        <v>134</v>
      </c>
      <c r="B82" s="163">
        <v>150200</v>
      </c>
      <c r="C82" s="164">
        <v>179100</v>
      </c>
      <c r="D82" s="164">
        <v>152400</v>
      </c>
      <c r="E82" s="164">
        <v>178700</v>
      </c>
      <c r="F82" s="167">
        <v>660400</v>
      </c>
      <c r="G82" s="163">
        <v>200200</v>
      </c>
      <c r="H82" s="164">
        <v>168100</v>
      </c>
      <c r="I82" s="164">
        <v>260100</v>
      </c>
      <c r="J82" s="164">
        <v>343800</v>
      </c>
      <c r="K82" s="166">
        <f t="shared" si="21"/>
        <v>0.35366731817714225</v>
      </c>
      <c r="L82" s="167">
        <v>972100</v>
      </c>
      <c r="M82" s="62">
        <v>266200</v>
      </c>
      <c r="N82" s="63">
        <v>394300</v>
      </c>
      <c r="O82" s="63">
        <v>97700</v>
      </c>
      <c r="P82" s="63">
        <v>410700</v>
      </c>
      <c r="Q82" s="168">
        <v>152000</v>
      </c>
      <c r="R82" s="62">
        <v>459100</v>
      </c>
      <c r="S82" s="63">
        <v>513000</v>
      </c>
      <c r="T82" s="63">
        <v>139500</v>
      </c>
      <c r="U82" s="63">
        <v>660300</v>
      </c>
      <c r="V82" s="64">
        <v>172400</v>
      </c>
      <c r="W82" s="169">
        <f t="shared" si="22"/>
        <v>725300</v>
      </c>
      <c r="X82" s="170">
        <f t="shared" si="23"/>
        <v>907300</v>
      </c>
      <c r="Y82" s="170">
        <f t="shared" si="24"/>
        <v>237200</v>
      </c>
      <c r="Z82" s="170">
        <f t="shared" si="25"/>
        <v>1071000</v>
      </c>
      <c r="AA82" s="171">
        <f t="shared" si="26"/>
        <v>324400</v>
      </c>
      <c r="AB82" s="172">
        <f t="shared" si="27"/>
        <v>1632500</v>
      </c>
      <c r="AC82" s="179">
        <f t="shared" si="28"/>
        <v>1.8107804604154953E-2</v>
      </c>
      <c r="AD82" s="180">
        <f t="shared" si="29"/>
        <v>1.6582633053221274E-2</v>
      </c>
      <c r="AE82" s="180">
        <f t="shared" si="30"/>
        <v>1.3675213675213627E-2</v>
      </c>
      <c r="AF82" s="180">
        <f t="shared" si="31"/>
        <v>1.6225448334756587E-2</v>
      </c>
      <c r="AG82" s="181">
        <f t="shared" si="32"/>
        <v>2.3666771852319357E-2</v>
      </c>
      <c r="AH82" s="182">
        <f t="shared" si="33"/>
        <v>1.7260717846460549E-2</v>
      </c>
      <c r="AI82" s="200">
        <f t="shared" si="34"/>
        <v>7.6911655530809142E-2</v>
      </c>
      <c r="AJ82" s="166">
        <f t="shared" si="35"/>
        <v>5.8569595146424014E-2</v>
      </c>
      <c r="AK82" s="166">
        <f t="shared" si="36"/>
        <v>2.6395499783643528E-2</v>
      </c>
      <c r="AL82" s="166">
        <f t="shared" si="37"/>
        <v>6.4718162839248361E-2</v>
      </c>
      <c r="AM82" s="201">
        <f t="shared" si="38"/>
        <v>0.10452843037112691</v>
      </c>
      <c r="AN82" s="202">
        <f t="shared" si="39"/>
        <v>6.6435850535667695E-2</v>
      </c>
    </row>
    <row r="83" spans="1:40">
      <c r="A83" s="27" t="s">
        <v>135</v>
      </c>
      <c r="B83" s="163">
        <v>154000</v>
      </c>
      <c r="C83" s="164">
        <v>178600</v>
      </c>
      <c r="D83" s="164">
        <v>150100</v>
      </c>
      <c r="E83" s="164">
        <v>180400</v>
      </c>
      <c r="F83" s="167">
        <v>663100</v>
      </c>
      <c r="G83" s="163">
        <v>198200</v>
      </c>
      <c r="H83" s="164">
        <v>173300</v>
      </c>
      <c r="I83" s="164">
        <v>266800</v>
      </c>
      <c r="J83" s="164">
        <v>362400</v>
      </c>
      <c r="K83" s="166">
        <f t="shared" si="21"/>
        <v>0.36211031175059955</v>
      </c>
      <c r="L83" s="167">
        <v>1000800</v>
      </c>
      <c r="M83" s="62">
        <v>267500</v>
      </c>
      <c r="N83" s="63">
        <v>395700</v>
      </c>
      <c r="O83" s="63">
        <v>96900</v>
      </c>
      <c r="P83" s="63">
        <v>412100</v>
      </c>
      <c r="Q83" s="168">
        <v>154100</v>
      </c>
      <c r="R83" s="62">
        <v>473700</v>
      </c>
      <c r="S83" s="63">
        <v>527100</v>
      </c>
      <c r="T83" s="63">
        <v>142000</v>
      </c>
      <c r="U83" s="63">
        <v>680800</v>
      </c>
      <c r="V83" s="64">
        <v>177900</v>
      </c>
      <c r="W83" s="169">
        <f t="shared" si="22"/>
        <v>741200</v>
      </c>
      <c r="X83" s="170">
        <f t="shared" si="23"/>
        <v>922800</v>
      </c>
      <c r="Y83" s="170">
        <f t="shared" si="24"/>
        <v>238900</v>
      </c>
      <c r="Z83" s="170">
        <f t="shared" si="25"/>
        <v>1092900</v>
      </c>
      <c r="AA83" s="171">
        <f t="shared" si="26"/>
        <v>332000</v>
      </c>
      <c r="AB83" s="172">
        <f t="shared" si="27"/>
        <v>1663900</v>
      </c>
      <c r="AC83" s="179">
        <f t="shared" si="28"/>
        <v>2.1921963325520544E-2</v>
      </c>
      <c r="AD83" s="180">
        <f t="shared" si="29"/>
        <v>1.7083654799955994E-2</v>
      </c>
      <c r="AE83" s="180">
        <f t="shared" si="30"/>
        <v>7.1669477234401757E-3</v>
      </c>
      <c r="AF83" s="180">
        <f t="shared" si="31"/>
        <v>2.0448179271708611E-2</v>
      </c>
      <c r="AG83" s="181">
        <f t="shared" si="32"/>
        <v>2.3427866831072786E-2</v>
      </c>
      <c r="AH83" s="182">
        <f t="shared" si="33"/>
        <v>1.9234303215926563E-2</v>
      </c>
      <c r="AI83" s="200">
        <f t="shared" si="34"/>
        <v>8.0939186233046412E-2</v>
      </c>
      <c r="AJ83" s="166">
        <f t="shared" si="35"/>
        <v>6.4974033467974701E-2</v>
      </c>
      <c r="AK83" s="166">
        <f t="shared" si="36"/>
        <v>3.1519861830742624E-2</v>
      </c>
      <c r="AL83" s="166">
        <f t="shared" si="37"/>
        <v>7.084068195179305E-2</v>
      </c>
      <c r="AM83" s="201">
        <f t="shared" si="38"/>
        <v>0.10666666666666669</v>
      </c>
      <c r="AN83" s="202">
        <f t="shared" si="39"/>
        <v>7.1962375982476567E-2</v>
      </c>
    </row>
    <row r="84" spans="1:40">
      <c r="A84" s="60" t="s">
        <v>136</v>
      </c>
      <c r="B84" s="183">
        <v>157700</v>
      </c>
      <c r="C84" s="184">
        <v>182400</v>
      </c>
      <c r="D84" s="184">
        <v>151600</v>
      </c>
      <c r="E84" s="184">
        <v>183200</v>
      </c>
      <c r="F84" s="185">
        <v>675000</v>
      </c>
      <c r="G84" s="183">
        <v>206800</v>
      </c>
      <c r="H84" s="184">
        <v>182300</v>
      </c>
      <c r="I84" s="184">
        <v>272100</v>
      </c>
      <c r="J84" s="184">
        <v>370500</v>
      </c>
      <c r="K84" s="186">
        <f t="shared" ref="K84:K125" si="40">J84/L84</f>
        <v>0.359150833656456</v>
      </c>
      <c r="L84" s="185">
        <v>1031600</v>
      </c>
      <c r="M84" s="66">
        <v>272600</v>
      </c>
      <c r="N84" s="67">
        <v>402400</v>
      </c>
      <c r="O84" s="67">
        <v>98900</v>
      </c>
      <c r="P84" s="67">
        <v>418500</v>
      </c>
      <c r="Q84" s="187">
        <v>157600</v>
      </c>
      <c r="R84" s="66">
        <v>486400</v>
      </c>
      <c r="S84" s="67">
        <v>545300</v>
      </c>
      <c r="T84" s="67">
        <v>146100</v>
      </c>
      <c r="U84" s="67">
        <v>701400</v>
      </c>
      <c r="V84" s="68">
        <v>184100</v>
      </c>
      <c r="W84" s="188">
        <f t="shared" ref="W84:W125" si="41">M84+R84</f>
        <v>759000</v>
      </c>
      <c r="X84" s="189">
        <f t="shared" ref="X84:X125" si="42">N84+S84</f>
        <v>947700</v>
      </c>
      <c r="Y84" s="189">
        <f t="shared" ref="Y84:Y125" si="43">O84+T84</f>
        <v>245000</v>
      </c>
      <c r="Z84" s="189">
        <f t="shared" ref="Z84:Z125" si="44">P84+U84</f>
        <v>1119900</v>
      </c>
      <c r="AA84" s="190">
        <f t="shared" ref="AA84:AA125" si="45">Q84+V84</f>
        <v>341700</v>
      </c>
      <c r="AB84" s="191">
        <f t="shared" ref="AB84:AB125" si="46">F84+L84</f>
        <v>1706600</v>
      </c>
      <c r="AC84" s="192">
        <f t="shared" ref="AC84:AC125" si="47">W84/W83-1</f>
        <v>2.4015110631408598E-2</v>
      </c>
      <c r="AD84" s="193">
        <f t="shared" ref="AD84:AD125" si="48">X84/X83-1</f>
        <v>2.6983094928478613E-2</v>
      </c>
      <c r="AE84" s="193">
        <f t="shared" ref="AE84:AE125" si="49">Y84/Y83-1</f>
        <v>2.5533696107157722E-2</v>
      </c>
      <c r="AF84" s="193">
        <f t="shared" ref="AF84:AF125" si="50">Z84/Z83-1</f>
        <v>2.4704913532802575E-2</v>
      </c>
      <c r="AG84" s="194">
        <f t="shared" ref="AG84:AG125" si="51">AA84/AA83-1</f>
        <v>2.9216867469879615E-2</v>
      </c>
      <c r="AH84" s="195">
        <f t="shared" ref="AH84:AH125" si="52">AB84/AB83-1</f>
        <v>2.5662599915860396E-2</v>
      </c>
      <c r="AI84" s="203">
        <f t="shared" ref="AI84:AI125" si="53">W84/W80-1</f>
        <v>7.1731149392826987E-2</v>
      </c>
      <c r="AJ84" s="186">
        <f t="shared" ref="AJ84:AJ125" si="54">X84/X80-1</f>
        <v>6.8312478863713277E-2</v>
      </c>
      <c r="AK84" s="186">
        <f t="shared" ref="AK84:AK125" si="55">Y84/Y80-1</f>
        <v>3.5065483734685321E-2</v>
      </c>
      <c r="AL84" s="186">
        <f t="shared" ref="AL84:AL125" si="56">Z84/Z80-1</f>
        <v>6.7995422468052569E-2</v>
      </c>
      <c r="AM84" s="204">
        <f t="shared" ref="AM84:AM125" si="57">AA84/AA80-1</f>
        <v>0.10154738878143132</v>
      </c>
      <c r="AN84" s="205">
        <f t="shared" ref="AN84:AN125" si="58">AB84/AB80-1</f>
        <v>6.9767441860465018E-2</v>
      </c>
    </row>
    <row r="85" spans="1:40">
      <c r="A85" s="27" t="s">
        <v>137</v>
      </c>
      <c r="B85" s="163">
        <v>160800</v>
      </c>
      <c r="C85" s="164">
        <v>186800</v>
      </c>
      <c r="D85" s="164">
        <v>154100</v>
      </c>
      <c r="E85" s="164">
        <v>185300</v>
      </c>
      <c r="F85" s="167">
        <v>686900</v>
      </c>
      <c r="G85" s="163">
        <v>210500</v>
      </c>
      <c r="H85" s="164">
        <v>191600</v>
      </c>
      <c r="I85" s="164">
        <v>283300</v>
      </c>
      <c r="J85" s="164">
        <v>393500</v>
      </c>
      <c r="K85" s="166">
        <f t="shared" si="40"/>
        <v>0.36475713756025213</v>
      </c>
      <c r="L85" s="167">
        <v>1078800</v>
      </c>
      <c r="M85" s="62">
        <v>277000</v>
      </c>
      <c r="N85" s="63">
        <v>410000</v>
      </c>
      <c r="O85" s="63">
        <v>101300</v>
      </c>
      <c r="P85" s="63">
        <v>425300</v>
      </c>
      <c r="Q85" s="168">
        <v>160400</v>
      </c>
      <c r="R85" s="62">
        <v>508400</v>
      </c>
      <c r="S85" s="63">
        <v>570400</v>
      </c>
      <c r="T85" s="63">
        <v>153000</v>
      </c>
      <c r="U85" s="63">
        <v>732400</v>
      </c>
      <c r="V85" s="64">
        <v>193400</v>
      </c>
      <c r="W85" s="169">
        <f t="shared" si="41"/>
        <v>785400</v>
      </c>
      <c r="X85" s="170">
        <f t="shared" si="42"/>
        <v>980400</v>
      </c>
      <c r="Y85" s="170">
        <f t="shared" si="43"/>
        <v>254300</v>
      </c>
      <c r="Z85" s="170">
        <f t="shared" si="44"/>
        <v>1157700</v>
      </c>
      <c r="AA85" s="171">
        <f t="shared" si="45"/>
        <v>353800</v>
      </c>
      <c r="AB85" s="172">
        <f t="shared" si="46"/>
        <v>1765700</v>
      </c>
      <c r="AC85" s="179">
        <f t="shared" si="47"/>
        <v>3.4782608695652195E-2</v>
      </c>
      <c r="AD85" s="180">
        <f t="shared" si="48"/>
        <v>3.4504590060145723E-2</v>
      </c>
      <c r="AE85" s="180">
        <f t="shared" si="49"/>
        <v>3.7959183673469399E-2</v>
      </c>
      <c r="AF85" s="180">
        <f t="shared" si="50"/>
        <v>3.3753013661934173E-2</v>
      </c>
      <c r="AG85" s="181">
        <f t="shared" si="51"/>
        <v>3.5411179397131898E-2</v>
      </c>
      <c r="AH85" s="182">
        <f t="shared" si="52"/>
        <v>3.4630258994492014E-2</v>
      </c>
      <c r="AI85" s="200">
        <f t="shared" si="53"/>
        <v>0.10247052217855135</v>
      </c>
      <c r="AJ85" s="166">
        <f t="shared" si="54"/>
        <v>9.8487394957983199E-2</v>
      </c>
      <c r="AK85" s="166">
        <f t="shared" si="55"/>
        <v>8.6752136752136666E-2</v>
      </c>
      <c r="AL85" s="166">
        <f t="shared" si="56"/>
        <v>9.8491317961856062E-2</v>
      </c>
      <c r="AM85" s="201">
        <f t="shared" si="57"/>
        <v>0.11644051751341111</v>
      </c>
      <c r="AN85" s="202">
        <f t="shared" si="58"/>
        <v>0.10026171485543367</v>
      </c>
    </row>
    <row r="86" spans="1:40">
      <c r="A86" s="27" t="s">
        <v>138</v>
      </c>
      <c r="B86" s="163">
        <v>165100</v>
      </c>
      <c r="C86" s="164">
        <v>188000</v>
      </c>
      <c r="D86" s="164">
        <v>160200</v>
      </c>
      <c r="E86" s="164">
        <v>188600</v>
      </c>
      <c r="F86" s="167">
        <v>701900</v>
      </c>
      <c r="G86" s="163">
        <v>216000</v>
      </c>
      <c r="H86" s="164">
        <v>199700</v>
      </c>
      <c r="I86" s="164">
        <v>286900</v>
      </c>
      <c r="J86" s="164">
        <v>430200</v>
      </c>
      <c r="K86" s="166">
        <f t="shared" si="40"/>
        <v>0.3797334274869803</v>
      </c>
      <c r="L86" s="167">
        <v>1132900</v>
      </c>
      <c r="M86" s="62">
        <v>284500</v>
      </c>
      <c r="N86" s="63">
        <v>417400</v>
      </c>
      <c r="O86" s="63">
        <v>103500</v>
      </c>
      <c r="P86" s="63">
        <v>434100</v>
      </c>
      <c r="Q86" s="168">
        <v>164300</v>
      </c>
      <c r="R86" s="62">
        <v>534300</v>
      </c>
      <c r="S86" s="63">
        <v>598600</v>
      </c>
      <c r="T86" s="63">
        <v>161800</v>
      </c>
      <c r="U86" s="63">
        <v>768000</v>
      </c>
      <c r="V86" s="64">
        <v>203000</v>
      </c>
      <c r="W86" s="169">
        <f t="shared" si="41"/>
        <v>818800</v>
      </c>
      <c r="X86" s="170">
        <f t="shared" si="42"/>
        <v>1016000</v>
      </c>
      <c r="Y86" s="170">
        <f t="shared" si="43"/>
        <v>265300</v>
      </c>
      <c r="Z86" s="170">
        <f t="shared" si="44"/>
        <v>1202100</v>
      </c>
      <c r="AA86" s="171">
        <f t="shared" si="45"/>
        <v>367300</v>
      </c>
      <c r="AB86" s="172">
        <f t="shared" si="46"/>
        <v>1834800</v>
      </c>
      <c r="AC86" s="179">
        <f t="shared" si="47"/>
        <v>4.2526101349630752E-2</v>
      </c>
      <c r="AD86" s="180">
        <f t="shared" si="48"/>
        <v>3.6311709506323897E-2</v>
      </c>
      <c r="AE86" s="180">
        <f t="shared" si="49"/>
        <v>4.3255996854109302E-2</v>
      </c>
      <c r="AF86" s="180">
        <f t="shared" si="50"/>
        <v>3.8351904638507461E-2</v>
      </c>
      <c r="AG86" s="181">
        <f t="shared" si="51"/>
        <v>3.815715093273031E-2</v>
      </c>
      <c r="AH86" s="182">
        <f t="shared" si="52"/>
        <v>3.9134620830265643E-2</v>
      </c>
      <c r="AI86" s="200">
        <f t="shared" si="53"/>
        <v>0.12891217427271484</v>
      </c>
      <c r="AJ86" s="166">
        <f t="shared" si="54"/>
        <v>0.11980601785517475</v>
      </c>
      <c r="AK86" s="166">
        <f t="shared" si="55"/>
        <v>0.11846543001686349</v>
      </c>
      <c r="AL86" s="166">
        <f t="shared" si="56"/>
        <v>0.12240896358543418</v>
      </c>
      <c r="AM86" s="201">
        <f t="shared" si="57"/>
        <v>0.13224414303329213</v>
      </c>
      <c r="AN86" s="202">
        <f t="shared" si="58"/>
        <v>0.12392036753445645</v>
      </c>
    </row>
    <row r="87" spans="1:40">
      <c r="A87" s="27" t="s">
        <v>139</v>
      </c>
      <c r="B87" s="163">
        <v>165400</v>
      </c>
      <c r="C87" s="164">
        <v>187500</v>
      </c>
      <c r="D87" s="164">
        <v>163300</v>
      </c>
      <c r="E87" s="164">
        <v>188200</v>
      </c>
      <c r="F87" s="167">
        <v>704300</v>
      </c>
      <c r="G87" s="163">
        <v>213900</v>
      </c>
      <c r="H87" s="164">
        <v>191500</v>
      </c>
      <c r="I87" s="164">
        <v>305100</v>
      </c>
      <c r="J87" s="164">
        <v>442200</v>
      </c>
      <c r="K87" s="166">
        <f t="shared" si="40"/>
        <v>0.38365434669442999</v>
      </c>
      <c r="L87" s="167">
        <v>1152600</v>
      </c>
      <c r="M87" s="62">
        <v>284800</v>
      </c>
      <c r="N87" s="63">
        <v>419500</v>
      </c>
      <c r="O87" s="63">
        <v>101300</v>
      </c>
      <c r="P87" s="63">
        <v>435900</v>
      </c>
      <c r="Q87" s="168">
        <v>167100</v>
      </c>
      <c r="R87" s="62">
        <v>543700</v>
      </c>
      <c r="S87" s="63">
        <v>608900</v>
      </c>
      <c r="T87" s="63">
        <v>161600</v>
      </c>
      <c r="U87" s="63">
        <v>781800</v>
      </c>
      <c r="V87" s="64">
        <v>209200</v>
      </c>
      <c r="W87" s="169">
        <f t="shared" si="41"/>
        <v>828500</v>
      </c>
      <c r="X87" s="170">
        <f t="shared" si="42"/>
        <v>1028400</v>
      </c>
      <c r="Y87" s="170">
        <f t="shared" si="43"/>
        <v>262900</v>
      </c>
      <c r="Z87" s="170">
        <f t="shared" si="44"/>
        <v>1217700</v>
      </c>
      <c r="AA87" s="171">
        <f t="shared" si="45"/>
        <v>376300</v>
      </c>
      <c r="AB87" s="172">
        <f t="shared" si="46"/>
        <v>1856900</v>
      </c>
      <c r="AC87" s="179">
        <f t="shared" si="47"/>
        <v>1.1846604787493886E-2</v>
      </c>
      <c r="AD87" s="180">
        <f t="shared" si="48"/>
        <v>1.2204724409448753E-2</v>
      </c>
      <c r="AE87" s="180">
        <f t="shared" si="49"/>
        <v>-9.0463626083678861E-3</v>
      </c>
      <c r="AF87" s="180">
        <f t="shared" si="50"/>
        <v>1.2977289742949871E-2</v>
      </c>
      <c r="AG87" s="181">
        <f t="shared" si="51"/>
        <v>2.4503130955622066E-2</v>
      </c>
      <c r="AH87" s="182">
        <f t="shared" si="52"/>
        <v>1.2044909526923941E-2</v>
      </c>
      <c r="AI87" s="200">
        <f t="shared" si="53"/>
        <v>0.11778197517539124</v>
      </c>
      <c r="AJ87" s="166">
        <f t="shared" si="54"/>
        <v>0.11443433029908978</v>
      </c>
      <c r="AK87" s="166">
        <f t="shared" si="55"/>
        <v>0.10046044370029295</v>
      </c>
      <c r="AL87" s="166">
        <f t="shared" si="56"/>
        <v>0.11419160032939879</v>
      </c>
      <c r="AM87" s="201">
        <f t="shared" si="57"/>
        <v>0.13343373493975896</v>
      </c>
      <c r="AN87" s="202">
        <f t="shared" si="58"/>
        <v>0.11599254762906419</v>
      </c>
    </row>
    <row r="88" spans="1:40">
      <c r="A88" s="60" t="s">
        <v>140</v>
      </c>
      <c r="B88" s="183">
        <v>169500</v>
      </c>
      <c r="C88" s="184">
        <v>190100</v>
      </c>
      <c r="D88" s="184">
        <v>161600</v>
      </c>
      <c r="E88" s="184">
        <v>192300</v>
      </c>
      <c r="F88" s="185">
        <v>713600</v>
      </c>
      <c r="G88" s="183">
        <v>213300</v>
      </c>
      <c r="H88" s="184">
        <v>189900</v>
      </c>
      <c r="I88" s="184">
        <v>315800</v>
      </c>
      <c r="J88" s="184">
        <v>442400</v>
      </c>
      <c r="K88" s="186">
        <f t="shared" si="40"/>
        <v>0.38088678433060696</v>
      </c>
      <c r="L88" s="185">
        <v>1161500</v>
      </c>
      <c r="M88" s="66">
        <v>288600</v>
      </c>
      <c r="N88" s="67">
        <v>425000</v>
      </c>
      <c r="O88" s="67">
        <v>102300</v>
      </c>
      <c r="P88" s="67">
        <v>440900</v>
      </c>
      <c r="Q88" s="187">
        <v>170400</v>
      </c>
      <c r="R88" s="66">
        <v>547400</v>
      </c>
      <c r="S88" s="67">
        <v>614100</v>
      </c>
      <c r="T88" s="67">
        <v>161600</v>
      </c>
      <c r="U88" s="67">
        <v>787300</v>
      </c>
      <c r="V88" s="68">
        <v>212600</v>
      </c>
      <c r="W88" s="188">
        <f t="shared" si="41"/>
        <v>836000</v>
      </c>
      <c r="X88" s="189">
        <f t="shared" si="42"/>
        <v>1039100</v>
      </c>
      <c r="Y88" s="189">
        <f t="shared" si="43"/>
        <v>263900</v>
      </c>
      <c r="Z88" s="189">
        <f t="shared" si="44"/>
        <v>1228200</v>
      </c>
      <c r="AA88" s="190">
        <f t="shared" si="45"/>
        <v>383000</v>
      </c>
      <c r="AB88" s="191">
        <f t="shared" si="46"/>
        <v>1875100</v>
      </c>
      <c r="AC88" s="192">
        <f t="shared" si="47"/>
        <v>9.0525045262521697E-3</v>
      </c>
      <c r="AD88" s="193">
        <f t="shared" si="48"/>
        <v>1.0404511863088217E-2</v>
      </c>
      <c r="AE88" s="193">
        <f t="shared" si="49"/>
        <v>3.8037276530999975E-3</v>
      </c>
      <c r="AF88" s="193">
        <f t="shared" si="50"/>
        <v>8.6228135008623585E-3</v>
      </c>
      <c r="AG88" s="194">
        <f t="shared" si="51"/>
        <v>1.7804942864735551E-2</v>
      </c>
      <c r="AH88" s="195">
        <f t="shared" si="52"/>
        <v>9.8012817060693092E-3</v>
      </c>
      <c r="AI88" s="203">
        <f t="shared" si="53"/>
        <v>0.10144927536231885</v>
      </c>
      <c r="AJ88" s="186">
        <f t="shared" si="54"/>
        <v>9.6444022369948312E-2</v>
      </c>
      <c r="AK88" s="186">
        <f t="shared" si="55"/>
        <v>7.714285714285718E-2</v>
      </c>
      <c r="AL88" s="186">
        <f t="shared" si="56"/>
        <v>9.6705062952049392E-2</v>
      </c>
      <c r="AM88" s="204">
        <f t="shared" si="57"/>
        <v>0.12086625695054143</v>
      </c>
      <c r="AN88" s="205">
        <f t="shared" si="58"/>
        <v>9.8734325559592273E-2</v>
      </c>
    </row>
    <row r="89" spans="1:40">
      <c r="A89" s="27" t="s">
        <v>141</v>
      </c>
      <c r="B89" s="163">
        <v>168300</v>
      </c>
      <c r="C89" s="164">
        <v>192400</v>
      </c>
      <c r="D89" s="164">
        <v>161900</v>
      </c>
      <c r="E89" s="164">
        <v>194100</v>
      </c>
      <c r="F89" s="167">
        <v>716700</v>
      </c>
      <c r="G89" s="163">
        <v>218700</v>
      </c>
      <c r="H89" s="164">
        <v>191000</v>
      </c>
      <c r="I89" s="164">
        <v>315200</v>
      </c>
      <c r="J89" s="164">
        <v>459000</v>
      </c>
      <c r="K89" s="166">
        <f t="shared" si="40"/>
        <v>0.38766891891891891</v>
      </c>
      <c r="L89" s="167">
        <v>1184000</v>
      </c>
      <c r="M89" s="62">
        <v>289900</v>
      </c>
      <c r="N89" s="63">
        <v>426800</v>
      </c>
      <c r="O89" s="63">
        <v>102800</v>
      </c>
      <c r="P89" s="63">
        <v>442700</v>
      </c>
      <c r="Q89" s="168">
        <v>171200</v>
      </c>
      <c r="R89" s="62">
        <v>555300</v>
      </c>
      <c r="S89" s="63">
        <v>628700</v>
      </c>
      <c r="T89" s="63">
        <v>162800</v>
      </c>
      <c r="U89" s="63">
        <v>801400</v>
      </c>
      <c r="V89" s="64">
        <v>219800</v>
      </c>
      <c r="W89" s="169">
        <f t="shared" si="41"/>
        <v>845200</v>
      </c>
      <c r="X89" s="170">
        <f t="shared" si="42"/>
        <v>1055500</v>
      </c>
      <c r="Y89" s="170">
        <f t="shared" si="43"/>
        <v>265600</v>
      </c>
      <c r="Z89" s="170">
        <f t="shared" si="44"/>
        <v>1244100</v>
      </c>
      <c r="AA89" s="171">
        <f t="shared" si="45"/>
        <v>391000</v>
      </c>
      <c r="AB89" s="172">
        <f t="shared" si="46"/>
        <v>1900700</v>
      </c>
      <c r="AC89" s="179">
        <f t="shared" si="47"/>
        <v>1.1004784688995128E-2</v>
      </c>
      <c r="AD89" s="180">
        <f t="shared" si="48"/>
        <v>1.5782889038591152E-2</v>
      </c>
      <c r="AE89" s="180">
        <f t="shared" si="49"/>
        <v>6.4418340280409936E-3</v>
      </c>
      <c r="AF89" s="180">
        <f t="shared" si="50"/>
        <v>1.2945774303859237E-2</v>
      </c>
      <c r="AG89" s="181">
        <f t="shared" si="51"/>
        <v>2.088772845953013E-2</v>
      </c>
      <c r="AH89" s="182">
        <f t="shared" si="52"/>
        <v>1.3652605194389711E-2</v>
      </c>
      <c r="AI89" s="200">
        <f t="shared" si="53"/>
        <v>7.6139546727782115E-2</v>
      </c>
      <c r="AJ89" s="166">
        <f t="shared" si="54"/>
        <v>7.6601387188902414E-2</v>
      </c>
      <c r="AK89" s="166">
        <f t="shared" si="55"/>
        <v>4.4435705859221297E-2</v>
      </c>
      <c r="AL89" s="166">
        <f t="shared" si="56"/>
        <v>7.463073335060888E-2</v>
      </c>
      <c r="AM89" s="201">
        <f t="shared" si="57"/>
        <v>0.105144149236857</v>
      </c>
      <c r="AN89" s="202">
        <f t="shared" si="58"/>
        <v>7.6456929263181816E-2</v>
      </c>
    </row>
    <row r="90" spans="1:40">
      <c r="A90" s="27" t="s">
        <v>142</v>
      </c>
      <c r="B90" s="163">
        <v>171000</v>
      </c>
      <c r="C90" s="164">
        <v>193500</v>
      </c>
      <c r="D90" s="164">
        <v>163200</v>
      </c>
      <c r="E90" s="164">
        <v>196100</v>
      </c>
      <c r="F90" s="167">
        <v>723900</v>
      </c>
      <c r="G90" s="163">
        <v>211900</v>
      </c>
      <c r="H90" s="164">
        <v>194100</v>
      </c>
      <c r="I90" s="164">
        <v>326900</v>
      </c>
      <c r="J90" s="164">
        <v>452700</v>
      </c>
      <c r="K90" s="166">
        <f t="shared" si="40"/>
        <v>0.38179978072024962</v>
      </c>
      <c r="L90" s="167">
        <v>1185700</v>
      </c>
      <c r="M90" s="62">
        <v>293100</v>
      </c>
      <c r="N90" s="63">
        <v>430700</v>
      </c>
      <c r="O90" s="63">
        <v>102400</v>
      </c>
      <c r="P90" s="63">
        <v>446400</v>
      </c>
      <c r="Q90" s="168">
        <v>175100</v>
      </c>
      <c r="R90" s="62">
        <v>554300</v>
      </c>
      <c r="S90" s="63">
        <v>631300</v>
      </c>
      <c r="T90" s="63">
        <v>159400</v>
      </c>
      <c r="U90" s="63">
        <v>801800</v>
      </c>
      <c r="V90" s="64">
        <v>224400</v>
      </c>
      <c r="W90" s="169">
        <f t="shared" si="41"/>
        <v>847400</v>
      </c>
      <c r="X90" s="170">
        <f t="shared" si="42"/>
        <v>1062000</v>
      </c>
      <c r="Y90" s="170">
        <f t="shared" si="43"/>
        <v>261800</v>
      </c>
      <c r="Z90" s="170">
        <f t="shared" si="44"/>
        <v>1248200</v>
      </c>
      <c r="AA90" s="171">
        <f t="shared" si="45"/>
        <v>399500</v>
      </c>
      <c r="AB90" s="172">
        <f t="shared" si="46"/>
        <v>1909600</v>
      </c>
      <c r="AC90" s="179">
        <f t="shared" si="47"/>
        <v>2.6029342167535052E-3</v>
      </c>
      <c r="AD90" s="180">
        <f t="shared" si="48"/>
        <v>6.1582188536237759E-3</v>
      </c>
      <c r="AE90" s="180">
        <f t="shared" si="49"/>
        <v>-1.4307228915662606E-2</v>
      </c>
      <c r="AF90" s="180">
        <f t="shared" si="50"/>
        <v>3.2955550196929195E-3</v>
      </c>
      <c r="AG90" s="181">
        <f t="shared" si="51"/>
        <v>2.1739130434782705E-2</v>
      </c>
      <c r="AH90" s="182">
        <f t="shared" si="52"/>
        <v>4.6824854001157323E-3</v>
      </c>
      <c r="AI90" s="200">
        <f t="shared" si="53"/>
        <v>3.4929164631167575E-2</v>
      </c>
      <c r="AJ90" s="166">
        <f t="shared" si="54"/>
        <v>4.5275590551181022E-2</v>
      </c>
      <c r="AK90" s="166">
        <f t="shared" si="55"/>
        <v>-1.319261213720313E-2</v>
      </c>
      <c r="AL90" s="166">
        <f t="shared" si="56"/>
        <v>3.8349554945511954E-2</v>
      </c>
      <c r="AM90" s="201">
        <f t="shared" si="57"/>
        <v>8.7666757419003538E-2</v>
      </c>
      <c r="AN90" s="202">
        <f t="shared" si="58"/>
        <v>4.0767386091127067E-2</v>
      </c>
    </row>
    <row r="91" spans="1:40">
      <c r="A91" s="27" t="s">
        <v>143</v>
      </c>
      <c r="B91" s="163">
        <v>168800</v>
      </c>
      <c r="C91" s="164">
        <v>192500</v>
      </c>
      <c r="D91" s="164">
        <v>165800</v>
      </c>
      <c r="E91" s="164">
        <v>194600</v>
      </c>
      <c r="F91" s="167">
        <v>721800</v>
      </c>
      <c r="G91" s="163">
        <v>220000</v>
      </c>
      <c r="H91" s="164">
        <v>201500</v>
      </c>
      <c r="I91" s="164">
        <v>333200</v>
      </c>
      <c r="J91" s="164">
        <v>481700</v>
      </c>
      <c r="K91" s="166">
        <f t="shared" si="40"/>
        <v>0.38959883532837269</v>
      </c>
      <c r="L91" s="167">
        <v>1236400</v>
      </c>
      <c r="M91" s="62">
        <v>292100</v>
      </c>
      <c r="N91" s="63">
        <v>429700</v>
      </c>
      <c r="O91" s="63">
        <v>102100</v>
      </c>
      <c r="P91" s="63">
        <v>443900</v>
      </c>
      <c r="Q91" s="168">
        <v>175800</v>
      </c>
      <c r="R91" s="62">
        <v>580000</v>
      </c>
      <c r="S91" s="63">
        <v>656300</v>
      </c>
      <c r="T91" s="63">
        <v>165000</v>
      </c>
      <c r="U91" s="63">
        <v>834600</v>
      </c>
      <c r="V91" s="64">
        <v>236800</v>
      </c>
      <c r="W91" s="169">
        <f t="shared" si="41"/>
        <v>872100</v>
      </c>
      <c r="X91" s="170">
        <f t="shared" si="42"/>
        <v>1086000</v>
      </c>
      <c r="Y91" s="170">
        <f t="shared" si="43"/>
        <v>267100</v>
      </c>
      <c r="Z91" s="170">
        <f t="shared" si="44"/>
        <v>1278500</v>
      </c>
      <c r="AA91" s="171">
        <f t="shared" si="45"/>
        <v>412600</v>
      </c>
      <c r="AB91" s="172">
        <f t="shared" si="46"/>
        <v>1958200</v>
      </c>
      <c r="AC91" s="179">
        <f t="shared" si="47"/>
        <v>2.9147982062780242E-2</v>
      </c>
      <c r="AD91" s="180">
        <f t="shared" si="48"/>
        <v>2.2598870056497189E-2</v>
      </c>
      <c r="AE91" s="180">
        <f t="shared" si="49"/>
        <v>2.0244461420932058E-2</v>
      </c>
      <c r="AF91" s="180">
        <f t="shared" si="50"/>
        <v>2.4274955936548714E-2</v>
      </c>
      <c r="AG91" s="181">
        <f t="shared" si="51"/>
        <v>3.2790988735919901E-2</v>
      </c>
      <c r="AH91" s="182">
        <f t="shared" si="52"/>
        <v>2.545035609551749E-2</v>
      </c>
      <c r="AI91" s="200">
        <f t="shared" si="53"/>
        <v>5.2625226312613238E-2</v>
      </c>
      <c r="AJ91" s="166">
        <f t="shared" si="54"/>
        <v>5.6009334889148166E-2</v>
      </c>
      <c r="AK91" s="166">
        <f t="shared" si="55"/>
        <v>1.5975656143020212E-2</v>
      </c>
      <c r="AL91" s="166">
        <f t="shared" si="56"/>
        <v>4.9930196271659621E-2</v>
      </c>
      <c r="AM91" s="201">
        <f t="shared" si="57"/>
        <v>9.6465585968642076E-2</v>
      </c>
      <c r="AN91" s="202">
        <f t="shared" si="58"/>
        <v>5.4553287737627132E-2</v>
      </c>
    </row>
    <row r="92" spans="1:40" s="12" customFormat="1">
      <c r="A92" s="60" t="s">
        <v>144</v>
      </c>
      <c r="B92" s="183">
        <v>167300</v>
      </c>
      <c r="C92" s="184">
        <v>193000</v>
      </c>
      <c r="D92" s="184">
        <v>168400</v>
      </c>
      <c r="E92" s="184">
        <v>196100</v>
      </c>
      <c r="F92" s="185">
        <v>724700</v>
      </c>
      <c r="G92" s="183">
        <v>221300</v>
      </c>
      <c r="H92" s="184">
        <v>200500</v>
      </c>
      <c r="I92" s="184">
        <v>349400</v>
      </c>
      <c r="J92" s="184">
        <v>505200</v>
      </c>
      <c r="K92" s="186">
        <f t="shared" si="40"/>
        <v>0.39580068943904734</v>
      </c>
      <c r="L92" s="185">
        <v>1276400</v>
      </c>
      <c r="M92" s="66">
        <v>295300</v>
      </c>
      <c r="N92" s="67">
        <v>429400</v>
      </c>
      <c r="O92" s="67">
        <v>101000</v>
      </c>
      <c r="P92" s="67">
        <v>445400</v>
      </c>
      <c r="Q92" s="187">
        <v>178300</v>
      </c>
      <c r="R92" s="66">
        <v>598500</v>
      </c>
      <c r="S92" s="67">
        <v>678000</v>
      </c>
      <c r="T92" s="67">
        <v>166500</v>
      </c>
      <c r="U92" s="67">
        <v>860800</v>
      </c>
      <c r="V92" s="68">
        <v>249100</v>
      </c>
      <c r="W92" s="188">
        <f t="shared" si="41"/>
        <v>893800</v>
      </c>
      <c r="X92" s="189">
        <f t="shared" si="42"/>
        <v>1107400</v>
      </c>
      <c r="Y92" s="189">
        <f t="shared" si="43"/>
        <v>267500</v>
      </c>
      <c r="Z92" s="189">
        <f t="shared" si="44"/>
        <v>1306200</v>
      </c>
      <c r="AA92" s="190">
        <f t="shared" si="45"/>
        <v>427400</v>
      </c>
      <c r="AB92" s="191">
        <f t="shared" si="46"/>
        <v>2001100</v>
      </c>
      <c r="AC92" s="192">
        <f t="shared" si="47"/>
        <v>2.4882467606925918E-2</v>
      </c>
      <c r="AD92" s="193">
        <f t="shared" si="48"/>
        <v>1.9705340699815777E-2</v>
      </c>
      <c r="AE92" s="193">
        <f t="shared" si="49"/>
        <v>1.4975664545113787E-3</v>
      </c>
      <c r="AF92" s="193">
        <f t="shared" si="50"/>
        <v>2.1666014861165372E-2</v>
      </c>
      <c r="AG92" s="194">
        <f t="shared" si="51"/>
        <v>3.5870092098885031E-2</v>
      </c>
      <c r="AH92" s="195">
        <f t="shared" si="52"/>
        <v>2.1907874578694697E-2</v>
      </c>
      <c r="AI92" s="203">
        <f t="shared" si="53"/>
        <v>6.9138755980861166E-2</v>
      </c>
      <c r="AJ92" s="186">
        <f t="shared" si="54"/>
        <v>6.5729958618034878E-2</v>
      </c>
      <c r="AK92" s="186">
        <f t="shared" si="55"/>
        <v>1.3641530882910091E-2</v>
      </c>
      <c r="AL92" s="186">
        <f t="shared" si="56"/>
        <v>6.3507572056668238E-2</v>
      </c>
      <c r="AM92" s="204">
        <f t="shared" si="57"/>
        <v>0.1159268929503916</v>
      </c>
      <c r="AN92" s="205">
        <f t="shared" si="58"/>
        <v>6.7196416191136477E-2</v>
      </c>
    </row>
    <row r="93" spans="1:40">
      <c r="A93" s="27" t="s">
        <v>145</v>
      </c>
      <c r="B93" s="163">
        <v>164800</v>
      </c>
      <c r="C93" s="164">
        <v>193700</v>
      </c>
      <c r="D93" s="164">
        <v>167400</v>
      </c>
      <c r="E93" s="164">
        <v>194000</v>
      </c>
      <c r="F93" s="167">
        <v>719900</v>
      </c>
      <c r="G93" s="163">
        <v>229100</v>
      </c>
      <c r="H93" s="164">
        <v>199100</v>
      </c>
      <c r="I93" s="164">
        <v>341500</v>
      </c>
      <c r="J93" s="164">
        <v>532100</v>
      </c>
      <c r="K93" s="166">
        <f t="shared" si="40"/>
        <v>0.40874174220310339</v>
      </c>
      <c r="L93" s="167">
        <v>1301800</v>
      </c>
      <c r="M93" s="62">
        <v>293800</v>
      </c>
      <c r="N93" s="63">
        <v>426100</v>
      </c>
      <c r="O93" s="63">
        <v>99500</v>
      </c>
      <c r="P93" s="63">
        <v>442000</v>
      </c>
      <c r="Q93" s="168">
        <v>178500</v>
      </c>
      <c r="R93" s="62">
        <v>605900</v>
      </c>
      <c r="S93" s="63">
        <v>695900</v>
      </c>
      <c r="T93" s="63">
        <v>164300</v>
      </c>
      <c r="U93" s="63">
        <v>877800</v>
      </c>
      <c r="V93" s="64">
        <v>259700</v>
      </c>
      <c r="W93" s="169">
        <f t="shared" si="41"/>
        <v>899700</v>
      </c>
      <c r="X93" s="170">
        <f t="shared" si="42"/>
        <v>1122000</v>
      </c>
      <c r="Y93" s="170">
        <f t="shared" si="43"/>
        <v>263800</v>
      </c>
      <c r="Z93" s="170">
        <f t="shared" si="44"/>
        <v>1319800</v>
      </c>
      <c r="AA93" s="171">
        <f t="shared" si="45"/>
        <v>438200</v>
      </c>
      <c r="AB93" s="172">
        <f t="shared" si="46"/>
        <v>2021700</v>
      </c>
      <c r="AC93" s="179">
        <f t="shared" si="47"/>
        <v>6.6010293130454034E-3</v>
      </c>
      <c r="AD93" s="180">
        <f t="shared" si="48"/>
        <v>1.3184034675817191E-2</v>
      </c>
      <c r="AE93" s="180">
        <f t="shared" si="49"/>
        <v>-1.3831775700934634E-2</v>
      </c>
      <c r="AF93" s="180">
        <f t="shared" si="50"/>
        <v>1.0411881794518463E-2</v>
      </c>
      <c r="AG93" s="181">
        <f t="shared" si="51"/>
        <v>2.5269068788020599E-2</v>
      </c>
      <c r="AH93" s="182">
        <f t="shared" si="52"/>
        <v>1.0294338114037238E-2</v>
      </c>
      <c r="AI93" s="200">
        <f t="shared" si="53"/>
        <v>6.4481779460482835E-2</v>
      </c>
      <c r="AJ93" s="166">
        <f t="shared" si="54"/>
        <v>6.3003315963997997E-2</v>
      </c>
      <c r="AK93" s="166">
        <f t="shared" si="55"/>
        <v>-6.777108433734913E-3</v>
      </c>
      <c r="AL93" s="166">
        <f t="shared" si="56"/>
        <v>6.0847198778233302E-2</v>
      </c>
      <c r="AM93" s="201">
        <f t="shared" si="57"/>
        <v>0.12071611253196934</v>
      </c>
      <c r="AN93" s="202">
        <f t="shared" si="58"/>
        <v>6.3660756563371335E-2</v>
      </c>
    </row>
    <row r="94" spans="1:40">
      <c r="A94" s="27" t="s">
        <v>146</v>
      </c>
      <c r="B94" s="163">
        <v>166300</v>
      </c>
      <c r="C94" s="164">
        <v>198900</v>
      </c>
      <c r="D94" s="164">
        <v>166300</v>
      </c>
      <c r="E94" s="164">
        <v>198700</v>
      </c>
      <c r="F94" s="167">
        <v>730300</v>
      </c>
      <c r="G94" s="163">
        <v>222100</v>
      </c>
      <c r="H94" s="164">
        <v>203900</v>
      </c>
      <c r="I94" s="164">
        <v>361700</v>
      </c>
      <c r="J94" s="164">
        <v>548900</v>
      </c>
      <c r="K94" s="166">
        <f t="shared" si="40"/>
        <v>0.41066886128983987</v>
      </c>
      <c r="L94" s="167">
        <v>1336600</v>
      </c>
      <c r="M94" s="62">
        <v>295700</v>
      </c>
      <c r="N94" s="63">
        <v>434600</v>
      </c>
      <c r="O94" s="63">
        <v>100700</v>
      </c>
      <c r="P94" s="63">
        <v>447100</v>
      </c>
      <c r="Q94" s="168">
        <v>182500</v>
      </c>
      <c r="R94" s="62">
        <v>623400</v>
      </c>
      <c r="S94" s="63">
        <v>713200</v>
      </c>
      <c r="T94" s="63">
        <v>168800</v>
      </c>
      <c r="U94" s="63">
        <v>899100</v>
      </c>
      <c r="V94" s="64">
        <v>268700</v>
      </c>
      <c r="W94" s="169">
        <f t="shared" si="41"/>
        <v>919100</v>
      </c>
      <c r="X94" s="170">
        <f t="shared" si="42"/>
        <v>1147800</v>
      </c>
      <c r="Y94" s="170">
        <f t="shared" si="43"/>
        <v>269500</v>
      </c>
      <c r="Z94" s="170">
        <f t="shared" si="44"/>
        <v>1346200</v>
      </c>
      <c r="AA94" s="171">
        <f t="shared" si="45"/>
        <v>451200</v>
      </c>
      <c r="AB94" s="172">
        <f t="shared" si="46"/>
        <v>2066900</v>
      </c>
      <c r="AC94" s="179">
        <f t="shared" si="47"/>
        <v>2.1562743136601004E-2</v>
      </c>
      <c r="AD94" s="180">
        <f t="shared" si="48"/>
        <v>2.2994652406417071E-2</v>
      </c>
      <c r="AE94" s="180">
        <f t="shared" si="49"/>
        <v>2.1607278241091654E-2</v>
      </c>
      <c r="AF94" s="180">
        <f t="shared" si="50"/>
        <v>2.0003030762236751E-2</v>
      </c>
      <c r="AG94" s="181">
        <f t="shared" si="51"/>
        <v>2.966681880419908E-2</v>
      </c>
      <c r="AH94" s="182">
        <f t="shared" si="52"/>
        <v>2.235742197160806E-2</v>
      </c>
      <c r="AI94" s="200">
        <f t="shared" si="53"/>
        <v>8.4611753599244777E-2</v>
      </c>
      <c r="AJ94" s="166">
        <f t="shared" si="54"/>
        <v>8.0790960451977423E-2</v>
      </c>
      <c r="AK94" s="166">
        <f t="shared" si="55"/>
        <v>2.9411764705882248E-2</v>
      </c>
      <c r="AL94" s="166">
        <f t="shared" si="56"/>
        <v>7.8513058804678737E-2</v>
      </c>
      <c r="AM94" s="201">
        <f t="shared" si="57"/>
        <v>0.12941176470588234</v>
      </c>
      <c r="AN94" s="202">
        <f t="shared" si="58"/>
        <v>8.2373271889401023E-2</v>
      </c>
    </row>
    <row r="95" spans="1:40">
      <c r="A95" s="27" t="s">
        <v>147</v>
      </c>
      <c r="B95" s="163">
        <v>166700</v>
      </c>
      <c r="C95" s="164">
        <v>203300</v>
      </c>
      <c r="D95" s="164">
        <v>166600</v>
      </c>
      <c r="E95" s="164">
        <v>207700</v>
      </c>
      <c r="F95" s="167">
        <v>744300</v>
      </c>
      <c r="G95" s="163">
        <v>226500</v>
      </c>
      <c r="H95" s="164">
        <v>209500</v>
      </c>
      <c r="I95" s="164">
        <v>375200</v>
      </c>
      <c r="J95" s="164">
        <v>557300</v>
      </c>
      <c r="K95" s="166">
        <f t="shared" si="40"/>
        <v>0.40726395790704473</v>
      </c>
      <c r="L95" s="167">
        <v>1368400</v>
      </c>
      <c r="M95" s="62">
        <v>302400</v>
      </c>
      <c r="N95" s="63">
        <v>441900</v>
      </c>
      <c r="O95" s="63">
        <v>103500</v>
      </c>
      <c r="P95" s="63">
        <v>455100</v>
      </c>
      <c r="Q95" s="168">
        <v>185700</v>
      </c>
      <c r="R95" s="62">
        <v>636100</v>
      </c>
      <c r="S95" s="63">
        <v>732300</v>
      </c>
      <c r="T95" s="63">
        <v>172000</v>
      </c>
      <c r="U95" s="63">
        <v>918300</v>
      </c>
      <c r="V95" s="64">
        <v>278100</v>
      </c>
      <c r="W95" s="169">
        <f t="shared" si="41"/>
        <v>938500</v>
      </c>
      <c r="X95" s="170">
        <f t="shared" si="42"/>
        <v>1174200</v>
      </c>
      <c r="Y95" s="170">
        <f t="shared" si="43"/>
        <v>275500</v>
      </c>
      <c r="Z95" s="170">
        <f t="shared" si="44"/>
        <v>1373400</v>
      </c>
      <c r="AA95" s="171">
        <f t="shared" si="45"/>
        <v>463800</v>
      </c>
      <c r="AB95" s="172">
        <f t="shared" si="46"/>
        <v>2112700</v>
      </c>
      <c r="AC95" s="179">
        <f t="shared" si="47"/>
        <v>2.1107605266021068E-2</v>
      </c>
      <c r="AD95" s="180">
        <f t="shared" si="48"/>
        <v>2.3000522739153206E-2</v>
      </c>
      <c r="AE95" s="180">
        <f t="shared" si="49"/>
        <v>2.226345083487935E-2</v>
      </c>
      <c r="AF95" s="180">
        <f t="shared" si="50"/>
        <v>2.0205021542118562E-2</v>
      </c>
      <c r="AG95" s="181">
        <f t="shared" si="51"/>
        <v>2.7925531914893664E-2</v>
      </c>
      <c r="AH95" s="182">
        <f t="shared" si="52"/>
        <v>2.2158788523876316E-2</v>
      </c>
      <c r="AI95" s="200">
        <f t="shared" si="53"/>
        <v>7.6138057562206152E-2</v>
      </c>
      <c r="AJ95" s="166">
        <f t="shared" si="54"/>
        <v>8.121546961325965E-2</v>
      </c>
      <c r="AK95" s="166">
        <f t="shared" si="55"/>
        <v>3.1448895544739841E-2</v>
      </c>
      <c r="AL95" s="166">
        <f t="shared" si="56"/>
        <v>7.4227610481032436E-2</v>
      </c>
      <c r="AM95" s="201">
        <f t="shared" si="57"/>
        <v>0.12409112942317013</v>
      </c>
      <c r="AN95" s="202">
        <f t="shared" si="58"/>
        <v>7.8898988867327047E-2</v>
      </c>
    </row>
    <row r="96" spans="1:40">
      <c r="A96" s="60" t="s">
        <v>148</v>
      </c>
      <c r="B96" s="183">
        <v>170200</v>
      </c>
      <c r="C96" s="184">
        <v>203900</v>
      </c>
      <c r="D96" s="184">
        <v>173400</v>
      </c>
      <c r="E96" s="184">
        <v>203000</v>
      </c>
      <c r="F96" s="185">
        <v>750600</v>
      </c>
      <c r="G96" s="183">
        <v>221000</v>
      </c>
      <c r="H96" s="184">
        <v>217100</v>
      </c>
      <c r="I96" s="184">
        <v>367200</v>
      </c>
      <c r="J96" s="184">
        <v>600600</v>
      </c>
      <c r="K96" s="186">
        <f t="shared" si="40"/>
        <v>0.42719965858169145</v>
      </c>
      <c r="L96" s="185">
        <v>1405900</v>
      </c>
      <c r="M96" s="66">
        <v>304100</v>
      </c>
      <c r="N96" s="67">
        <v>446500</v>
      </c>
      <c r="O96" s="67">
        <v>103800</v>
      </c>
      <c r="P96" s="67">
        <v>458400</v>
      </c>
      <c r="Q96" s="187">
        <v>188400</v>
      </c>
      <c r="R96" s="66">
        <v>652300</v>
      </c>
      <c r="S96" s="67">
        <v>753600</v>
      </c>
      <c r="T96" s="67">
        <v>174900</v>
      </c>
      <c r="U96" s="67">
        <v>941800</v>
      </c>
      <c r="V96" s="68">
        <v>289200</v>
      </c>
      <c r="W96" s="188">
        <f t="shared" si="41"/>
        <v>956400</v>
      </c>
      <c r="X96" s="189">
        <f t="shared" si="42"/>
        <v>1200100</v>
      </c>
      <c r="Y96" s="189">
        <f t="shared" si="43"/>
        <v>278700</v>
      </c>
      <c r="Z96" s="189">
        <f t="shared" si="44"/>
        <v>1400200</v>
      </c>
      <c r="AA96" s="190">
        <f t="shared" si="45"/>
        <v>477600</v>
      </c>
      <c r="AB96" s="191">
        <f t="shared" si="46"/>
        <v>2156500</v>
      </c>
      <c r="AC96" s="192">
        <f t="shared" si="47"/>
        <v>1.9072988811933866E-2</v>
      </c>
      <c r="AD96" s="193">
        <f t="shared" si="48"/>
        <v>2.2057571112246599E-2</v>
      </c>
      <c r="AE96" s="193">
        <f t="shared" si="49"/>
        <v>1.1615245009074515E-2</v>
      </c>
      <c r="AF96" s="193">
        <f t="shared" si="50"/>
        <v>1.9513615843891108E-2</v>
      </c>
      <c r="AG96" s="194">
        <f t="shared" si="51"/>
        <v>2.9754204398447559E-2</v>
      </c>
      <c r="AH96" s="195">
        <f t="shared" si="52"/>
        <v>2.0731765039996297E-2</v>
      </c>
      <c r="AI96" s="203">
        <f t="shared" si="53"/>
        <v>7.0038039829939613E-2</v>
      </c>
      <c r="AJ96" s="186">
        <f t="shared" si="54"/>
        <v>8.3709590030702552E-2</v>
      </c>
      <c r="AK96" s="186">
        <f t="shared" si="55"/>
        <v>4.1869158878504731E-2</v>
      </c>
      <c r="AL96" s="186">
        <f t="shared" si="56"/>
        <v>7.1964477109171643E-2</v>
      </c>
      <c r="AM96" s="204">
        <f t="shared" si="57"/>
        <v>0.11745437529246616</v>
      </c>
      <c r="AN96" s="205">
        <f t="shared" si="58"/>
        <v>7.7657288491329801E-2</v>
      </c>
    </row>
    <row r="97" spans="1:40">
      <c r="A97" s="27" t="s">
        <v>149</v>
      </c>
      <c r="B97" s="163">
        <v>169600</v>
      </c>
      <c r="C97" s="164">
        <v>209400</v>
      </c>
      <c r="D97" s="164">
        <v>179500</v>
      </c>
      <c r="E97" s="164">
        <v>203200</v>
      </c>
      <c r="F97" s="167">
        <v>761700</v>
      </c>
      <c r="G97" s="163">
        <v>218600</v>
      </c>
      <c r="H97" s="164">
        <v>215700</v>
      </c>
      <c r="I97" s="164">
        <v>384300</v>
      </c>
      <c r="J97" s="164">
        <v>602700</v>
      </c>
      <c r="K97" s="166">
        <f t="shared" si="40"/>
        <v>0.42407824373768649</v>
      </c>
      <c r="L97" s="167">
        <v>1421200</v>
      </c>
      <c r="M97" s="62">
        <v>309500</v>
      </c>
      <c r="N97" s="63">
        <v>452300</v>
      </c>
      <c r="O97" s="63">
        <v>104000</v>
      </c>
      <c r="P97" s="63">
        <v>465700</v>
      </c>
      <c r="Q97" s="168">
        <v>192000</v>
      </c>
      <c r="R97" s="62">
        <v>655900</v>
      </c>
      <c r="S97" s="63">
        <v>765300</v>
      </c>
      <c r="T97" s="63">
        <v>173500</v>
      </c>
      <c r="U97" s="63">
        <v>949800</v>
      </c>
      <c r="V97" s="64">
        <v>297900</v>
      </c>
      <c r="W97" s="169">
        <f t="shared" si="41"/>
        <v>965400</v>
      </c>
      <c r="X97" s="170">
        <f t="shared" si="42"/>
        <v>1217600</v>
      </c>
      <c r="Y97" s="170">
        <f t="shared" si="43"/>
        <v>277500</v>
      </c>
      <c r="Z97" s="170">
        <f t="shared" si="44"/>
        <v>1415500</v>
      </c>
      <c r="AA97" s="171">
        <f t="shared" si="45"/>
        <v>489900</v>
      </c>
      <c r="AB97" s="172">
        <f t="shared" si="46"/>
        <v>2182900</v>
      </c>
      <c r="AC97" s="179">
        <f t="shared" si="47"/>
        <v>9.4102885821831794E-3</v>
      </c>
      <c r="AD97" s="180">
        <f t="shared" si="48"/>
        <v>1.4582118156820201E-2</v>
      </c>
      <c r="AE97" s="180">
        <f t="shared" si="49"/>
        <v>-4.3057050592034685E-3</v>
      </c>
      <c r="AF97" s="180">
        <f t="shared" si="50"/>
        <v>1.0927010427081774E-2</v>
      </c>
      <c r="AG97" s="181">
        <f t="shared" si="51"/>
        <v>2.5753768844221092E-2</v>
      </c>
      <c r="AH97" s="182">
        <f t="shared" si="52"/>
        <v>1.2242058891722696E-2</v>
      </c>
      <c r="AI97" s="200">
        <f t="shared" si="53"/>
        <v>7.3024341447148977E-2</v>
      </c>
      <c r="AJ97" s="166">
        <f t="shared" si="54"/>
        <v>8.5204991087344029E-2</v>
      </c>
      <c r="AK97" s="166">
        <f t="shared" si="55"/>
        <v>5.1933282789992319E-2</v>
      </c>
      <c r="AL97" s="166">
        <f t="shared" si="56"/>
        <v>7.2510986513107945E-2</v>
      </c>
      <c r="AM97" s="201">
        <f t="shared" si="57"/>
        <v>0.11798265632131444</v>
      </c>
      <c r="AN97" s="202">
        <f t="shared" si="58"/>
        <v>7.9734876589009351E-2</v>
      </c>
    </row>
    <row r="98" spans="1:40">
      <c r="A98" s="27" t="s">
        <v>150</v>
      </c>
      <c r="B98" s="163">
        <v>167400</v>
      </c>
      <c r="C98" s="164">
        <v>210000</v>
      </c>
      <c r="D98" s="164">
        <v>175100</v>
      </c>
      <c r="E98" s="164">
        <v>207100</v>
      </c>
      <c r="F98" s="167">
        <v>759700</v>
      </c>
      <c r="G98" s="163">
        <v>216700</v>
      </c>
      <c r="H98" s="164">
        <v>216200</v>
      </c>
      <c r="I98" s="164">
        <v>384400</v>
      </c>
      <c r="J98" s="164">
        <v>610200</v>
      </c>
      <c r="K98" s="166">
        <f t="shared" si="40"/>
        <v>0.42746059544658493</v>
      </c>
      <c r="L98" s="167">
        <v>1427500</v>
      </c>
      <c r="M98" s="62">
        <v>307900</v>
      </c>
      <c r="N98" s="63">
        <v>451700</v>
      </c>
      <c r="O98" s="63">
        <v>103600</v>
      </c>
      <c r="P98" s="63">
        <v>462400</v>
      </c>
      <c r="Q98" s="168">
        <v>193700</v>
      </c>
      <c r="R98" s="62">
        <v>655100</v>
      </c>
      <c r="S98" s="63">
        <v>772400</v>
      </c>
      <c r="T98" s="63">
        <v>172400</v>
      </c>
      <c r="U98" s="63">
        <v>949600</v>
      </c>
      <c r="V98" s="64">
        <v>305500</v>
      </c>
      <c r="W98" s="169">
        <f t="shared" si="41"/>
        <v>963000</v>
      </c>
      <c r="X98" s="170">
        <f t="shared" si="42"/>
        <v>1224100</v>
      </c>
      <c r="Y98" s="170">
        <f t="shared" si="43"/>
        <v>276000</v>
      </c>
      <c r="Z98" s="170">
        <f t="shared" si="44"/>
        <v>1412000</v>
      </c>
      <c r="AA98" s="171">
        <f t="shared" si="45"/>
        <v>499200</v>
      </c>
      <c r="AB98" s="172">
        <f t="shared" si="46"/>
        <v>2187200</v>
      </c>
      <c r="AC98" s="179">
        <f t="shared" si="47"/>
        <v>-2.4860161591050423E-3</v>
      </c>
      <c r="AD98" s="180">
        <f t="shared" si="48"/>
        <v>5.3383705650460467E-3</v>
      </c>
      <c r="AE98" s="180">
        <f t="shared" si="49"/>
        <v>-5.4054054054053502E-3</v>
      </c>
      <c r="AF98" s="180">
        <f t="shared" si="50"/>
        <v>-2.4726245143058545E-3</v>
      </c>
      <c r="AG98" s="181">
        <f t="shared" si="51"/>
        <v>1.8983466013472228E-2</v>
      </c>
      <c r="AH98" s="182">
        <f t="shared" si="52"/>
        <v>1.9698566127628325E-3</v>
      </c>
      <c r="AI98" s="200">
        <f t="shared" si="53"/>
        <v>4.7764117071047663E-2</v>
      </c>
      <c r="AJ98" s="166">
        <f t="shared" si="54"/>
        <v>6.6474995643840407E-2</v>
      </c>
      <c r="AK98" s="166">
        <f t="shared" si="55"/>
        <v>2.4118738404452778E-2</v>
      </c>
      <c r="AL98" s="166">
        <f t="shared" si="56"/>
        <v>4.887832417174276E-2</v>
      </c>
      <c r="AM98" s="201">
        <f t="shared" si="57"/>
        <v>0.1063829787234043</v>
      </c>
      <c r="AN98" s="202">
        <f t="shared" si="58"/>
        <v>5.8203106100924051E-2</v>
      </c>
    </row>
    <row r="99" spans="1:40">
      <c r="A99" s="27" t="s">
        <v>151</v>
      </c>
      <c r="B99" s="163">
        <v>165400</v>
      </c>
      <c r="C99" s="164">
        <v>215300</v>
      </c>
      <c r="D99" s="164">
        <v>170900</v>
      </c>
      <c r="E99" s="164">
        <v>207900</v>
      </c>
      <c r="F99" s="167">
        <v>759500</v>
      </c>
      <c r="G99" s="163">
        <v>213700</v>
      </c>
      <c r="H99" s="164">
        <v>215200</v>
      </c>
      <c r="I99" s="164">
        <v>388600</v>
      </c>
      <c r="J99" s="164">
        <v>608600</v>
      </c>
      <c r="K99" s="166">
        <f t="shared" si="40"/>
        <v>0.42678821879382889</v>
      </c>
      <c r="L99" s="167">
        <v>1426000</v>
      </c>
      <c r="M99" s="62">
        <v>306700</v>
      </c>
      <c r="N99" s="63">
        <v>452800</v>
      </c>
      <c r="O99" s="63">
        <v>103900</v>
      </c>
      <c r="P99" s="63">
        <v>461200</v>
      </c>
      <c r="Q99" s="168">
        <v>194400</v>
      </c>
      <c r="R99" s="62">
        <v>650300</v>
      </c>
      <c r="S99" s="63">
        <v>775700</v>
      </c>
      <c r="T99" s="63">
        <v>170200</v>
      </c>
      <c r="U99" s="63">
        <v>946000</v>
      </c>
      <c r="V99" s="64">
        <v>309800</v>
      </c>
      <c r="W99" s="169">
        <f t="shared" si="41"/>
        <v>957000</v>
      </c>
      <c r="X99" s="170">
        <f t="shared" si="42"/>
        <v>1228500</v>
      </c>
      <c r="Y99" s="170">
        <f t="shared" si="43"/>
        <v>274100</v>
      </c>
      <c r="Z99" s="170">
        <f t="shared" si="44"/>
        <v>1407200</v>
      </c>
      <c r="AA99" s="171">
        <f t="shared" si="45"/>
        <v>504200</v>
      </c>
      <c r="AB99" s="172">
        <f t="shared" si="46"/>
        <v>2185500</v>
      </c>
      <c r="AC99" s="179">
        <f t="shared" si="47"/>
        <v>-6.230529595015577E-3</v>
      </c>
      <c r="AD99" s="180">
        <f t="shared" si="48"/>
        <v>3.5944775753615765E-3</v>
      </c>
      <c r="AE99" s="180">
        <f t="shared" si="49"/>
        <v>-6.8840579710145455E-3</v>
      </c>
      <c r="AF99" s="180">
        <f t="shared" si="50"/>
        <v>-3.3994334277620553E-3</v>
      </c>
      <c r="AG99" s="181">
        <f t="shared" si="51"/>
        <v>1.001602564102555E-2</v>
      </c>
      <c r="AH99" s="182">
        <f t="shared" si="52"/>
        <v>-7.7724945135337897E-4</v>
      </c>
      <c r="AI99" s="200">
        <f t="shared" si="53"/>
        <v>1.9712306872669227E-2</v>
      </c>
      <c r="AJ99" s="166">
        <f t="shared" si="54"/>
        <v>4.6244251405212156E-2</v>
      </c>
      <c r="AK99" s="166">
        <f t="shared" si="55"/>
        <v>-5.0816696914700588E-3</v>
      </c>
      <c r="AL99" s="166">
        <f t="shared" si="56"/>
        <v>2.4610455803116382E-2</v>
      </c>
      <c r="AM99" s="201">
        <f t="shared" si="57"/>
        <v>8.7106511427339273E-2</v>
      </c>
      <c r="AN99" s="202">
        <f t="shared" si="58"/>
        <v>3.4458276139537114E-2</v>
      </c>
    </row>
    <row r="100" spans="1:40">
      <c r="A100" s="60" t="s">
        <v>152</v>
      </c>
      <c r="B100" s="183">
        <v>166000</v>
      </c>
      <c r="C100" s="184">
        <v>211700</v>
      </c>
      <c r="D100" s="184">
        <v>172300</v>
      </c>
      <c r="E100" s="184">
        <v>207000</v>
      </c>
      <c r="F100" s="185">
        <v>757000</v>
      </c>
      <c r="G100" s="183">
        <v>212800</v>
      </c>
      <c r="H100" s="184">
        <v>227000</v>
      </c>
      <c r="I100" s="184">
        <v>369300</v>
      </c>
      <c r="J100" s="184">
        <v>628400</v>
      </c>
      <c r="K100" s="186">
        <f t="shared" si="40"/>
        <v>0.43714782608695651</v>
      </c>
      <c r="L100" s="185">
        <v>1437500</v>
      </c>
      <c r="M100" s="66">
        <v>306000</v>
      </c>
      <c r="N100" s="67">
        <v>450900</v>
      </c>
      <c r="O100" s="67">
        <v>102800</v>
      </c>
      <c r="P100" s="67">
        <v>459300</v>
      </c>
      <c r="Q100" s="187">
        <v>194900</v>
      </c>
      <c r="R100" s="66">
        <v>654500</v>
      </c>
      <c r="S100" s="67">
        <v>783000</v>
      </c>
      <c r="T100" s="67">
        <v>169700</v>
      </c>
      <c r="U100" s="67">
        <v>950600</v>
      </c>
      <c r="V100" s="68">
        <v>317200</v>
      </c>
      <c r="W100" s="188">
        <f t="shared" si="41"/>
        <v>960500</v>
      </c>
      <c r="X100" s="189">
        <f t="shared" si="42"/>
        <v>1233900</v>
      </c>
      <c r="Y100" s="189">
        <f t="shared" si="43"/>
        <v>272500</v>
      </c>
      <c r="Z100" s="189">
        <f t="shared" si="44"/>
        <v>1409900</v>
      </c>
      <c r="AA100" s="190">
        <f t="shared" si="45"/>
        <v>512100</v>
      </c>
      <c r="AB100" s="191">
        <f t="shared" si="46"/>
        <v>2194500</v>
      </c>
      <c r="AC100" s="192">
        <f t="shared" si="47"/>
        <v>3.6572622779518227E-3</v>
      </c>
      <c r="AD100" s="193">
        <f t="shared" si="48"/>
        <v>4.39560439560438E-3</v>
      </c>
      <c r="AE100" s="193">
        <f t="shared" si="49"/>
        <v>-5.8372856621671243E-3</v>
      </c>
      <c r="AF100" s="193">
        <f t="shared" si="50"/>
        <v>1.9187038089822916E-3</v>
      </c>
      <c r="AG100" s="194">
        <f t="shared" si="51"/>
        <v>1.5668385561285136E-2</v>
      </c>
      <c r="AH100" s="195">
        <f t="shared" si="52"/>
        <v>4.1180507892930596E-3</v>
      </c>
      <c r="AI100" s="203">
        <f t="shared" si="53"/>
        <v>4.2869092429944633E-3</v>
      </c>
      <c r="AJ100" s="186">
        <f t="shared" si="54"/>
        <v>2.8164319640030078E-2</v>
      </c>
      <c r="AK100" s="186">
        <f t="shared" si="55"/>
        <v>-2.2246142805884439E-2</v>
      </c>
      <c r="AL100" s="186">
        <f t="shared" si="56"/>
        <v>6.9275817740321877E-3</v>
      </c>
      <c r="AM100" s="204">
        <f t="shared" si="57"/>
        <v>7.2236180904522662E-2</v>
      </c>
      <c r="AN100" s="205">
        <f t="shared" si="58"/>
        <v>1.7621145374449254E-2</v>
      </c>
    </row>
    <row r="101" spans="1:40">
      <c r="A101" s="27" t="s">
        <v>153</v>
      </c>
      <c r="B101" s="163">
        <v>169600</v>
      </c>
      <c r="C101" s="164">
        <v>210800</v>
      </c>
      <c r="D101" s="164">
        <v>173400</v>
      </c>
      <c r="E101" s="164">
        <v>207400</v>
      </c>
      <c r="F101" s="167">
        <v>761200</v>
      </c>
      <c r="G101" s="163">
        <v>216300</v>
      </c>
      <c r="H101" s="164">
        <v>210200</v>
      </c>
      <c r="I101" s="164">
        <v>394600</v>
      </c>
      <c r="J101" s="164">
        <v>629700</v>
      </c>
      <c r="K101" s="166">
        <f t="shared" si="40"/>
        <v>0.43403639371381308</v>
      </c>
      <c r="L101" s="167">
        <v>1450800</v>
      </c>
      <c r="M101" s="62">
        <v>308500</v>
      </c>
      <c r="N101" s="63">
        <v>452700</v>
      </c>
      <c r="O101" s="63">
        <v>103000</v>
      </c>
      <c r="P101" s="63">
        <v>461400</v>
      </c>
      <c r="Q101" s="168">
        <v>196700</v>
      </c>
      <c r="R101" s="62">
        <v>659300</v>
      </c>
      <c r="S101" s="63">
        <v>791500</v>
      </c>
      <c r="T101" s="63">
        <v>169400</v>
      </c>
      <c r="U101" s="63">
        <v>956400</v>
      </c>
      <c r="V101" s="64">
        <v>325000</v>
      </c>
      <c r="W101" s="169">
        <f t="shared" si="41"/>
        <v>967800</v>
      </c>
      <c r="X101" s="170">
        <f t="shared" si="42"/>
        <v>1244200</v>
      </c>
      <c r="Y101" s="170">
        <f t="shared" si="43"/>
        <v>272400</v>
      </c>
      <c r="Z101" s="170">
        <f t="shared" si="44"/>
        <v>1417800</v>
      </c>
      <c r="AA101" s="171">
        <f t="shared" si="45"/>
        <v>521700</v>
      </c>
      <c r="AB101" s="172">
        <f t="shared" si="46"/>
        <v>2212000</v>
      </c>
      <c r="AC101" s="179">
        <f t="shared" si="47"/>
        <v>7.6002082248829428E-3</v>
      </c>
      <c r="AD101" s="180">
        <f t="shared" si="48"/>
        <v>8.3475160061592391E-3</v>
      </c>
      <c r="AE101" s="180">
        <f t="shared" si="49"/>
        <v>-3.669724770641869E-4</v>
      </c>
      <c r="AF101" s="180">
        <f t="shared" si="50"/>
        <v>5.6032342719340988E-3</v>
      </c>
      <c r="AG101" s="181">
        <f t="shared" si="51"/>
        <v>1.8746338605741153E-2</v>
      </c>
      <c r="AH101" s="182">
        <f t="shared" si="52"/>
        <v>7.9744816586921896E-3</v>
      </c>
      <c r="AI101" s="200">
        <f t="shared" si="53"/>
        <v>2.4860161591049312E-3</v>
      </c>
      <c r="AJ101" s="166">
        <f t="shared" si="54"/>
        <v>2.1846254927726738E-2</v>
      </c>
      <c r="AK101" s="166">
        <f t="shared" si="55"/>
        <v>-1.8378378378378413E-2</v>
      </c>
      <c r="AL101" s="166">
        <f t="shared" si="56"/>
        <v>1.6248675379724187E-3</v>
      </c>
      <c r="AM101" s="201">
        <f t="shared" si="57"/>
        <v>6.4911206368646557E-2</v>
      </c>
      <c r="AN101" s="202">
        <f t="shared" si="58"/>
        <v>1.3330890100325288E-2</v>
      </c>
    </row>
    <row r="102" spans="1:40">
      <c r="A102" s="27" t="s">
        <v>154</v>
      </c>
      <c r="B102" s="163">
        <v>163900</v>
      </c>
      <c r="C102" s="164">
        <v>210700</v>
      </c>
      <c r="D102" s="164">
        <v>168900</v>
      </c>
      <c r="E102" s="164">
        <v>203600</v>
      </c>
      <c r="F102" s="167">
        <v>747200</v>
      </c>
      <c r="G102" s="163">
        <v>214700</v>
      </c>
      <c r="H102" s="164">
        <v>208100</v>
      </c>
      <c r="I102" s="164">
        <v>389000</v>
      </c>
      <c r="J102" s="164">
        <v>642900</v>
      </c>
      <c r="K102" s="166">
        <f t="shared" si="40"/>
        <v>0.4419771758559054</v>
      </c>
      <c r="L102" s="167">
        <v>1454600</v>
      </c>
      <c r="M102" s="62">
        <v>301400</v>
      </c>
      <c r="N102" s="63">
        <v>445800</v>
      </c>
      <c r="O102" s="63">
        <v>99900</v>
      </c>
      <c r="P102" s="63">
        <v>450800</v>
      </c>
      <c r="Q102" s="168">
        <v>196400</v>
      </c>
      <c r="R102" s="62">
        <v>660000</v>
      </c>
      <c r="S102" s="63">
        <v>794600</v>
      </c>
      <c r="T102" s="63">
        <v>168900</v>
      </c>
      <c r="U102" s="63">
        <v>956900</v>
      </c>
      <c r="V102" s="64">
        <v>328900</v>
      </c>
      <c r="W102" s="169">
        <f t="shared" si="41"/>
        <v>961400</v>
      </c>
      <c r="X102" s="170">
        <f t="shared" si="42"/>
        <v>1240400</v>
      </c>
      <c r="Y102" s="170">
        <f t="shared" si="43"/>
        <v>268800</v>
      </c>
      <c r="Z102" s="170">
        <f t="shared" si="44"/>
        <v>1407700</v>
      </c>
      <c r="AA102" s="171">
        <f t="shared" si="45"/>
        <v>525300</v>
      </c>
      <c r="AB102" s="172">
        <f t="shared" si="46"/>
        <v>2201800</v>
      </c>
      <c r="AC102" s="179">
        <f t="shared" si="47"/>
        <v>-6.6129365571399035E-3</v>
      </c>
      <c r="AD102" s="180">
        <f t="shared" si="48"/>
        <v>-3.0541713550875649E-3</v>
      </c>
      <c r="AE102" s="180">
        <f t="shared" si="49"/>
        <v>-1.3215859030836996E-2</v>
      </c>
      <c r="AF102" s="180">
        <f t="shared" si="50"/>
        <v>-7.1237127944703271E-3</v>
      </c>
      <c r="AG102" s="181">
        <f t="shared" si="51"/>
        <v>6.9005175388154871E-3</v>
      </c>
      <c r="AH102" s="182">
        <f t="shared" si="52"/>
        <v>-4.6112115732368508E-3</v>
      </c>
      <c r="AI102" s="200">
        <f t="shared" si="53"/>
        <v>-1.6614745586708279E-3</v>
      </c>
      <c r="AJ102" s="166">
        <f t="shared" si="54"/>
        <v>1.3315905563271002E-2</v>
      </c>
      <c r="AK102" s="166">
        <f t="shared" si="55"/>
        <v>-2.6086956521739091E-2</v>
      </c>
      <c r="AL102" s="166">
        <f t="shared" si="56"/>
        <v>-3.0453257790368227E-3</v>
      </c>
      <c r="AM102" s="201">
        <f t="shared" si="57"/>
        <v>5.2283653846153744E-2</v>
      </c>
      <c r="AN102" s="202">
        <f t="shared" si="58"/>
        <v>6.6752011704462877E-3</v>
      </c>
    </row>
    <row r="103" spans="1:40">
      <c r="A103" s="27" t="s">
        <v>155</v>
      </c>
      <c r="B103" s="163">
        <v>168300</v>
      </c>
      <c r="C103" s="164">
        <v>203600</v>
      </c>
      <c r="D103" s="164">
        <v>166300</v>
      </c>
      <c r="E103" s="164">
        <v>197900</v>
      </c>
      <c r="F103" s="167">
        <v>736100</v>
      </c>
      <c r="G103" s="163">
        <v>204500</v>
      </c>
      <c r="H103" s="164">
        <v>205300</v>
      </c>
      <c r="I103" s="164">
        <v>379700</v>
      </c>
      <c r="J103" s="164">
        <v>631000</v>
      </c>
      <c r="K103" s="166">
        <f t="shared" si="40"/>
        <v>0.4441785161199493</v>
      </c>
      <c r="L103" s="167">
        <v>1420600</v>
      </c>
      <c r="M103" s="62">
        <v>299300</v>
      </c>
      <c r="N103" s="63">
        <v>436800</v>
      </c>
      <c r="O103" s="63">
        <v>95400</v>
      </c>
      <c r="P103" s="63">
        <v>444700</v>
      </c>
      <c r="Q103" s="168">
        <v>195900</v>
      </c>
      <c r="R103" s="62">
        <v>639800</v>
      </c>
      <c r="S103" s="63">
        <v>780800</v>
      </c>
      <c r="T103" s="63">
        <v>160600</v>
      </c>
      <c r="U103" s="63">
        <v>933000</v>
      </c>
      <c r="V103" s="64">
        <v>327000</v>
      </c>
      <c r="W103" s="169">
        <f t="shared" si="41"/>
        <v>939100</v>
      </c>
      <c r="X103" s="170">
        <f t="shared" si="42"/>
        <v>1217600</v>
      </c>
      <c r="Y103" s="170">
        <f t="shared" si="43"/>
        <v>256000</v>
      </c>
      <c r="Z103" s="170">
        <f t="shared" si="44"/>
        <v>1377700</v>
      </c>
      <c r="AA103" s="171">
        <f t="shared" si="45"/>
        <v>522900</v>
      </c>
      <c r="AB103" s="172">
        <f t="shared" si="46"/>
        <v>2156700</v>
      </c>
      <c r="AC103" s="179">
        <f t="shared" si="47"/>
        <v>-2.3195340128978614E-2</v>
      </c>
      <c r="AD103" s="180">
        <f t="shared" si="48"/>
        <v>-1.8381167365365991E-2</v>
      </c>
      <c r="AE103" s="180">
        <f t="shared" si="49"/>
        <v>-4.7619047619047672E-2</v>
      </c>
      <c r="AF103" s="180">
        <f t="shared" si="50"/>
        <v>-2.1311358954322679E-2</v>
      </c>
      <c r="AG103" s="181">
        <f t="shared" si="51"/>
        <v>-4.5688178183894701E-3</v>
      </c>
      <c r="AH103" s="182">
        <f t="shared" si="52"/>
        <v>-2.0483240984648932E-2</v>
      </c>
      <c r="AI103" s="200">
        <f t="shared" si="53"/>
        <v>-1.8704284221525591E-2</v>
      </c>
      <c r="AJ103" s="166">
        <f t="shared" si="54"/>
        <v>-8.8726088726088781E-3</v>
      </c>
      <c r="AK103" s="166">
        <f t="shared" si="55"/>
        <v>-6.6034294053265219E-2</v>
      </c>
      <c r="AL103" s="166">
        <f t="shared" si="56"/>
        <v>-2.096361569073335E-2</v>
      </c>
      <c r="AM103" s="201">
        <f t="shared" si="57"/>
        <v>3.7088456961523297E-2</v>
      </c>
      <c r="AN103" s="202">
        <f t="shared" si="58"/>
        <v>-1.3177762525737768E-2</v>
      </c>
    </row>
    <row r="104" spans="1:40" s="34" customFormat="1">
      <c r="A104" s="60" t="s">
        <v>156</v>
      </c>
      <c r="B104" s="183">
        <v>162000</v>
      </c>
      <c r="C104" s="184">
        <v>202900</v>
      </c>
      <c r="D104" s="184">
        <v>162400</v>
      </c>
      <c r="E104" s="184">
        <v>198200</v>
      </c>
      <c r="F104" s="185">
        <v>725500</v>
      </c>
      <c r="G104" s="183">
        <v>203600</v>
      </c>
      <c r="H104" s="184">
        <v>211500</v>
      </c>
      <c r="I104" s="184">
        <v>372000</v>
      </c>
      <c r="J104" s="184">
        <v>630000</v>
      </c>
      <c r="K104" s="186">
        <f t="shared" si="40"/>
        <v>0.4445698962670242</v>
      </c>
      <c r="L104" s="185">
        <v>1417100</v>
      </c>
      <c r="M104" s="66">
        <v>296200</v>
      </c>
      <c r="N104" s="67">
        <v>429300</v>
      </c>
      <c r="O104" s="67">
        <v>91300</v>
      </c>
      <c r="P104" s="67">
        <v>439500</v>
      </c>
      <c r="Q104" s="187">
        <v>194700</v>
      </c>
      <c r="R104" s="66">
        <v>637700</v>
      </c>
      <c r="S104" s="67">
        <v>779400</v>
      </c>
      <c r="T104" s="67">
        <v>155200</v>
      </c>
      <c r="U104" s="67">
        <v>928800</v>
      </c>
      <c r="V104" s="68">
        <v>333100</v>
      </c>
      <c r="W104" s="188">
        <f t="shared" si="41"/>
        <v>933900</v>
      </c>
      <c r="X104" s="189">
        <f t="shared" si="42"/>
        <v>1208700</v>
      </c>
      <c r="Y104" s="189">
        <f t="shared" si="43"/>
        <v>246500</v>
      </c>
      <c r="Z104" s="189">
        <f t="shared" si="44"/>
        <v>1368300</v>
      </c>
      <c r="AA104" s="190">
        <f t="shared" si="45"/>
        <v>527800</v>
      </c>
      <c r="AB104" s="191">
        <f t="shared" si="46"/>
        <v>2142600</v>
      </c>
      <c r="AC104" s="192">
        <f t="shared" si="47"/>
        <v>-5.5372164838675131E-3</v>
      </c>
      <c r="AD104" s="193">
        <f t="shared" si="48"/>
        <v>-7.3094612352168076E-3</v>
      </c>
      <c r="AE104" s="193">
        <f t="shared" si="49"/>
        <v>-3.7109375E-2</v>
      </c>
      <c r="AF104" s="193">
        <f t="shared" si="50"/>
        <v>-6.8229658125862347E-3</v>
      </c>
      <c r="AG104" s="194">
        <f t="shared" si="51"/>
        <v>9.3708165997321569E-3</v>
      </c>
      <c r="AH104" s="195">
        <f t="shared" si="52"/>
        <v>-6.5377660314369646E-3</v>
      </c>
      <c r="AI104" s="203">
        <f t="shared" si="53"/>
        <v>-2.7693909422175977E-2</v>
      </c>
      <c r="AJ104" s="186">
        <f t="shared" si="54"/>
        <v>-2.0423048869438354E-2</v>
      </c>
      <c r="AK104" s="186">
        <f t="shared" si="55"/>
        <v>-9.5412844036697253E-2</v>
      </c>
      <c r="AL104" s="186">
        <f t="shared" si="56"/>
        <v>-2.9505638697780001E-2</v>
      </c>
      <c r="AM104" s="204">
        <f t="shared" si="57"/>
        <v>3.065807459480574E-2</v>
      </c>
      <c r="AN104" s="205">
        <f t="shared" si="58"/>
        <v>-2.3650034176349921E-2</v>
      </c>
    </row>
    <row r="105" spans="1:40">
      <c r="A105" s="27" t="s">
        <v>157</v>
      </c>
      <c r="B105" s="163">
        <v>167800</v>
      </c>
      <c r="C105" s="164">
        <v>211400</v>
      </c>
      <c r="D105" s="164">
        <v>173600</v>
      </c>
      <c r="E105" s="164">
        <v>225600</v>
      </c>
      <c r="F105" s="167">
        <v>778300</v>
      </c>
      <c r="G105" s="163">
        <v>227500</v>
      </c>
      <c r="H105" s="164">
        <v>197100</v>
      </c>
      <c r="I105" s="164">
        <v>344000</v>
      </c>
      <c r="J105" s="164">
        <v>575400</v>
      </c>
      <c r="K105" s="166">
        <f t="shared" si="40"/>
        <v>0.42812499999999998</v>
      </c>
      <c r="L105" s="167">
        <v>1344000</v>
      </c>
      <c r="M105" s="62">
        <v>326500</v>
      </c>
      <c r="N105" s="63">
        <v>451900</v>
      </c>
      <c r="O105" s="63">
        <v>96900</v>
      </c>
      <c r="P105" s="63">
        <v>476300</v>
      </c>
      <c r="Q105" s="168">
        <v>205100</v>
      </c>
      <c r="R105" s="62">
        <v>597400</v>
      </c>
      <c r="S105" s="63">
        <v>746600</v>
      </c>
      <c r="T105" s="63">
        <v>145900</v>
      </c>
      <c r="U105" s="63">
        <v>877900</v>
      </c>
      <c r="V105" s="64">
        <v>320200</v>
      </c>
      <c r="W105" s="169">
        <f t="shared" si="41"/>
        <v>923900</v>
      </c>
      <c r="X105" s="170">
        <f t="shared" si="42"/>
        <v>1198500</v>
      </c>
      <c r="Y105" s="170">
        <f t="shared" si="43"/>
        <v>242800</v>
      </c>
      <c r="Z105" s="170">
        <f t="shared" si="44"/>
        <v>1354200</v>
      </c>
      <c r="AA105" s="171">
        <f t="shared" si="45"/>
        <v>525300</v>
      </c>
      <c r="AB105" s="172">
        <f t="shared" si="46"/>
        <v>2122300</v>
      </c>
      <c r="AC105" s="179">
        <f t="shared" si="47"/>
        <v>-1.0707784559374711E-2</v>
      </c>
      <c r="AD105" s="180">
        <f t="shared" si="48"/>
        <v>-8.4388185654008518E-3</v>
      </c>
      <c r="AE105" s="180">
        <f t="shared" si="49"/>
        <v>-1.5010141987829573E-2</v>
      </c>
      <c r="AF105" s="180">
        <f t="shared" si="50"/>
        <v>-1.0304757728568315E-2</v>
      </c>
      <c r="AG105" s="181">
        <f t="shared" si="51"/>
        <v>-4.7366426676771489E-3</v>
      </c>
      <c r="AH105" s="182">
        <f t="shared" si="52"/>
        <v>-9.4744702697656669E-3</v>
      </c>
      <c r="AI105" s="200">
        <f t="shared" si="53"/>
        <v>-4.5360611696631525E-2</v>
      </c>
      <c r="AJ105" s="166">
        <f t="shared" si="54"/>
        <v>-3.6730429191448311E-2</v>
      </c>
      <c r="AK105" s="166">
        <f t="shared" si="55"/>
        <v>-0.10866372980910421</v>
      </c>
      <c r="AL105" s="166">
        <f t="shared" si="56"/>
        <v>-4.4858231062209097E-2</v>
      </c>
      <c r="AM105" s="201">
        <f t="shared" si="57"/>
        <v>6.9005175388154871E-3</v>
      </c>
      <c r="AN105" s="202">
        <f t="shared" si="58"/>
        <v>-4.055153707052439E-2</v>
      </c>
    </row>
    <row r="106" spans="1:40">
      <c r="A106" s="27" t="s">
        <v>158</v>
      </c>
      <c r="B106" s="163">
        <v>190900</v>
      </c>
      <c r="C106" s="164">
        <v>173400</v>
      </c>
      <c r="D106" s="164">
        <v>132700</v>
      </c>
      <c r="E106" s="164">
        <v>154800</v>
      </c>
      <c r="F106" s="167">
        <v>651800</v>
      </c>
      <c r="G106" s="163">
        <v>160900</v>
      </c>
      <c r="H106" s="164">
        <v>144400</v>
      </c>
      <c r="I106" s="164">
        <v>247000</v>
      </c>
      <c r="J106" s="164">
        <v>468800</v>
      </c>
      <c r="K106" s="166">
        <f t="shared" si="40"/>
        <v>0.45911272157477229</v>
      </c>
      <c r="L106" s="167">
        <v>1021100</v>
      </c>
      <c r="M106" s="62">
        <v>262600</v>
      </c>
      <c r="N106" s="63">
        <v>389200</v>
      </c>
      <c r="O106" s="63">
        <v>76100</v>
      </c>
      <c r="P106" s="63">
        <v>397000</v>
      </c>
      <c r="Q106" s="168">
        <v>178700</v>
      </c>
      <c r="R106" s="62">
        <v>422400</v>
      </c>
      <c r="S106" s="63">
        <v>598600</v>
      </c>
      <c r="T106" s="63">
        <v>107700</v>
      </c>
      <c r="U106" s="63">
        <v>664100</v>
      </c>
      <c r="V106" s="64">
        <v>249200</v>
      </c>
      <c r="W106" s="169">
        <f t="shared" si="41"/>
        <v>685000</v>
      </c>
      <c r="X106" s="170">
        <f t="shared" si="42"/>
        <v>987800</v>
      </c>
      <c r="Y106" s="170">
        <f t="shared" si="43"/>
        <v>183800</v>
      </c>
      <c r="Z106" s="170">
        <f t="shared" si="44"/>
        <v>1061100</v>
      </c>
      <c r="AA106" s="171">
        <f t="shared" si="45"/>
        <v>427900</v>
      </c>
      <c r="AB106" s="172">
        <f t="shared" si="46"/>
        <v>1672900</v>
      </c>
      <c r="AC106" s="179">
        <f t="shared" si="47"/>
        <v>-0.25857776815672695</v>
      </c>
      <c r="AD106" s="180">
        <f t="shared" si="48"/>
        <v>-0.17580308719232374</v>
      </c>
      <c r="AE106" s="180">
        <f t="shared" si="49"/>
        <v>-0.24299835255354196</v>
      </c>
      <c r="AF106" s="180">
        <f t="shared" si="50"/>
        <v>-0.21643774922463443</v>
      </c>
      <c r="AG106" s="181">
        <f t="shared" si="51"/>
        <v>-0.18541785646297348</v>
      </c>
      <c r="AH106" s="182">
        <f t="shared" si="52"/>
        <v>-0.21175140178108653</v>
      </c>
      <c r="AI106" s="200">
        <f t="shared" si="53"/>
        <v>-0.2874973996255461</v>
      </c>
      <c r="AJ106" s="166">
        <f t="shared" si="54"/>
        <v>-0.20364398581102872</v>
      </c>
      <c r="AK106" s="166">
        <f t="shared" si="55"/>
        <v>-0.31622023809523814</v>
      </c>
      <c r="AL106" s="166">
        <f t="shared" si="56"/>
        <v>-0.24621723378560778</v>
      </c>
      <c r="AM106" s="201">
        <f t="shared" si="57"/>
        <v>-0.18541785646297348</v>
      </c>
      <c r="AN106" s="202">
        <f t="shared" si="58"/>
        <v>-0.24021255336542824</v>
      </c>
    </row>
    <row r="107" spans="1:40">
      <c r="A107" s="27" t="s">
        <v>159</v>
      </c>
      <c r="B107" s="163">
        <v>171200</v>
      </c>
      <c r="C107" s="164">
        <v>194900</v>
      </c>
      <c r="D107" s="164">
        <v>162000</v>
      </c>
      <c r="E107" s="164">
        <v>181600</v>
      </c>
      <c r="F107" s="167">
        <v>709800</v>
      </c>
      <c r="G107" s="163">
        <v>196000</v>
      </c>
      <c r="H107" s="164">
        <v>191300</v>
      </c>
      <c r="I107" s="164">
        <v>356800</v>
      </c>
      <c r="J107" s="164">
        <v>643400</v>
      </c>
      <c r="K107" s="166">
        <f t="shared" si="40"/>
        <v>0.46367829345632749</v>
      </c>
      <c r="L107" s="167">
        <v>1387600</v>
      </c>
      <c r="M107" s="62">
        <v>293900</v>
      </c>
      <c r="N107" s="63">
        <v>415900</v>
      </c>
      <c r="O107" s="63">
        <v>93200</v>
      </c>
      <c r="P107" s="63">
        <v>427000</v>
      </c>
      <c r="Q107" s="168">
        <v>189700</v>
      </c>
      <c r="R107" s="62">
        <v>627800</v>
      </c>
      <c r="S107" s="63">
        <v>759800</v>
      </c>
      <c r="T107" s="63">
        <v>158700</v>
      </c>
      <c r="U107" s="63">
        <v>902500</v>
      </c>
      <c r="V107" s="64">
        <v>326400</v>
      </c>
      <c r="W107" s="169">
        <f t="shared" si="41"/>
        <v>921700</v>
      </c>
      <c r="X107" s="170">
        <f t="shared" si="42"/>
        <v>1175700</v>
      </c>
      <c r="Y107" s="170">
        <f t="shared" si="43"/>
        <v>251900</v>
      </c>
      <c r="Z107" s="170">
        <f t="shared" si="44"/>
        <v>1329500</v>
      </c>
      <c r="AA107" s="171">
        <f t="shared" si="45"/>
        <v>516100</v>
      </c>
      <c r="AB107" s="172">
        <f t="shared" si="46"/>
        <v>2097400</v>
      </c>
      <c r="AC107" s="179">
        <f t="shared" si="47"/>
        <v>0.34554744525547454</v>
      </c>
      <c r="AD107" s="180">
        <f t="shared" si="48"/>
        <v>0.19022069244786399</v>
      </c>
      <c r="AE107" s="180">
        <f t="shared" si="49"/>
        <v>0.3705114254624593</v>
      </c>
      <c r="AF107" s="180">
        <f t="shared" si="50"/>
        <v>0.25294505701630388</v>
      </c>
      <c r="AG107" s="181">
        <f t="shared" si="51"/>
        <v>0.20612292591727033</v>
      </c>
      <c r="AH107" s="182">
        <f t="shared" si="52"/>
        <v>0.25375097136708713</v>
      </c>
      <c r="AI107" s="200">
        <f t="shared" si="53"/>
        <v>-1.8528378234479836E-2</v>
      </c>
      <c r="AJ107" s="166">
        <f t="shared" si="54"/>
        <v>-3.4411957950065686E-2</v>
      </c>
      <c r="AK107" s="166">
        <f t="shared" si="55"/>
        <v>-1.6015624999999978E-2</v>
      </c>
      <c r="AL107" s="166">
        <f t="shared" si="56"/>
        <v>-3.4985845975176066E-2</v>
      </c>
      <c r="AM107" s="201">
        <f t="shared" si="57"/>
        <v>-1.3004398546567209E-2</v>
      </c>
      <c r="AN107" s="202">
        <f t="shared" si="58"/>
        <v>-2.7495711040014803E-2</v>
      </c>
    </row>
    <row r="108" spans="1:40">
      <c r="A108" s="60" t="s">
        <v>160</v>
      </c>
      <c r="B108" s="183">
        <v>184000</v>
      </c>
      <c r="C108" s="184">
        <v>193100</v>
      </c>
      <c r="D108" s="184">
        <v>154400</v>
      </c>
      <c r="E108" s="184">
        <v>182700</v>
      </c>
      <c r="F108" s="185">
        <v>714100</v>
      </c>
      <c r="G108" s="183">
        <v>193700</v>
      </c>
      <c r="H108" s="184">
        <v>193700</v>
      </c>
      <c r="I108" s="184">
        <v>372900</v>
      </c>
      <c r="J108" s="184">
        <v>660400</v>
      </c>
      <c r="K108" s="186">
        <f t="shared" si="40"/>
        <v>0.46484127542760612</v>
      </c>
      <c r="L108" s="185">
        <v>1420700</v>
      </c>
      <c r="M108" s="66">
        <v>295800</v>
      </c>
      <c r="N108" s="67">
        <v>418300</v>
      </c>
      <c r="O108" s="67">
        <v>91200</v>
      </c>
      <c r="P108" s="67">
        <v>432600</v>
      </c>
      <c r="Q108" s="187">
        <v>190400</v>
      </c>
      <c r="R108" s="66">
        <v>641800</v>
      </c>
      <c r="S108" s="67">
        <v>778900</v>
      </c>
      <c r="T108" s="67">
        <v>164200</v>
      </c>
      <c r="U108" s="67">
        <v>922500</v>
      </c>
      <c r="V108" s="68">
        <v>334100</v>
      </c>
      <c r="W108" s="188">
        <f t="shared" si="41"/>
        <v>937600</v>
      </c>
      <c r="X108" s="189">
        <f t="shared" si="42"/>
        <v>1197200</v>
      </c>
      <c r="Y108" s="189">
        <f t="shared" si="43"/>
        <v>255400</v>
      </c>
      <c r="Z108" s="189">
        <f t="shared" si="44"/>
        <v>1355100</v>
      </c>
      <c r="AA108" s="190">
        <f t="shared" si="45"/>
        <v>524500</v>
      </c>
      <c r="AB108" s="191">
        <f t="shared" si="46"/>
        <v>2134800</v>
      </c>
      <c r="AC108" s="192">
        <f t="shared" si="47"/>
        <v>1.7250732342410702E-2</v>
      </c>
      <c r="AD108" s="193">
        <f t="shared" si="48"/>
        <v>1.8286977970570772E-2</v>
      </c>
      <c r="AE108" s="193">
        <f t="shared" si="49"/>
        <v>1.3894402540690853E-2</v>
      </c>
      <c r="AF108" s="193">
        <f t="shared" si="50"/>
        <v>1.9255359157578145E-2</v>
      </c>
      <c r="AG108" s="194">
        <f t="shared" si="51"/>
        <v>1.6275915520248097E-2</v>
      </c>
      <c r="AH108" s="195">
        <f t="shared" si="52"/>
        <v>1.7831601029846489E-2</v>
      </c>
      <c r="AI108" s="203">
        <f t="shared" si="53"/>
        <v>3.9618802869685332E-3</v>
      </c>
      <c r="AJ108" s="186">
        <f t="shared" si="54"/>
        <v>-9.514354264912761E-3</v>
      </c>
      <c r="AK108" s="186">
        <f t="shared" si="55"/>
        <v>3.6105476673427894E-2</v>
      </c>
      <c r="AL108" s="186">
        <f t="shared" si="56"/>
        <v>-9.647007235255467E-3</v>
      </c>
      <c r="AM108" s="204">
        <f t="shared" si="57"/>
        <v>-6.252368321333801E-3</v>
      </c>
      <c r="AN108" s="205">
        <f t="shared" si="58"/>
        <v>-3.6404368524223241E-3</v>
      </c>
    </row>
    <row r="109" spans="1:40">
      <c r="A109" s="27" t="s">
        <v>161</v>
      </c>
      <c r="B109" s="163">
        <v>181400</v>
      </c>
      <c r="C109" s="164">
        <v>199000</v>
      </c>
      <c r="D109" s="164">
        <v>153700</v>
      </c>
      <c r="E109" s="164">
        <v>185700</v>
      </c>
      <c r="F109" s="167">
        <v>719800</v>
      </c>
      <c r="G109" s="163">
        <v>196000</v>
      </c>
      <c r="H109" s="164">
        <v>196900</v>
      </c>
      <c r="I109" s="164">
        <v>373200</v>
      </c>
      <c r="J109" s="164">
        <v>680000</v>
      </c>
      <c r="K109" s="166">
        <f t="shared" si="40"/>
        <v>0.47023027453149852</v>
      </c>
      <c r="L109" s="167">
        <v>1446100</v>
      </c>
      <c r="M109" s="62">
        <v>299800</v>
      </c>
      <c r="N109" s="63">
        <v>420100</v>
      </c>
      <c r="O109" s="63">
        <v>92800</v>
      </c>
      <c r="P109" s="63">
        <v>436600</v>
      </c>
      <c r="Q109" s="168">
        <v>190500</v>
      </c>
      <c r="R109" s="62">
        <v>652300</v>
      </c>
      <c r="S109" s="63">
        <v>793800</v>
      </c>
      <c r="T109" s="63">
        <v>163400</v>
      </c>
      <c r="U109" s="63">
        <v>937300</v>
      </c>
      <c r="V109" s="64">
        <v>345500</v>
      </c>
      <c r="W109" s="169">
        <f t="shared" si="41"/>
        <v>952100</v>
      </c>
      <c r="X109" s="170">
        <f t="shared" si="42"/>
        <v>1213900</v>
      </c>
      <c r="Y109" s="170">
        <f t="shared" si="43"/>
        <v>256200</v>
      </c>
      <c r="Z109" s="170">
        <f t="shared" si="44"/>
        <v>1373900</v>
      </c>
      <c r="AA109" s="171">
        <f t="shared" si="45"/>
        <v>536000</v>
      </c>
      <c r="AB109" s="172">
        <f t="shared" si="46"/>
        <v>2165900</v>
      </c>
      <c r="AC109" s="179">
        <f t="shared" si="47"/>
        <v>1.5465017064846487E-2</v>
      </c>
      <c r="AD109" s="180">
        <f t="shared" si="48"/>
        <v>1.3949214834614088E-2</v>
      </c>
      <c r="AE109" s="180">
        <f t="shared" si="49"/>
        <v>3.1323414252153459E-3</v>
      </c>
      <c r="AF109" s="180">
        <f t="shared" si="50"/>
        <v>1.3873514869751302E-2</v>
      </c>
      <c r="AG109" s="181">
        <f t="shared" si="51"/>
        <v>2.1925643469971501E-2</v>
      </c>
      <c r="AH109" s="182">
        <f t="shared" si="52"/>
        <v>1.4568109424770492E-2</v>
      </c>
      <c r="AI109" s="200">
        <f t="shared" si="53"/>
        <v>3.0522783851066215E-2</v>
      </c>
      <c r="AJ109" s="166">
        <f t="shared" si="54"/>
        <v>1.2849395077179748E-2</v>
      </c>
      <c r="AK109" s="166">
        <f t="shared" si="55"/>
        <v>5.5189456342668919E-2</v>
      </c>
      <c r="AL109" s="166">
        <f t="shared" si="56"/>
        <v>1.4547334219465302E-2</v>
      </c>
      <c r="AM109" s="201">
        <f t="shared" si="57"/>
        <v>2.0369312773653059E-2</v>
      </c>
      <c r="AN109" s="202">
        <f t="shared" si="58"/>
        <v>2.0543749705508096E-2</v>
      </c>
    </row>
    <row r="110" spans="1:40">
      <c r="A110" s="27" t="s">
        <v>162</v>
      </c>
      <c r="B110" s="163">
        <v>189700</v>
      </c>
      <c r="C110" s="164">
        <v>204800</v>
      </c>
      <c r="D110" s="164">
        <v>160500</v>
      </c>
      <c r="E110" s="164">
        <v>188600</v>
      </c>
      <c r="F110" s="167">
        <v>743500</v>
      </c>
      <c r="G110" s="163">
        <v>198000</v>
      </c>
      <c r="H110" s="164">
        <v>195800</v>
      </c>
      <c r="I110" s="164">
        <v>375200</v>
      </c>
      <c r="J110" s="164">
        <v>679300</v>
      </c>
      <c r="K110" s="166">
        <f t="shared" si="40"/>
        <v>0.4690326589794932</v>
      </c>
      <c r="L110" s="167">
        <v>1448300</v>
      </c>
      <c r="M110" s="62">
        <v>308200</v>
      </c>
      <c r="N110" s="63">
        <v>435300</v>
      </c>
      <c r="O110" s="63">
        <v>95200</v>
      </c>
      <c r="P110" s="63">
        <v>448500</v>
      </c>
      <c r="Q110" s="168">
        <v>199800</v>
      </c>
      <c r="R110" s="62">
        <v>660300</v>
      </c>
      <c r="S110" s="63">
        <v>788000</v>
      </c>
      <c r="T110" s="63">
        <v>161400</v>
      </c>
      <c r="U110" s="63">
        <v>941000</v>
      </c>
      <c r="V110" s="64">
        <v>346000</v>
      </c>
      <c r="W110" s="169">
        <f t="shared" si="41"/>
        <v>968500</v>
      </c>
      <c r="X110" s="170">
        <f t="shared" si="42"/>
        <v>1223300</v>
      </c>
      <c r="Y110" s="170">
        <f t="shared" si="43"/>
        <v>256600</v>
      </c>
      <c r="Z110" s="170">
        <f t="shared" si="44"/>
        <v>1389500</v>
      </c>
      <c r="AA110" s="171">
        <f t="shared" si="45"/>
        <v>545800</v>
      </c>
      <c r="AB110" s="172">
        <f t="shared" si="46"/>
        <v>2191800</v>
      </c>
      <c r="AC110" s="179">
        <f t="shared" si="47"/>
        <v>1.7225081399012687E-2</v>
      </c>
      <c r="AD110" s="180">
        <f t="shared" si="48"/>
        <v>7.7436362138560977E-3</v>
      </c>
      <c r="AE110" s="180">
        <f t="shared" si="49"/>
        <v>1.5612802498048417E-3</v>
      </c>
      <c r="AF110" s="180">
        <f t="shared" si="50"/>
        <v>1.135453817599541E-2</v>
      </c>
      <c r="AG110" s="181">
        <f t="shared" si="51"/>
        <v>1.8283582089552164E-2</v>
      </c>
      <c r="AH110" s="182">
        <f t="shared" si="52"/>
        <v>1.1958077473567474E-2</v>
      </c>
      <c r="AI110" s="200">
        <f t="shared" si="53"/>
        <v>0.41386861313868617</v>
      </c>
      <c r="AJ110" s="166">
        <f t="shared" si="54"/>
        <v>0.23840858473375182</v>
      </c>
      <c r="AK110" s="166">
        <f t="shared" si="55"/>
        <v>0.39608269858541889</v>
      </c>
      <c r="AL110" s="166">
        <f t="shared" si="56"/>
        <v>0.30949015172933758</v>
      </c>
      <c r="AM110" s="201">
        <f t="shared" si="57"/>
        <v>0.27553166627716763</v>
      </c>
      <c r="AN110" s="202">
        <f t="shared" si="58"/>
        <v>0.31017992707274789</v>
      </c>
    </row>
    <row r="111" spans="1:40">
      <c r="A111" s="27" t="s">
        <v>163</v>
      </c>
      <c r="B111" s="163">
        <v>181200</v>
      </c>
      <c r="C111" s="164">
        <v>199200</v>
      </c>
      <c r="D111" s="164">
        <v>168600</v>
      </c>
      <c r="E111" s="164">
        <v>182900</v>
      </c>
      <c r="F111" s="167">
        <v>731900</v>
      </c>
      <c r="G111" s="163">
        <v>209400</v>
      </c>
      <c r="H111" s="164">
        <v>204700</v>
      </c>
      <c r="I111" s="164">
        <v>390500</v>
      </c>
      <c r="J111" s="164">
        <v>718100</v>
      </c>
      <c r="K111" s="166">
        <f t="shared" si="40"/>
        <v>0.47156553716837407</v>
      </c>
      <c r="L111" s="167">
        <v>1522800</v>
      </c>
      <c r="M111" s="62">
        <v>306400</v>
      </c>
      <c r="N111" s="63">
        <v>425500</v>
      </c>
      <c r="O111" s="63">
        <v>91400</v>
      </c>
      <c r="P111" s="63">
        <v>440900</v>
      </c>
      <c r="Q111" s="168">
        <v>199600</v>
      </c>
      <c r="R111" s="62">
        <v>694800</v>
      </c>
      <c r="S111" s="63">
        <v>828000</v>
      </c>
      <c r="T111" s="63">
        <v>164000</v>
      </c>
      <c r="U111" s="63">
        <v>987400</v>
      </c>
      <c r="V111" s="64">
        <v>371400</v>
      </c>
      <c r="W111" s="169">
        <f t="shared" si="41"/>
        <v>1001200</v>
      </c>
      <c r="X111" s="170">
        <f t="shared" si="42"/>
        <v>1253500</v>
      </c>
      <c r="Y111" s="170">
        <f t="shared" si="43"/>
        <v>255400</v>
      </c>
      <c r="Z111" s="170">
        <f t="shared" si="44"/>
        <v>1428300</v>
      </c>
      <c r="AA111" s="171">
        <f t="shared" si="45"/>
        <v>571000</v>
      </c>
      <c r="AB111" s="172">
        <f t="shared" si="46"/>
        <v>2254700</v>
      </c>
      <c r="AC111" s="179">
        <f t="shared" si="47"/>
        <v>3.3763551884357312E-2</v>
      </c>
      <c r="AD111" s="180">
        <f t="shared" si="48"/>
        <v>2.4687321180413724E-2</v>
      </c>
      <c r="AE111" s="180">
        <f t="shared" si="49"/>
        <v>-4.6765393608729777E-3</v>
      </c>
      <c r="AF111" s="180">
        <f t="shared" si="50"/>
        <v>2.792371356603085E-2</v>
      </c>
      <c r="AG111" s="181">
        <f t="shared" si="51"/>
        <v>4.6170758519604282E-2</v>
      </c>
      <c r="AH111" s="182">
        <f t="shared" si="52"/>
        <v>2.8697873893603454E-2</v>
      </c>
      <c r="AI111" s="200">
        <f t="shared" si="53"/>
        <v>8.6253661712053731E-2</v>
      </c>
      <c r="AJ111" s="166">
        <f t="shared" si="54"/>
        <v>6.6173343540018692E-2</v>
      </c>
      <c r="AK111" s="166">
        <f t="shared" si="55"/>
        <v>1.3894402540690853E-2</v>
      </c>
      <c r="AL111" s="166">
        <f t="shared" si="56"/>
        <v>7.4313651748777687E-2</v>
      </c>
      <c r="AM111" s="201">
        <f t="shared" si="57"/>
        <v>0.1063747335787637</v>
      </c>
      <c r="AN111" s="202">
        <f t="shared" si="58"/>
        <v>7.4997616096118991E-2</v>
      </c>
    </row>
    <row r="112" spans="1:40">
      <c r="A112" s="60" t="s">
        <v>164</v>
      </c>
      <c r="B112" s="183">
        <v>172400</v>
      </c>
      <c r="C112" s="184">
        <v>199100</v>
      </c>
      <c r="D112" s="184">
        <v>160700</v>
      </c>
      <c r="E112" s="184">
        <v>186100</v>
      </c>
      <c r="F112" s="185">
        <v>718300</v>
      </c>
      <c r="G112" s="183">
        <v>202700</v>
      </c>
      <c r="H112" s="184">
        <v>205300</v>
      </c>
      <c r="I112" s="184">
        <v>408200</v>
      </c>
      <c r="J112" s="184">
        <v>722000</v>
      </c>
      <c r="K112" s="186">
        <f t="shared" si="40"/>
        <v>0.46937979456507606</v>
      </c>
      <c r="L112" s="185">
        <v>1538200</v>
      </c>
      <c r="M112" s="66">
        <v>301200</v>
      </c>
      <c r="N112" s="67">
        <v>417100</v>
      </c>
      <c r="O112" s="67">
        <v>86800</v>
      </c>
      <c r="P112" s="67">
        <v>434200</v>
      </c>
      <c r="Q112" s="187">
        <v>197300</v>
      </c>
      <c r="R112" s="66">
        <v>705000</v>
      </c>
      <c r="S112" s="67">
        <v>833200</v>
      </c>
      <c r="T112" s="67">
        <v>162300</v>
      </c>
      <c r="U112" s="67">
        <v>992100</v>
      </c>
      <c r="V112" s="68">
        <v>383800</v>
      </c>
      <c r="W112" s="188">
        <f t="shared" si="41"/>
        <v>1006200</v>
      </c>
      <c r="X112" s="189">
        <f t="shared" si="42"/>
        <v>1250300</v>
      </c>
      <c r="Y112" s="189">
        <f t="shared" si="43"/>
        <v>249100</v>
      </c>
      <c r="Z112" s="189">
        <f t="shared" si="44"/>
        <v>1426300</v>
      </c>
      <c r="AA112" s="190">
        <f t="shared" si="45"/>
        <v>581100</v>
      </c>
      <c r="AB112" s="191">
        <f t="shared" si="46"/>
        <v>2256500</v>
      </c>
      <c r="AC112" s="192">
        <f t="shared" si="47"/>
        <v>4.994007191370331E-3</v>
      </c>
      <c r="AD112" s="193">
        <f t="shared" si="48"/>
        <v>-2.552852014359841E-3</v>
      </c>
      <c r="AE112" s="193">
        <f t="shared" si="49"/>
        <v>-2.4667188723570876E-2</v>
      </c>
      <c r="AF112" s="193">
        <f t="shared" si="50"/>
        <v>-1.4002660505496589E-3</v>
      </c>
      <c r="AG112" s="194">
        <f t="shared" si="51"/>
        <v>1.7688266199649805E-2</v>
      </c>
      <c r="AH112" s="195">
        <f t="shared" si="52"/>
        <v>7.9833237237769694E-4</v>
      </c>
      <c r="AI112" s="203">
        <f t="shared" si="53"/>
        <v>7.3165529010238872E-2</v>
      </c>
      <c r="AJ112" s="186">
        <f t="shared" si="54"/>
        <v>4.4353491480120244E-2</v>
      </c>
      <c r="AK112" s="186">
        <f t="shared" si="55"/>
        <v>-2.4667188723570876E-2</v>
      </c>
      <c r="AL112" s="186">
        <f t="shared" si="56"/>
        <v>5.2542247804590048E-2</v>
      </c>
      <c r="AM112" s="204">
        <f t="shared" si="57"/>
        <v>0.10791229742612019</v>
      </c>
      <c r="AN112" s="205">
        <f t="shared" si="58"/>
        <v>5.7007682218474853E-2</v>
      </c>
    </row>
    <row r="113" spans="1:40">
      <c r="A113" s="27" t="s">
        <v>165</v>
      </c>
      <c r="B113" s="163">
        <v>181100</v>
      </c>
      <c r="C113" s="164">
        <v>203800</v>
      </c>
      <c r="D113" s="164">
        <v>162000</v>
      </c>
      <c r="E113" s="164">
        <v>191400</v>
      </c>
      <c r="F113" s="167">
        <v>738300</v>
      </c>
      <c r="G113" s="163">
        <v>207200</v>
      </c>
      <c r="H113" s="164">
        <v>210000</v>
      </c>
      <c r="I113" s="164">
        <v>386000</v>
      </c>
      <c r="J113" s="164">
        <v>722700</v>
      </c>
      <c r="K113" s="166">
        <f t="shared" si="40"/>
        <v>0.47362212464774889</v>
      </c>
      <c r="L113" s="167">
        <v>1525900</v>
      </c>
      <c r="M113" s="62">
        <v>312600</v>
      </c>
      <c r="N113" s="63">
        <v>425800</v>
      </c>
      <c r="O113" s="63">
        <v>101500</v>
      </c>
      <c r="P113" s="63">
        <v>440600</v>
      </c>
      <c r="Q113" s="168">
        <v>196300</v>
      </c>
      <c r="R113" s="62">
        <v>697600</v>
      </c>
      <c r="S113" s="63">
        <v>828300</v>
      </c>
      <c r="T113" s="63">
        <v>165000</v>
      </c>
      <c r="U113" s="63">
        <v>974300</v>
      </c>
      <c r="V113" s="64">
        <v>386600</v>
      </c>
      <c r="W113" s="169">
        <f t="shared" si="41"/>
        <v>1010200</v>
      </c>
      <c r="X113" s="170">
        <f t="shared" si="42"/>
        <v>1254100</v>
      </c>
      <c r="Y113" s="170">
        <f t="shared" si="43"/>
        <v>266500</v>
      </c>
      <c r="Z113" s="170">
        <f t="shared" si="44"/>
        <v>1414900</v>
      </c>
      <c r="AA113" s="171">
        <f t="shared" si="45"/>
        <v>582900</v>
      </c>
      <c r="AB113" s="172">
        <f t="shared" si="46"/>
        <v>2264200</v>
      </c>
      <c r="AC113" s="179">
        <f t="shared" si="47"/>
        <v>3.9753528125621163E-3</v>
      </c>
      <c r="AD113" s="180">
        <f t="shared" si="48"/>
        <v>3.0392705750619253E-3</v>
      </c>
      <c r="AE113" s="180">
        <f t="shared" si="49"/>
        <v>6.9851465274989977E-2</v>
      </c>
      <c r="AF113" s="180">
        <f t="shared" si="50"/>
        <v>-7.9927084063661225E-3</v>
      </c>
      <c r="AG113" s="181">
        <f t="shared" si="51"/>
        <v>3.0975735673721694E-3</v>
      </c>
      <c r="AH113" s="182">
        <f t="shared" si="52"/>
        <v>3.4123642809660293E-3</v>
      </c>
      <c r="AI113" s="200">
        <f t="shared" si="53"/>
        <v>6.1023001785526665E-2</v>
      </c>
      <c r="AJ113" s="166">
        <f t="shared" si="54"/>
        <v>3.3116401680533869E-2</v>
      </c>
      <c r="AK113" s="166">
        <f t="shared" si="55"/>
        <v>4.0202966432474563E-2</v>
      </c>
      <c r="AL113" s="166">
        <f t="shared" si="56"/>
        <v>2.9842055462551809E-2</v>
      </c>
      <c r="AM113" s="201">
        <f t="shared" si="57"/>
        <v>8.7499999999999911E-2</v>
      </c>
      <c r="AN113" s="202">
        <f t="shared" si="58"/>
        <v>4.5385290179601911E-2</v>
      </c>
    </row>
    <row r="114" spans="1:40">
      <c r="A114" s="27" t="s">
        <v>166</v>
      </c>
      <c r="B114" s="163">
        <v>185700</v>
      </c>
      <c r="C114" s="164">
        <v>198700</v>
      </c>
      <c r="D114" s="164">
        <v>157600</v>
      </c>
      <c r="E114" s="164">
        <v>183800</v>
      </c>
      <c r="F114" s="167">
        <v>725900</v>
      </c>
      <c r="G114" s="163">
        <v>197700</v>
      </c>
      <c r="H114" s="164">
        <v>202100</v>
      </c>
      <c r="I114" s="164">
        <v>384900</v>
      </c>
      <c r="J114" s="164">
        <v>711800</v>
      </c>
      <c r="K114" s="166">
        <f t="shared" si="40"/>
        <v>0.47564316739057799</v>
      </c>
      <c r="L114" s="167">
        <v>1496500</v>
      </c>
      <c r="M114" s="62">
        <v>308000</v>
      </c>
      <c r="N114" s="63">
        <v>417900</v>
      </c>
      <c r="O114" s="63">
        <v>98500</v>
      </c>
      <c r="P114" s="63">
        <v>429900</v>
      </c>
      <c r="Q114" s="168">
        <v>197500</v>
      </c>
      <c r="R114" s="62">
        <v>682200</v>
      </c>
      <c r="S114" s="63">
        <v>814300</v>
      </c>
      <c r="T114" s="63">
        <v>159700</v>
      </c>
      <c r="U114" s="63">
        <v>954500</v>
      </c>
      <c r="V114" s="64">
        <v>382300</v>
      </c>
      <c r="W114" s="169">
        <f t="shared" si="41"/>
        <v>990200</v>
      </c>
      <c r="X114" s="170">
        <f t="shared" si="42"/>
        <v>1232200</v>
      </c>
      <c r="Y114" s="170">
        <f t="shared" si="43"/>
        <v>258200</v>
      </c>
      <c r="Z114" s="170">
        <f t="shared" si="44"/>
        <v>1384400</v>
      </c>
      <c r="AA114" s="171">
        <f t="shared" si="45"/>
        <v>579800</v>
      </c>
      <c r="AB114" s="172">
        <f t="shared" si="46"/>
        <v>2222400</v>
      </c>
      <c r="AC114" s="179">
        <f t="shared" si="47"/>
        <v>-1.9798059790140599E-2</v>
      </c>
      <c r="AD114" s="180">
        <f t="shared" si="48"/>
        <v>-1.7462722270951248E-2</v>
      </c>
      <c r="AE114" s="180">
        <f t="shared" si="49"/>
        <v>-3.1144465290806722E-2</v>
      </c>
      <c r="AF114" s="180">
        <f t="shared" si="50"/>
        <v>-2.155629373100576E-2</v>
      </c>
      <c r="AG114" s="181">
        <f t="shared" si="51"/>
        <v>-5.3182364041859387E-3</v>
      </c>
      <c r="AH114" s="182">
        <f t="shared" si="52"/>
        <v>-1.8461266672555432E-2</v>
      </c>
      <c r="AI114" s="200">
        <f t="shared" si="53"/>
        <v>2.2405782137325803E-2</v>
      </c>
      <c r="AJ114" s="166">
        <f t="shared" si="54"/>
        <v>7.2754025995258598E-3</v>
      </c>
      <c r="AK114" s="166">
        <f t="shared" si="55"/>
        <v>6.2353858144972296E-3</v>
      </c>
      <c r="AL114" s="166">
        <f t="shared" si="56"/>
        <v>-3.670385030586587E-3</v>
      </c>
      <c r="AM114" s="201">
        <f t="shared" si="57"/>
        <v>6.229388054232321E-2</v>
      </c>
      <c r="AN114" s="202">
        <f t="shared" si="58"/>
        <v>1.3961127840131482E-2</v>
      </c>
    </row>
    <row r="115" spans="1:40">
      <c r="A115" s="27" t="s">
        <v>167</v>
      </c>
      <c r="B115" s="163">
        <v>199700</v>
      </c>
      <c r="C115" s="164">
        <v>203000</v>
      </c>
      <c r="D115" s="164">
        <v>162800</v>
      </c>
      <c r="E115" s="164">
        <v>181500</v>
      </c>
      <c r="F115" s="167">
        <v>747000</v>
      </c>
      <c r="G115" s="163">
        <v>197900</v>
      </c>
      <c r="H115" s="164">
        <v>197800</v>
      </c>
      <c r="I115" s="164">
        <v>367800</v>
      </c>
      <c r="J115" s="164">
        <v>710500</v>
      </c>
      <c r="K115" s="166">
        <f t="shared" si="40"/>
        <v>0.48202170963364993</v>
      </c>
      <c r="L115" s="167">
        <v>1474000</v>
      </c>
      <c r="M115" s="62">
        <v>319800</v>
      </c>
      <c r="N115" s="63">
        <v>427200</v>
      </c>
      <c r="O115" s="63">
        <v>100300</v>
      </c>
      <c r="P115" s="63">
        <v>445000</v>
      </c>
      <c r="Q115" s="168">
        <v>201600</v>
      </c>
      <c r="R115" s="62">
        <v>674500</v>
      </c>
      <c r="S115" s="63">
        <v>799500</v>
      </c>
      <c r="T115" s="63">
        <v>156800</v>
      </c>
      <c r="U115" s="63">
        <v>935900</v>
      </c>
      <c r="V115" s="64">
        <v>381300</v>
      </c>
      <c r="W115" s="169">
        <f t="shared" si="41"/>
        <v>994300</v>
      </c>
      <c r="X115" s="170">
        <f t="shared" si="42"/>
        <v>1226700</v>
      </c>
      <c r="Y115" s="170">
        <f t="shared" si="43"/>
        <v>257100</v>
      </c>
      <c r="Z115" s="170">
        <f t="shared" si="44"/>
        <v>1380900</v>
      </c>
      <c r="AA115" s="171">
        <f t="shared" si="45"/>
        <v>582900</v>
      </c>
      <c r="AB115" s="172">
        <f t="shared" si="46"/>
        <v>2221000</v>
      </c>
      <c r="AC115" s="179">
        <f t="shared" si="47"/>
        <v>4.1405776610785594E-3</v>
      </c>
      <c r="AD115" s="180">
        <f t="shared" si="48"/>
        <v>-4.4635611102094019E-3</v>
      </c>
      <c r="AE115" s="180">
        <f t="shared" si="49"/>
        <v>-4.2602633617351282E-3</v>
      </c>
      <c r="AF115" s="180">
        <f t="shared" si="50"/>
        <v>-2.5281710488298526E-3</v>
      </c>
      <c r="AG115" s="181">
        <f t="shared" si="51"/>
        <v>5.3466712659537841E-3</v>
      </c>
      <c r="AH115" s="182">
        <f t="shared" si="52"/>
        <v>-6.2994960403173206E-4</v>
      </c>
      <c r="AI115" s="200">
        <f t="shared" si="53"/>
        <v>-6.891729924091039E-3</v>
      </c>
      <c r="AJ115" s="166">
        <f t="shared" si="54"/>
        <v>-2.1380135620263307E-2</v>
      </c>
      <c r="AK115" s="166">
        <f t="shared" si="55"/>
        <v>6.6562255285826932E-3</v>
      </c>
      <c r="AL115" s="166">
        <f t="shared" si="56"/>
        <v>-3.3186305398025584E-2</v>
      </c>
      <c r="AM115" s="201">
        <f t="shared" si="57"/>
        <v>2.084063047285456E-2</v>
      </c>
      <c r="AN115" s="202">
        <f t="shared" si="58"/>
        <v>-1.4946556082849116E-2</v>
      </c>
    </row>
    <row r="116" spans="1:40" s="12" customFormat="1">
      <c r="A116" s="60" t="s">
        <v>168</v>
      </c>
      <c r="B116" s="183">
        <v>224300</v>
      </c>
      <c r="C116" s="184">
        <v>207900</v>
      </c>
      <c r="D116" s="184">
        <v>165000</v>
      </c>
      <c r="E116" s="184">
        <v>182500</v>
      </c>
      <c r="F116" s="185">
        <v>779700</v>
      </c>
      <c r="G116" s="183">
        <v>196900</v>
      </c>
      <c r="H116" s="184">
        <v>194000</v>
      </c>
      <c r="I116" s="184">
        <v>366800</v>
      </c>
      <c r="J116" s="184">
        <v>730400</v>
      </c>
      <c r="K116" s="186">
        <f t="shared" si="40"/>
        <v>0.49082722935286605</v>
      </c>
      <c r="L116" s="185">
        <v>1488100</v>
      </c>
      <c r="M116" s="66">
        <v>342500</v>
      </c>
      <c r="N116" s="67">
        <v>437200</v>
      </c>
      <c r="O116" s="67">
        <v>99700</v>
      </c>
      <c r="P116" s="67">
        <v>471500</v>
      </c>
      <c r="Q116" s="187">
        <v>208400</v>
      </c>
      <c r="R116" s="66">
        <v>684000</v>
      </c>
      <c r="S116" s="67">
        <v>804200</v>
      </c>
      <c r="T116" s="67">
        <v>157700</v>
      </c>
      <c r="U116" s="67">
        <v>942700</v>
      </c>
      <c r="V116" s="68">
        <v>387700</v>
      </c>
      <c r="W116" s="188">
        <f t="shared" si="41"/>
        <v>1026500</v>
      </c>
      <c r="X116" s="189">
        <f t="shared" si="42"/>
        <v>1241400</v>
      </c>
      <c r="Y116" s="189">
        <f t="shared" si="43"/>
        <v>257400</v>
      </c>
      <c r="Z116" s="189">
        <f t="shared" si="44"/>
        <v>1414200</v>
      </c>
      <c r="AA116" s="190">
        <f t="shared" si="45"/>
        <v>596100</v>
      </c>
      <c r="AB116" s="191">
        <f t="shared" si="46"/>
        <v>2267800</v>
      </c>
      <c r="AC116" s="192">
        <f t="shared" si="47"/>
        <v>3.2384592175399796E-2</v>
      </c>
      <c r="AD116" s="193">
        <f t="shared" si="48"/>
        <v>1.1983370017119022E-2</v>
      </c>
      <c r="AE116" s="193">
        <f t="shared" si="49"/>
        <v>1.166861143523823E-3</v>
      </c>
      <c r="AF116" s="193">
        <f t="shared" si="50"/>
        <v>2.4114707799261392E-2</v>
      </c>
      <c r="AG116" s="194">
        <f t="shared" si="51"/>
        <v>2.2645393721050011E-2</v>
      </c>
      <c r="AH116" s="195">
        <f t="shared" si="52"/>
        <v>2.1071589374155764E-2</v>
      </c>
      <c r="AI116" s="203">
        <f t="shared" si="53"/>
        <v>2.0174915523752723E-2</v>
      </c>
      <c r="AJ116" s="186">
        <f t="shared" si="54"/>
        <v>-7.1182916100136495E-3</v>
      </c>
      <c r="AK116" s="186">
        <f t="shared" si="55"/>
        <v>3.3319951826575656E-2</v>
      </c>
      <c r="AL116" s="186">
        <f t="shared" si="56"/>
        <v>-8.4834887471079146E-3</v>
      </c>
      <c r="AM116" s="204">
        <f t="shared" si="57"/>
        <v>2.5813113061435189E-2</v>
      </c>
      <c r="AN116" s="205">
        <f t="shared" si="58"/>
        <v>5.0077553733658409E-3</v>
      </c>
    </row>
    <row r="117" spans="1:40">
      <c r="A117" s="27" t="s">
        <v>169</v>
      </c>
      <c r="B117" s="163">
        <v>233400</v>
      </c>
      <c r="C117" s="164">
        <v>207800</v>
      </c>
      <c r="D117" s="164">
        <v>163800</v>
      </c>
      <c r="E117" s="164">
        <v>177600</v>
      </c>
      <c r="F117" s="167">
        <v>782600</v>
      </c>
      <c r="G117" s="163">
        <v>196800</v>
      </c>
      <c r="H117" s="164">
        <v>192200</v>
      </c>
      <c r="I117" s="164">
        <v>360000</v>
      </c>
      <c r="J117" s="164">
        <v>745200</v>
      </c>
      <c r="K117" s="166">
        <f t="shared" si="40"/>
        <v>0.49869504115639429</v>
      </c>
      <c r="L117" s="167">
        <v>1494300</v>
      </c>
      <c r="M117" s="62">
        <v>345800</v>
      </c>
      <c r="N117" s="63">
        <v>436700</v>
      </c>
      <c r="O117" s="63">
        <v>99500</v>
      </c>
      <c r="P117" s="63">
        <v>473600</v>
      </c>
      <c r="Q117" s="168">
        <v>209500</v>
      </c>
      <c r="R117" s="62">
        <v>688100</v>
      </c>
      <c r="S117" s="63">
        <v>806200</v>
      </c>
      <c r="T117" s="63">
        <v>155700</v>
      </c>
      <c r="U117" s="63">
        <v>946100</v>
      </c>
      <c r="V117" s="64">
        <v>392500</v>
      </c>
      <c r="W117" s="169">
        <f t="shared" si="41"/>
        <v>1033900</v>
      </c>
      <c r="X117" s="170">
        <f t="shared" si="42"/>
        <v>1242900</v>
      </c>
      <c r="Y117" s="170">
        <f t="shared" si="43"/>
        <v>255200</v>
      </c>
      <c r="Z117" s="170">
        <f t="shared" si="44"/>
        <v>1419700</v>
      </c>
      <c r="AA117" s="171">
        <f t="shared" si="45"/>
        <v>602000</v>
      </c>
      <c r="AB117" s="172">
        <f t="shared" si="46"/>
        <v>2276900</v>
      </c>
      <c r="AC117" s="179">
        <f t="shared" si="47"/>
        <v>7.2089624939113417E-3</v>
      </c>
      <c r="AD117" s="180">
        <f t="shared" si="48"/>
        <v>1.2083131947799863E-3</v>
      </c>
      <c r="AE117" s="180">
        <f t="shared" si="49"/>
        <v>-8.5470085470085166E-3</v>
      </c>
      <c r="AF117" s="180">
        <f t="shared" si="50"/>
        <v>3.8891245934096208E-3</v>
      </c>
      <c r="AG117" s="181">
        <f t="shared" si="51"/>
        <v>9.897668176480412E-3</v>
      </c>
      <c r="AH117" s="182">
        <f t="shared" si="52"/>
        <v>4.0126995325866499E-3</v>
      </c>
      <c r="AI117" s="200">
        <f t="shared" si="53"/>
        <v>2.3460700851316574E-2</v>
      </c>
      <c r="AJ117" s="166">
        <f t="shared" si="54"/>
        <v>-8.9307072801212417E-3</v>
      </c>
      <c r="AK117" s="166">
        <f t="shared" si="55"/>
        <v>-4.2401500938086256E-2</v>
      </c>
      <c r="AL117" s="166">
        <f t="shared" si="56"/>
        <v>3.3924658986501655E-3</v>
      </c>
      <c r="AM117" s="201">
        <f t="shared" si="57"/>
        <v>3.276719849030707E-2</v>
      </c>
      <c r="AN117" s="202">
        <f t="shared" si="58"/>
        <v>5.609045137355384E-3</v>
      </c>
    </row>
    <row r="118" spans="1:40">
      <c r="A118" s="27" t="s">
        <v>170</v>
      </c>
      <c r="B118" s="163">
        <v>235900</v>
      </c>
      <c r="C118" s="164">
        <v>207800</v>
      </c>
      <c r="D118" s="164">
        <v>160500</v>
      </c>
      <c r="E118" s="164">
        <v>180100</v>
      </c>
      <c r="F118" s="167">
        <v>784300</v>
      </c>
      <c r="G118" s="163">
        <v>193300</v>
      </c>
      <c r="H118" s="164">
        <v>190200</v>
      </c>
      <c r="I118" s="164">
        <v>357100</v>
      </c>
      <c r="J118" s="164">
        <v>750200</v>
      </c>
      <c r="K118" s="166">
        <f t="shared" si="40"/>
        <v>0.50321974778642342</v>
      </c>
      <c r="L118" s="167">
        <v>1490800</v>
      </c>
      <c r="M118" s="62">
        <v>346300</v>
      </c>
      <c r="N118" s="63">
        <v>438000</v>
      </c>
      <c r="O118" s="63">
        <v>100400</v>
      </c>
      <c r="P118" s="63">
        <v>472500</v>
      </c>
      <c r="Q118" s="168">
        <v>211400</v>
      </c>
      <c r="R118" s="62">
        <v>688100</v>
      </c>
      <c r="S118" s="63">
        <v>802700</v>
      </c>
      <c r="T118" s="63">
        <v>155600</v>
      </c>
      <c r="U118" s="63">
        <v>942300</v>
      </c>
      <c r="V118" s="64">
        <v>392900</v>
      </c>
      <c r="W118" s="169">
        <f t="shared" si="41"/>
        <v>1034400</v>
      </c>
      <c r="X118" s="170">
        <f t="shared" si="42"/>
        <v>1240700</v>
      </c>
      <c r="Y118" s="170">
        <f t="shared" si="43"/>
        <v>256000</v>
      </c>
      <c r="Z118" s="170">
        <f t="shared" si="44"/>
        <v>1414800</v>
      </c>
      <c r="AA118" s="171">
        <f t="shared" si="45"/>
        <v>604300</v>
      </c>
      <c r="AB118" s="172">
        <f t="shared" si="46"/>
        <v>2275100</v>
      </c>
      <c r="AC118" s="179">
        <f t="shared" si="47"/>
        <v>4.8360576458073012E-4</v>
      </c>
      <c r="AD118" s="180">
        <f t="shared" si="48"/>
        <v>-1.770053906187119E-3</v>
      </c>
      <c r="AE118" s="180">
        <f t="shared" si="49"/>
        <v>3.1347962382444194E-3</v>
      </c>
      <c r="AF118" s="180">
        <f t="shared" si="50"/>
        <v>-3.4514334014228432E-3</v>
      </c>
      <c r="AG118" s="181">
        <f t="shared" si="51"/>
        <v>3.8205980066445822E-3</v>
      </c>
      <c r="AH118" s="182">
        <f t="shared" si="52"/>
        <v>-7.9054855285698444E-4</v>
      </c>
      <c r="AI118" s="200">
        <f t="shared" si="53"/>
        <v>4.4637446980408058E-2</v>
      </c>
      <c r="AJ118" s="166">
        <f t="shared" si="54"/>
        <v>6.8982308066871667E-3</v>
      </c>
      <c r="AK118" s="166">
        <f t="shared" si="55"/>
        <v>-8.5205267234701454E-3</v>
      </c>
      <c r="AL118" s="166">
        <f t="shared" si="56"/>
        <v>2.1958971395550364E-2</v>
      </c>
      <c r="AM118" s="201">
        <f t="shared" si="57"/>
        <v>4.2255950327699132E-2</v>
      </c>
      <c r="AN118" s="202">
        <f t="shared" si="58"/>
        <v>2.3713102951763876E-2</v>
      </c>
    </row>
    <row r="119" spans="1:40">
      <c r="A119" s="27" t="s">
        <v>171</v>
      </c>
      <c r="B119" s="163">
        <v>242700</v>
      </c>
      <c r="C119" s="164">
        <v>210000</v>
      </c>
      <c r="D119" s="164">
        <v>158600</v>
      </c>
      <c r="E119" s="164">
        <v>185100</v>
      </c>
      <c r="F119" s="167">
        <v>796400</v>
      </c>
      <c r="G119" s="163">
        <v>190000</v>
      </c>
      <c r="H119" s="164">
        <v>192100</v>
      </c>
      <c r="I119" s="164">
        <v>360800</v>
      </c>
      <c r="J119" s="164">
        <v>730500</v>
      </c>
      <c r="K119" s="166">
        <f t="shared" si="40"/>
        <v>0.49575839837122498</v>
      </c>
      <c r="L119" s="167">
        <v>1473500</v>
      </c>
      <c r="M119" s="62">
        <v>352700</v>
      </c>
      <c r="N119" s="63">
        <v>443600</v>
      </c>
      <c r="O119" s="63">
        <v>103000</v>
      </c>
      <c r="P119" s="63">
        <v>479600</v>
      </c>
      <c r="Q119" s="168">
        <v>213700</v>
      </c>
      <c r="R119" s="62">
        <v>680300</v>
      </c>
      <c r="S119" s="63">
        <v>793200</v>
      </c>
      <c r="T119" s="63">
        <v>154300</v>
      </c>
      <c r="U119" s="63">
        <v>929000</v>
      </c>
      <c r="V119" s="64">
        <v>390300</v>
      </c>
      <c r="W119" s="169">
        <f t="shared" si="41"/>
        <v>1033000</v>
      </c>
      <c r="X119" s="170">
        <f t="shared" si="42"/>
        <v>1236800</v>
      </c>
      <c r="Y119" s="170">
        <f t="shared" si="43"/>
        <v>257300</v>
      </c>
      <c r="Z119" s="170">
        <f t="shared" si="44"/>
        <v>1408600</v>
      </c>
      <c r="AA119" s="171">
        <f t="shared" si="45"/>
        <v>604000</v>
      </c>
      <c r="AB119" s="172">
        <f t="shared" si="46"/>
        <v>2269900</v>
      </c>
      <c r="AC119" s="179">
        <f t="shared" si="47"/>
        <v>-1.3534416086620205E-3</v>
      </c>
      <c r="AD119" s="180">
        <f t="shared" si="48"/>
        <v>-3.1433867977754826E-3</v>
      </c>
      <c r="AE119" s="180">
        <f t="shared" si="49"/>
        <v>5.0781250000000444E-3</v>
      </c>
      <c r="AF119" s="180">
        <f t="shared" si="50"/>
        <v>-4.3822448402600633E-3</v>
      </c>
      <c r="AG119" s="181">
        <f t="shared" si="51"/>
        <v>-4.9644216448785361E-4</v>
      </c>
      <c r="AH119" s="182">
        <f t="shared" si="52"/>
        <v>-2.2856138191728048E-3</v>
      </c>
      <c r="AI119" s="200">
        <f t="shared" si="53"/>
        <v>3.8921854571055015E-2</v>
      </c>
      <c r="AJ119" s="166">
        <f t="shared" si="54"/>
        <v>8.2334719165240156E-3</v>
      </c>
      <c r="AK119" s="166">
        <f t="shared" si="55"/>
        <v>7.77907429015956E-4</v>
      </c>
      <c r="AL119" s="166">
        <f t="shared" si="56"/>
        <v>2.0059381562749001E-2</v>
      </c>
      <c r="AM119" s="201">
        <f t="shared" si="57"/>
        <v>3.6198318751072156E-2</v>
      </c>
      <c r="AN119" s="202">
        <f t="shared" si="58"/>
        <v>2.2017109410175539E-2</v>
      </c>
    </row>
    <row r="120" spans="1:40">
      <c r="A120" s="60" t="s">
        <v>172</v>
      </c>
      <c r="B120" s="183">
        <v>252500</v>
      </c>
      <c r="C120" s="184">
        <v>211600</v>
      </c>
      <c r="D120" s="184">
        <v>165300</v>
      </c>
      <c r="E120" s="184">
        <v>181100</v>
      </c>
      <c r="F120" s="185">
        <v>810500</v>
      </c>
      <c r="G120" s="183">
        <v>188500</v>
      </c>
      <c r="H120" s="184">
        <v>198800</v>
      </c>
      <c r="I120" s="184">
        <v>347600</v>
      </c>
      <c r="J120" s="184">
        <v>752200</v>
      </c>
      <c r="K120" s="186">
        <f t="shared" si="40"/>
        <v>0.50581669020240738</v>
      </c>
      <c r="L120" s="185">
        <v>1487100</v>
      </c>
      <c r="M120" s="66">
        <v>364000</v>
      </c>
      <c r="N120" s="67">
        <v>446500</v>
      </c>
      <c r="O120" s="67">
        <v>104700</v>
      </c>
      <c r="P120" s="67">
        <v>490500</v>
      </c>
      <c r="Q120" s="187">
        <v>215200</v>
      </c>
      <c r="R120" s="66">
        <v>687400</v>
      </c>
      <c r="S120" s="67">
        <v>799700</v>
      </c>
      <c r="T120" s="67">
        <v>158500</v>
      </c>
      <c r="U120" s="67">
        <v>935100</v>
      </c>
      <c r="V120" s="68">
        <v>393400</v>
      </c>
      <c r="W120" s="188">
        <f t="shared" si="41"/>
        <v>1051400</v>
      </c>
      <c r="X120" s="189">
        <f t="shared" si="42"/>
        <v>1246200</v>
      </c>
      <c r="Y120" s="189">
        <f t="shared" si="43"/>
        <v>263200</v>
      </c>
      <c r="Z120" s="189">
        <f t="shared" si="44"/>
        <v>1425600</v>
      </c>
      <c r="AA120" s="190">
        <f t="shared" si="45"/>
        <v>608600</v>
      </c>
      <c r="AB120" s="191">
        <f t="shared" si="46"/>
        <v>2297600</v>
      </c>
      <c r="AC120" s="192">
        <f t="shared" si="47"/>
        <v>1.7812197483058956E-2</v>
      </c>
      <c r="AD120" s="193">
        <f t="shared" si="48"/>
        <v>7.6002587322121506E-3</v>
      </c>
      <c r="AE120" s="193">
        <f t="shared" si="49"/>
        <v>2.2930431403031415E-2</v>
      </c>
      <c r="AF120" s="193">
        <f t="shared" si="50"/>
        <v>1.2068720715604053E-2</v>
      </c>
      <c r="AG120" s="194">
        <f t="shared" si="51"/>
        <v>7.6158940397350605E-3</v>
      </c>
      <c r="AH120" s="195">
        <f t="shared" si="52"/>
        <v>1.2203180756861443E-2</v>
      </c>
      <c r="AI120" s="203">
        <f t="shared" si="53"/>
        <v>2.4257184607890947E-2</v>
      </c>
      <c r="AJ120" s="186">
        <f t="shared" si="54"/>
        <v>3.8666022232962671E-3</v>
      </c>
      <c r="AK120" s="186">
        <f t="shared" si="55"/>
        <v>2.2533022533022473E-2</v>
      </c>
      <c r="AL120" s="186">
        <f t="shared" si="56"/>
        <v>8.0610946117947169E-3</v>
      </c>
      <c r="AM120" s="204">
        <f t="shared" si="57"/>
        <v>2.0969635967119649E-2</v>
      </c>
      <c r="AN120" s="205">
        <f t="shared" si="58"/>
        <v>1.3140488579239884E-2</v>
      </c>
    </row>
    <row r="121" spans="1:40">
      <c r="A121" s="27" t="s">
        <v>173</v>
      </c>
      <c r="B121" s="163">
        <v>258200</v>
      </c>
      <c r="C121" s="164">
        <v>211800</v>
      </c>
      <c r="D121" s="164">
        <v>166000</v>
      </c>
      <c r="E121" s="164">
        <v>182200</v>
      </c>
      <c r="F121" s="167">
        <v>818200</v>
      </c>
      <c r="G121" s="163">
        <v>192000</v>
      </c>
      <c r="H121" s="164">
        <v>198600</v>
      </c>
      <c r="I121" s="164">
        <v>358600</v>
      </c>
      <c r="J121" s="164">
        <v>734100</v>
      </c>
      <c r="K121" s="166">
        <f t="shared" si="40"/>
        <v>0.49490999797748264</v>
      </c>
      <c r="L121" s="167">
        <v>1483300</v>
      </c>
      <c r="M121" s="62">
        <v>368800</v>
      </c>
      <c r="N121" s="63">
        <v>449400</v>
      </c>
      <c r="O121" s="63">
        <v>105200</v>
      </c>
      <c r="P121" s="63">
        <v>495600</v>
      </c>
      <c r="Q121" s="168">
        <v>217400</v>
      </c>
      <c r="R121" s="62">
        <v>687500</v>
      </c>
      <c r="S121" s="63">
        <v>795900</v>
      </c>
      <c r="T121" s="63">
        <v>157200</v>
      </c>
      <c r="U121" s="63">
        <v>933500</v>
      </c>
      <c r="V121" s="64">
        <v>392600</v>
      </c>
      <c r="W121" s="169">
        <f t="shared" si="41"/>
        <v>1056300</v>
      </c>
      <c r="X121" s="170">
        <f t="shared" si="42"/>
        <v>1245300</v>
      </c>
      <c r="Y121" s="170">
        <f t="shared" si="43"/>
        <v>262400</v>
      </c>
      <c r="Z121" s="170">
        <f t="shared" si="44"/>
        <v>1429100</v>
      </c>
      <c r="AA121" s="171">
        <f t="shared" si="45"/>
        <v>610000</v>
      </c>
      <c r="AB121" s="172">
        <f t="shared" si="46"/>
        <v>2301500</v>
      </c>
      <c r="AC121" s="179">
        <f t="shared" si="47"/>
        <v>4.6604527296938425E-3</v>
      </c>
      <c r="AD121" s="180">
        <f t="shared" si="48"/>
        <v>-7.2219547424168251E-4</v>
      </c>
      <c r="AE121" s="180">
        <f t="shared" si="49"/>
        <v>-3.0395136778115228E-3</v>
      </c>
      <c r="AF121" s="180">
        <f t="shared" si="50"/>
        <v>2.4551066217732842E-3</v>
      </c>
      <c r="AG121" s="181">
        <f t="shared" si="51"/>
        <v>2.3003614853762677E-3</v>
      </c>
      <c r="AH121" s="182">
        <f t="shared" si="52"/>
        <v>1.6974233983286791E-3</v>
      </c>
      <c r="AI121" s="200">
        <f t="shared" si="53"/>
        <v>2.1665538253216043E-2</v>
      </c>
      <c r="AJ121" s="166">
        <f t="shared" si="54"/>
        <v>1.9309678976586753E-3</v>
      </c>
      <c r="AK121" s="166">
        <f t="shared" si="55"/>
        <v>2.8213166144200663E-2</v>
      </c>
      <c r="AL121" s="166">
        <f t="shared" si="56"/>
        <v>6.6211171374233047E-3</v>
      </c>
      <c r="AM121" s="201">
        <f t="shared" si="57"/>
        <v>1.3289036544850585E-2</v>
      </c>
      <c r="AN121" s="202">
        <f t="shared" si="58"/>
        <v>1.0804163555711677E-2</v>
      </c>
    </row>
    <row r="122" spans="1:40">
      <c r="A122" s="27" t="s">
        <v>174</v>
      </c>
      <c r="B122" s="163">
        <v>260200</v>
      </c>
      <c r="C122" s="164">
        <v>213200</v>
      </c>
      <c r="D122" s="164">
        <v>163800</v>
      </c>
      <c r="E122" s="164">
        <v>184000</v>
      </c>
      <c r="F122" s="167">
        <v>821200</v>
      </c>
      <c r="G122" s="163">
        <v>191700</v>
      </c>
      <c r="H122" s="164">
        <v>200700</v>
      </c>
      <c r="I122" s="164">
        <v>350400</v>
      </c>
      <c r="J122" s="164">
        <v>742900</v>
      </c>
      <c r="K122" s="166">
        <f t="shared" si="40"/>
        <v>0.50003365416975165</v>
      </c>
      <c r="L122" s="167">
        <v>1485700</v>
      </c>
      <c r="M122" s="62">
        <v>372200</v>
      </c>
      <c r="N122" s="63">
        <v>449000</v>
      </c>
      <c r="O122" s="63">
        <v>105600</v>
      </c>
      <c r="P122" s="63">
        <v>496400</v>
      </c>
      <c r="Q122" s="168">
        <v>219200</v>
      </c>
      <c r="R122" s="62">
        <v>689100</v>
      </c>
      <c r="S122" s="63">
        <v>796600</v>
      </c>
      <c r="T122" s="63">
        <v>157700</v>
      </c>
      <c r="U122" s="63">
        <v>933500</v>
      </c>
      <c r="V122" s="64">
        <v>394500</v>
      </c>
      <c r="W122" s="169">
        <f t="shared" si="41"/>
        <v>1061300</v>
      </c>
      <c r="X122" s="170">
        <f t="shared" si="42"/>
        <v>1245600</v>
      </c>
      <c r="Y122" s="170">
        <f t="shared" si="43"/>
        <v>263300</v>
      </c>
      <c r="Z122" s="170">
        <f t="shared" si="44"/>
        <v>1429900</v>
      </c>
      <c r="AA122" s="171">
        <f t="shared" si="45"/>
        <v>613700</v>
      </c>
      <c r="AB122" s="172">
        <f t="shared" si="46"/>
        <v>2306900</v>
      </c>
      <c r="AC122" s="179">
        <f t="shared" si="47"/>
        <v>4.7335037394680146E-3</v>
      </c>
      <c r="AD122" s="180">
        <f t="shared" si="48"/>
        <v>2.4090580582991628E-4</v>
      </c>
      <c r="AE122" s="180">
        <f t="shared" si="49"/>
        <v>3.429878048780477E-3</v>
      </c>
      <c r="AF122" s="180">
        <f t="shared" si="50"/>
        <v>5.5979287663565636E-4</v>
      </c>
      <c r="AG122" s="181">
        <f t="shared" si="51"/>
        <v>6.0655737704917723E-3</v>
      </c>
      <c r="AH122" s="182">
        <f t="shared" si="52"/>
        <v>2.3462958939821643E-3</v>
      </c>
      <c r="AI122" s="200">
        <f t="shared" si="53"/>
        <v>2.6005413766434726E-2</v>
      </c>
      <c r="AJ122" s="166">
        <f t="shared" si="54"/>
        <v>3.9493834125896576E-3</v>
      </c>
      <c r="AK122" s="166">
        <f t="shared" si="55"/>
        <v>2.8515625000000044E-2</v>
      </c>
      <c r="AL122" s="166">
        <f t="shared" si="56"/>
        <v>1.0672886627085099E-2</v>
      </c>
      <c r="AM122" s="201">
        <f t="shared" si="57"/>
        <v>1.5555187820618821E-2</v>
      </c>
      <c r="AN122" s="202">
        <f t="shared" si="58"/>
        <v>1.3977407586479806E-2</v>
      </c>
    </row>
    <row r="123" spans="1:40">
      <c r="A123" s="27" t="s">
        <v>175</v>
      </c>
      <c r="B123" s="163">
        <v>266100</v>
      </c>
      <c r="C123" s="164">
        <v>213300</v>
      </c>
      <c r="D123" s="164">
        <v>165100</v>
      </c>
      <c r="E123" s="164">
        <v>182700</v>
      </c>
      <c r="F123" s="167">
        <v>827300</v>
      </c>
      <c r="G123" s="163">
        <v>188400</v>
      </c>
      <c r="H123" s="164">
        <v>201300</v>
      </c>
      <c r="I123" s="164">
        <v>346700</v>
      </c>
      <c r="J123" s="164">
        <v>746600</v>
      </c>
      <c r="K123" s="166">
        <f t="shared" si="40"/>
        <v>0.50343897505057311</v>
      </c>
      <c r="L123" s="167">
        <v>1483000</v>
      </c>
      <c r="M123" s="62">
        <v>373600</v>
      </c>
      <c r="N123" s="63">
        <v>453700</v>
      </c>
      <c r="O123" s="63">
        <v>107000</v>
      </c>
      <c r="P123" s="63">
        <v>499800</v>
      </c>
      <c r="Q123" s="168">
        <v>220600</v>
      </c>
      <c r="R123" s="62">
        <v>690300</v>
      </c>
      <c r="S123" s="63">
        <v>792700</v>
      </c>
      <c r="T123" s="63">
        <v>159000</v>
      </c>
      <c r="U123" s="63">
        <v>930000</v>
      </c>
      <c r="V123" s="64">
        <v>394000</v>
      </c>
      <c r="W123" s="169">
        <f t="shared" si="41"/>
        <v>1063900</v>
      </c>
      <c r="X123" s="170">
        <f t="shared" si="42"/>
        <v>1246400</v>
      </c>
      <c r="Y123" s="170">
        <f t="shared" si="43"/>
        <v>266000</v>
      </c>
      <c r="Z123" s="170">
        <f t="shared" si="44"/>
        <v>1429800</v>
      </c>
      <c r="AA123" s="171">
        <f t="shared" si="45"/>
        <v>614600</v>
      </c>
      <c r="AB123" s="172">
        <f t="shared" si="46"/>
        <v>2310300</v>
      </c>
      <c r="AC123" s="179">
        <f t="shared" si="47"/>
        <v>2.4498256854801337E-3</v>
      </c>
      <c r="AD123" s="180">
        <f t="shared" si="48"/>
        <v>6.4226075786777415E-4</v>
      </c>
      <c r="AE123" s="180">
        <f t="shared" si="49"/>
        <v>1.0254462590201241E-2</v>
      </c>
      <c r="AF123" s="180">
        <f t="shared" si="50"/>
        <v>-6.9934960486794928E-5</v>
      </c>
      <c r="AG123" s="181">
        <f t="shared" si="51"/>
        <v>1.4665145836727511E-3</v>
      </c>
      <c r="AH123" s="182">
        <f t="shared" si="52"/>
        <v>1.4738393515105752E-3</v>
      </c>
      <c r="AI123" s="200">
        <f t="shared" si="53"/>
        <v>2.991287512100671E-2</v>
      </c>
      <c r="AJ123" s="166">
        <f t="shared" si="54"/>
        <v>7.7619663648125226E-3</v>
      </c>
      <c r="AK123" s="166">
        <f t="shared" si="55"/>
        <v>3.3812670034978565E-2</v>
      </c>
      <c r="AL123" s="166">
        <f t="shared" si="56"/>
        <v>1.5050404657106276E-2</v>
      </c>
      <c r="AM123" s="201">
        <f t="shared" si="57"/>
        <v>1.7549668874172086E-2</v>
      </c>
      <c r="AN123" s="202">
        <f t="shared" si="58"/>
        <v>1.7798140887263836E-2</v>
      </c>
    </row>
    <row r="124" spans="1:40">
      <c r="A124" s="60" t="s">
        <v>176</v>
      </c>
      <c r="B124" s="183">
        <v>258200</v>
      </c>
      <c r="C124" s="184">
        <v>210200</v>
      </c>
      <c r="D124" s="184">
        <v>156600</v>
      </c>
      <c r="E124" s="184">
        <v>181100</v>
      </c>
      <c r="F124" s="185">
        <v>806100</v>
      </c>
      <c r="G124" s="183">
        <v>184500</v>
      </c>
      <c r="H124" s="184">
        <v>198700</v>
      </c>
      <c r="I124" s="184">
        <v>344800</v>
      </c>
      <c r="J124" s="184">
        <v>753600</v>
      </c>
      <c r="K124" s="186">
        <f t="shared" si="40"/>
        <v>0.50863930885529163</v>
      </c>
      <c r="L124" s="185">
        <v>1481600</v>
      </c>
      <c r="M124" s="66">
        <v>364800</v>
      </c>
      <c r="N124" s="67">
        <v>441300</v>
      </c>
      <c r="O124" s="67">
        <v>101700</v>
      </c>
      <c r="P124" s="67">
        <v>489000</v>
      </c>
      <c r="Q124" s="187">
        <v>215400</v>
      </c>
      <c r="R124" s="66">
        <v>688500</v>
      </c>
      <c r="S124" s="67">
        <v>793100</v>
      </c>
      <c r="T124" s="67">
        <v>160000</v>
      </c>
      <c r="U124" s="67">
        <v>928100</v>
      </c>
      <c r="V124" s="68">
        <v>393400</v>
      </c>
      <c r="W124" s="188">
        <f t="shared" si="41"/>
        <v>1053300</v>
      </c>
      <c r="X124" s="189">
        <f t="shared" si="42"/>
        <v>1234400</v>
      </c>
      <c r="Y124" s="189">
        <f t="shared" si="43"/>
        <v>261700</v>
      </c>
      <c r="Z124" s="189">
        <f t="shared" si="44"/>
        <v>1417100</v>
      </c>
      <c r="AA124" s="190">
        <f t="shared" si="45"/>
        <v>608800</v>
      </c>
      <c r="AB124" s="191">
        <f t="shared" si="46"/>
        <v>2287700</v>
      </c>
      <c r="AC124" s="192">
        <f t="shared" si="47"/>
        <v>-9.9633424194003339E-3</v>
      </c>
      <c r="AD124" s="193">
        <f t="shared" si="48"/>
        <v>-9.6277278562258983E-3</v>
      </c>
      <c r="AE124" s="193">
        <f t="shared" si="49"/>
        <v>-1.6165413533834605E-2</v>
      </c>
      <c r="AF124" s="193">
        <f t="shared" si="50"/>
        <v>-8.8823611693943372E-3</v>
      </c>
      <c r="AG124" s="194">
        <f t="shared" si="51"/>
        <v>-9.4370322160755027E-3</v>
      </c>
      <c r="AH124" s="195">
        <f t="shared" si="52"/>
        <v>-9.7822793576591849E-3</v>
      </c>
      <c r="AI124" s="203">
        <f t="shared" si="53"/>
        <v>1.8071143237587961E-3</v>
      </c>
      <c r="AJ124" s="186">
        <f t="shared" si="54"/>
        <v>-9.4687851067244422E-3</v>
      </c>
      <c r="AK124" s="186">
        <f t="shared" si="55"/>
        <v>-5.6990881458967024E-3</v>
      </c>
      <c r="AL124" s="186">
        <f t="shared" si="56"/>
        <v>-5.9624017957351505E-3</v>
      </c>
      <c r="AM124" s="204">
        <f t="shared" si="57"/>
        <v>3.2862306933956198E-4</v>
      </c>
      <c r="AN124" s="205">
        <f t="shared" si="58"/>
        <v>-4.3088440111420656E-3</v>
      </c>
    </row>
    <row r="125" spans="1:40">
      <c r="A125" s="27" t="s">
        <v>177</v>
      </c>
      <c r="B125" s="163">
        <v>253500</v>
      </c>
      <c r="C125" s="164">
        <v>202900</v>
      </c>
      <c r="D125" s="164">
        <v>153700</v>
      </c>
      <c r="E125" s="164">
        <v>176600</v>
      </c>
      <c r="F125" s="167">
        <v>786700</v>
      </c>
      <c r="G125" s="163">
        <v>178700</v>
      </c>
      <c r="H125" s="164">
        <v>195400</v>
      </c>
      <c r="I125" s="164">
        <v>345800</v>
      </c>
      <c r="J125" s="164">
        <v>756100</v>
      </c>
      <c r="K125" s="166">
        <f t="shared" si="40"/>
        <v>0.51226287262872627</v>
      </c>
      <c r="L125" s="167">
        <v>1476000</v>
      </c>
      <c r="M125" s="62">
        <v>355800</v>
      </c>
      <c r="N125" s="63">
        <v>430900</v>
      </c>
      <c r="O125" s="63">
        <v>98500</v>
      </c>
      <c r="P125" s="63">
        <v>476300</v>
      </c>
      <c r="Q125" s="168">
        <v>211800</v>
      </c>
      <c r="R125" s="62">
        <v>687000</v>
      </c>
      <c r="S125" s="63">
        <v>789000</v>
      </c>
      <c r="T125" s="63">
        <v>160600</v>
      </c>
      <c r="U125" s="63">
        <v>922600</v>
      </c>
      <c r="V125" s="64">
        <v>392700</v>
      </c>
      <c r="W125" s="169">
        <f t="shared" si="41"/>
        <v>1042800</v>
      </c>
      <c r="X125" s="170">
        <f t="shared" si="42"/>
        <v>1219900</v>
      </c>
      <c r="Y125" s="170">
        <f t="shared" si="43"/>
        <v>259100</v>
      </c>
      <c r="Z125" s="170">
        <f t="shared" si="44"/>
        <v>1398900</v>
      </c>
      <c r="AA125" s="171">
        <f t="shared" si="45"/>
        <v>604500</v>
      </c>
      <c r="AB125" s="172">
        <f t="shared" si="46"/>
        <v>2262700</v>
      </c>
      <c r="AC125" s="179">
        <f t="shared" si="47"/>
        <v>-9.9686698946168661E-3</v>
      </c>
      <c r="AD125" s="180">
        <f t="shared" si="48"/>
        <v>-1.1746597537265036E-2</v>
      </c>
      <c r="AE125" s="180">
        <f t="shared" si="49"/>
        <v>-9.9350401222774165E-3</v>
      </c>
      <c r="AF125" s="180">
        <f t="shared" si="50"/>
        <v>-1.2843130336602893E-2</v>
      </c>
      <c r="AG125" s="181">
        <f t="shared" si="51"/>
        <v>-7.0630749014454208E-3</v>
      </c>
      <c r="AH125" s="182">
        <f t="shared" si="52"/>
        <v>-1.0928006294531611E-2</v>
      </c>
      <c r="AI125" s="200">
        <f t="shared" si="53"/>
        <v>-1.2780460096563528E-2</v>
      </c>
      <c r="AJ125" s="166">
        <f t="shared" si="54"/>
        <v>-2.0396691560266578E-2</v>
      </c>
      <c r="AK125" s="166">
        <f t="shared" si="55"/>
        <v>-1.2576219512195119E-2</v>
      </c>
      <c r="AL125" s="166">
        <f t="shared" si="56"/>
        <v>-2.1132181092995639E-2</v>
      </c>
      <c r="AM125" s="201">
        <f t="shared" si="57"/>
        <v>-9.0163934426229497E-3</v>
      </c>
      <c r="AN125" s="202">
        <f t="shared" si="58"/>
        <v>-1.6858570497501613E-2</v>
      </c>
    </row>
    <row r="126" spans="1:40">
      <c r="A126" s="27" t="s">
        <v>178</v>
      </c>
      <c r="B126" s="163">
        <v>262900</v>
      </c>
      <c r="C126" s="164">
        <v>208800</v>
      </c>
      <c r="D126" s="164">
        <v>161400</v>
      </c>
      <c r="E126" s="164">
        <v>179300</v>
      </c>
      <c r="F126" s="167">
        <v>812400</v>
      </c>
      <c r="G126" s="163">
        <v>187300</v>
      </c>
      <c r="H126" s="164">
        <v>199300</v>
      </c>
      <c r="I126" s="164">
        <v>348300</v>
      </c>
      <c r="J126" s="164">
        <v>782400</v>
      </c>
      <c r="K126" s="166">
        <f t="shared" ref="K126" si="59">J126/L126</f>
        <v>0.51565280432346927</v>
      </c>
      <c r="L126" s="167">
        <v>1517300</v>
      </c>
      <c r="M126" s="62">
        <v>368400</v>
      </c>
      <c r="N126" s="63">
        <v>444000</v>
      </c>
      <c r="O126" s="63">
        <v>106000</v>
      </c>
      <c r="P126" s="63">
        <v>488400</v>
      </c>
      <c r="Q126" s="168">
        <v>218100</v>
      </c>
      <c r="R126" s="62">
        <v>709300</v>
      </c>
      <c r="S126" s="63">
        <v>807900</v>
      </c>
      <c r="T126" s="63">
        <v>169700</v>
      </c>
      <c r="U126" s="63">
        <v>948200</v>
      </c>
      <c r="V126" s="64">
        <v>399400</v>
      </c>
      <c r="W126" s="169">
        <f t="shared" ref="W126" si="60">M126+R126</f>
        <v>1077700</v>
      </c>
      <c r="X126" s="170">
        <f t="shared" ref="X126" si="61">N126+S126</f>
        <v>1251900</v>
      </c>
      <c r="Y126" s="170">
        <f t="shared" ref="Y126" si="62">O126+T126</f>
        <v>275700</v>
      </c>
      <c r="Z126" s="170">
        <f t="shared" ref="Z126" si="63">P126+U126</f>
        <v>1436600</v>
      </c>
      <c r="AA126" s="171">
        <f t="shared" ref="AA126" si="64">Q126+V126</f>
        <v>617500</v>
      </c>
      <c r="AB126" s="172">
        <f t="shared" ref="AB126" si="65">F126+L126</f>
        <v>2329700</v>
      </c>
      <c r="AC126" s="179">
        <f t="shared" ref="AC126" si="66">W126/W125-1</f>
        <v>3.3467587265055609E-2</v>
      </c>
      <c r="AD126" s="180">
        <f t="shared" ref="AD126" si="67">X126/X125-1</f>
        <v>2.6231658332650287E-2</v>
      </c>
      <c r="AE126" s="180">
        <f t="shared" ref="AE126" si="68">Y126/Y125-1</f>
        <v>6.4067927441142425E-2</v>
      </c>
      <c r="AF126" s="180">
        <f t="shared" ref="AF126" si="69">Z126/Z125-1</f>
        <v>2.6949746229180116E-2</v>
      </c>
      <c r="AG126" s="181">
        <f t="shared" ref="AG126" si="70">AA126/AA125-1</f>
        <v>2.1505376344086002E-2</v>
      </c>
      <c r="AH126" s="182">
        <f t="shared" ref="AH126" si="71">AB126/AB125-1</f>
        <v>2.9610642153179878E-2</v>
      </c>
      <c r="AI126" s="200">
        <f t="shared" ref="AI126" si="72">W126/W122-1</f>
        <v>1.5452746631489767E-2</v>
      </c>
      <c r="AJ126" s="166">
        <f t="shared" ref="AJ126" si="73">X126/X122-1</f>
        <v>5.0578034682080553E-3</v>
      </c>
      <c r="AK126" s="166">
        <f t="shared" ref="AK126" si="74">Y126/Y122-1</f>
        <v>4.7094568932776193E-2</v>
      </c>
      <c r="AL126" s="166">
        <f t="shared" ref="AL126" si="75">Z126/Z122-1</f>
        <v>4.6856423526120405E-3</v>
      </c>
      <c r="AM126" s="201">
        <f t="shared" ref="AM126" si="76">AA126/AA122-1</f>
        <v>6.1919504643963563E-3</v>
      </c>
      <c r="AN126" s="202">
        <f t="shared" ref="AN126" si="77">AB126/AB122-1</f>
        <v>9.8833932983657391E-3</v>
      </c>
    </row>
    <row r="127" spans="1:40">
      <c r="A127" s="117"/>
      <c r="B127" s="163"/>
      <c r="C127" s="164"/>
      <c r="D127" s="164"/>
      <c r="E127" s="164"/>
      <c r="F127" s="167"/>
      <c r="G127" s="206"/>
      <c r="H127" s="164"/>
      <c r="I127" s="164"/>
      <c r="J127" s="164"/>
      <c r="K127" s="207"/>
      <c r="L127" s="208"/>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111"/>
      <c r="AJ127" s="111"/>
      <c r="AK127" s="111"/>
      <c r="AL127" s="111"/>
      <c r="AM127" s="111"/>
      <c r="AN127" s="111"/>
    </row>
    <row r="128" spans="1:40" s="12" customFormat="1">
      <c r="A128" s="118"/>
      <c r="B128" s="209"/>
      <c r="C128" s="210"/>
      <c r="D128" s="210"/>
      <c r="E128" s="210"/>
      <c r="F128" s="211"/>
      <c r="G128" s="212"/>
      <c r="H128" s="210"/>
      <c r="I128" s="210"/>
      <c r="J128" s="210"/>
      <c r="K128" s="213"/>
      <c r="L128" s="214"/>
      <c r="M128" s="215"/>
      <c r="N128" s="215"/>
      <c r="O128" s="215"/>
      <c r="P128" s="215"/>
      <c r="Q128" s="215"/>
      <c r="R128" s="215"/>
      <c r="S128" s="215"/>
      <c r="T128" s="215"/>
      <c r="U128" s="215"/>
      <c r="V128" s="215"/>
      <c r="W128" s="215"/>
      <c r="X128" s="215"/>
      <c r="Y128" s="215"/>
      <c r="Z128" s="215"/>
      <c r="AA128" s="215"/>
      <c r="AB128" s="215"/>
      <c r="AC128" s="215"/>
      <c r="AD128" s="215"/>
      <c r="AE128" s="215"/>
      <c r="AF128" s="215"/>
      <c r="AG128" s="215"/>
      <c r="AH128" s="215"/>
      <c r="AI128" s="216"/>
      <c r="AJ128" s="216"/>
      <c r="AK128" s="216"/>
      <c r="AL128" s="216"/>
      <c r="AM128" s="216"/>
      <c r="AN128" s="216"/>
    </row>
    <row r="129" spans="1:40">
      <c r="A129" s="117"/>
      <c r="B129" s="163"/>
      <c r="C129" s="164"/>
      <c r="D129" s="164"/>
      <c r="E129" s="164"/>
      <c r="F129" s="167"/>
      <c r="G129" s="206"/>
      <c r="H129" s="164"/>
      <c r="I129" s="164"/>
      <c r="J129" s="164"/>
      <c r="K129" s="207"/>
      <c r="L129" s="208"/>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111"/>
      <c r="AJ129" s="111"/>
      <c r="AK129" s="111"/>
      <c r="AL129" s="111"/>
      <c r="AM129" s="111"/>
      <c r="AN129" s="111"/>
    </row>
    <row r="130" spans="1:40">
      <c r="A130" s="117"/>
      <c r="B130" s="163"/>
      <c r="C130" s="164"/>
      <c r="D130" s="164"/>
      <c r="E130" s="164"/>
      <c r="F130" s="167"/>
      <c r="G130" s="206"/>
      <c r="H130" s="164"/>
      <c r="I130" s="164"/>
      <c r="J130" s="164"/>
      <c r="K130" s="207"/>
      <c r="L130" s="208"/>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111"/>
      <c r="AJ130" s="111"/>
      <c r="AK130" s="111"/>
      <c r="AL130" s="111"/>
      <c r="AM130" s="111"/>
      <c r="AN130" s="111"/>
    </row>
    <row r="131" spans="1:40">
      <c r="A131" s="117"/>
      <c r="B131" s="163"/>
      <c r="C131" s="164"/>
      <c r="D131" s="164"/>
      <c r="E131" s="164"/>
      <c r="F131" s="167"/>
      <c r="G131" s="206"/>
      <c r="H131" s="164"/>
      <c r="I131" s="164"/>
      <c r="J131" s="164"/>
      <c r="K131" s="207"/>
      <c r="L131" s="208"/>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111"/>
      <c r="AJ131" s="111"/>
      <c r="AK131" s="111"/>
      <c r="AL131" s="111"/>
      <c r="AM131" s="111"/>
      <c r="AN131" s="111"/>
    </row>
    <row r="132" spans="1:40">
      <c r="A132" s="117"/>
      <c r="B132" s="163"/>
      <c r="C132" s="164"/>
      <c r="D132" s="164"/>
      <c r="E132" s="164"/>
      <c r="F132" s="167"/>
      <c r="G132" s="206"/>
      <c r="H132" s="164"/>
      <c r="I132" s="164"/>
      <c r="J132" s="164"/>
      <c r="K132" s="207"/>
      <c r="L132" s="208"/>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111"/>
      <c r="AJ132" s="111"/>
      <c r="AK132" s="111"/>
      <c r="AL132" s="111"/>
      <c r="AM132" s="111"/>
      <c r="AN132" s="111"/>
    </row>
    <row r="133" spans="1:40">
      <c r="A133" s="117"/>
      <c r="B133" s="163"/>
      <c r="C133" s="164"/>
      <c r="D133" s="164"/>
      <c r="E133" s="164"/>
      <c r="F133" s="167"/>
      <c r="G133" s="206"/>
      <c r="H133" s="164"/>
      <c r="I133" s="164"/>
      <c r="J133" s="164"/>
      <c r="K133" s="207"/>
      <c r="L133" s="208"/>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111"/>
      <c r="AJ133" s="111"/>
      <c r="AK133" s="111"/>
      <c r="AL133" s="111"/>
      <c r="AM133" s="111"/>
      <c r="AN133" s="111"/>
    </row>
    <row r="134" spans="1:40">
      <c r="A134" s="117"/>
      <c r="B134" s="163"/>
      <c r="C134" s="164"/>
      <c r="D134" s="164"/>
      <c r="E134" s="164"/>
      <c r="F134" s="167"/>
      <c r="G134" s="206"/>
      <c r="H134" s="164"/>
      <c r="I134" s="164"/>
      <c r="J134" s="164"/>
      <c r="K134" s="207"/>
      <c r="L134" s="208"/>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111"/>
      <c r="AJ134" s="111"/>
      <c r="AK134" s="111"/>
      <c r="AL134" s="111"/>
      <c r="AM134" s="111"/>
      <c r="AN134" s="111"/>
    </row>
    <row r="135" spans="1:40">
      <c r="A135" s="117"/>
      <c r="B135" s="163"/>
      <c r="C135" s="164"/>
      <c r="D135" s="164"/>
      <c r="E135" s="164"/>
      <c r="F135" s="167"/>
      <c r="G135" s="206"/>
      <c r="H135" s="164"/>
      <c r="I135" s="164"/>
      <c r="J135" s="164"/>
      <c r="K135" s="207"/>
      <c r="L135" s="208"/>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111"/>
      <c r="AJ135" s="111"/>
      <c r="AK135" s="111"/>
      <c r="AL135" s="111"/>
      <c r="AM135" s="111"/>
      <c r="AN135" s="111"/>
    </row>
    <row r="136" spans="1:40">
      <c r="A136" s="117"/>
      <c r="B136" s="163"/>
      <c r="C136" s="164"/>
      <c r="D136" s="164"/>
      <c r="E136" s="164"/>
      <c r="F136" s="167"/>
      <c r="G136" s="206"/>
      <c r="H136" s="164"/>
      <c r="I136" s="164"/>
      <c r="J136" s="164"/>
      <c r="K136" s="207"/>
      <c r="L136" s="208"/>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111"/>
      <c r="AJ136" s="111"/>
      <c r="AK136" s="111"/>
      <c r="AL136" s="111"/>
      <c r="AM136" s="111"/>
      <c r="AN136" s="111"/>
    </row>
    <row r="137" spans="1:40">
      <c r="A137" s="117"/>
      <c r="B137" s="163"/>
      <c r="C137" s="164"/>
      <c r="D137" s="164"/>
      <c r="E137" s="164"/>
      <c r="F137" s="167"/>
      <c r="G137" s="206"/>
      <c r="H137" s="164"/>
      <c r="I137" s="164"/>
      <c r="J137" s="164"/>
      <c r="K137" s="207"/>
      <c r="L137" s="208"/>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111"/>
      <c r="AJ137" s="111"/>
      <c r="AK137" s="111"/>
      <c r="AL137" s="111"/>
      <c r="AM137" s="111"/>
      <c r="AN137" s="111"/>
    </row>
    <row r="138" spans="1:40">
      <c r="A138" s="117"/>
      <c r="B138" s="163"/>
      <c r="C138" s="164"/>
      <c r="D138" s="164"/>
      <c r="E138" s="164"/>
      <c r="F138" s="167"/>
      <c r="G138" s="206"/>
      <c r="H138" s="164"/>
      <c r="I138" s="164"/>
      <c r="J138" s="164"/>
      <c r="K138" s="207"/>
      <c r="L138" s="208"/>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111"/>
      <c r="AJ138" s="111"/>
      <c r="AK138" s="111"/>
      <c r="AL138" s="111"/>
      <c r="AM138" s="111"/>
      <c r="AN138" s="111"/>
    </row>
    <row r="139" spans="1:40">
      <c r="A139" s="117"/>
      <c r="B139" s="163"/>
      <c r="C139" s="164"/>
      <c r="D139" s="164"/>
      <c r="E139" s="164"/>
      <c r="F139" s="167"/>
      <c r="G139" s="206"/>
      <c r="H139" s="164"/>
      <c r="I139" s="164"/>
      <c r="J139" s="164"/>
      <c r="K139" s="207"/>
      <c r="L139" s="208"/>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111"/>
      <c r="AJ139" s="111"/>
      <c r="AK139" s="111"/>
      <c r="AL139" s="111"/>
      <c r="AM139" s="111"/>
      <c r="AN139" s="111"/>
    </row>
    <row r="140" spans="1:40" s="12" customFormat="1">
      <c r="A140" s="118"/>
      <c r="B140" s="209"/>
      <c r="C140" s="210"/>
      <c r="D140" s="210"/>
      <c r="E140" s="210"/>
      <c r="F140" s="211"/>
      <c r="G140" s="212"/>
      <c r="H140" s="210"/>
      <c r="I140" s="210"/>
      <c r="J140" s="210"/>
      <c r="K140" s="213"/>
      <c r="L140" s="214"/>
      <c r="M140" s="215"/>
      <c r="N140" s="215"/>
      <c r="O140" s="215"/>
      <c r="P140" s="215"/>
      <c r="Q140" s="215"/>
      <c r="R140" s="215"/>
      <c r="S140" s="215"/>
      <c r="T140" s="215"/>
      <c r="U140" s="215"/>
      <c r="V140" s="215"/>
      <c r="W140" s="215"/>
      <c r="X140" s="215"/>
      <c r="Y140" s="215"/>
      <c r="Z140" s="215"/>
      <c r="AA140" s="215"/>
      <c r="AB140" s="215"/>
      <c r="AC140" s="215"/>
      <c r="AD140" s="215"/>
      <c r="AE140" s="215"/>
      <c r="AF140" s="215"/>
      <c r="AG140" s="215"/>
      <c r="AH140" s="215"/>
      <c r="AI140" s="216"/>
      <c r="AJ140" s="216"/>
      <c r="AK140" s="216"/>
      <c r="AL140" s="216"/>
      <c r="AM140" s="216"/>
      <c r="AN140" s="216"/>
    </row>
    <row r="141" spans="1:40">
      <c r="A141" s="117"/>
      <c r="B141" s="163"/>
      <c r="C141" s="164"/>
      <c r="D141" s="164"/>
      <c r="E141" s="164"/>
      <c r="F141" s="167"/>
      <c r="G141" s="206"/>
      <c r="H141" s="164"/>
      <c r="I141" s="164"/>
      <c r="J141" s="164"/>
      <c r="K141" s="207"/>
      <c r="L141" s="208"/>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111"/>
      <c r="AJ141" s="111"/>
      <c r="AK141" s="111"/>
      <c r="AL141" s="111"/>
      <c r="AM141" s="111"/>
      <c r="AN141" s="111"/>
    </row>
    <row r="142" spans="1:40">
      <c r="A142" s="117"/>
      <c r="B142" s="163"/>
      <c r="C142" s="164"/>
      <c r="D142" s="164"/>
      <c r="E142" s="164"/>
      <c r="F142" s="167"/>
      <c r="G142" s="206"/>
      <c r="H142" s="164"/>
      <c r="I142" s="164"/>
      <c r="J142" s="164"/>
      <c r="K142" s="207"/>
      <c r="L142" s="208"/>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111"/>
      <c r="AJ142" s="111"/>
      <c r="AK142" s="111"/>
      <c r="AL142" s="111"/>
      <c r="AM142" s="111"/>
      <c r="AN142" s="111"/>
    </row>
    <row r="143" spans="1:40">
      <c r="A143" s="117"/>
      <c r="B143" s="163"/>
      <c r="C143" s="164"/>
      <c r="D143" s="164"/>
      <c r="E143" s="164"/>
      <c r="F143" s="167"/>
      <c r="G143" s="206"/>
      <c r="H143" s="164"/>
      <c r="I143" s="164"/>
      <c r="J143" s="164"/>
      <c r="K143" s="207"/>
      <c r="L143" s="208"/>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111"/>
      <c r="AJ143" s="111"/>
      <c r="AK143" s="111"/>
      <c r="AL143" s="111"/>
      <c r="AM143" s="111"/>
      <c r="AN143" s="111"/>
    </row>
    <row r="144" spans="1:40">
      <c r="A144" s="117"/>
      <c r="B144" s="163"/>
      <c r="C144" s="164"/>
      <c r="D144" s="164"/>
      <c r="E144" s="164"/>
      <c r="F144" s="167"/>
      <c r="G144" s="206"/>
      <c r="H144" s="164"/>
      <c r="I144" s="164"/>
      <c r="J144" s="164"/>
      <c r="K144" s="207"/>
      <c r="L144" s="208"/>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111"/>
      <c r="AJ144" s="111"/>
      <c r="AK144" s="111"/>
      <c r="AL144" s="111"/>
      <c r="AM144" s="111"/>
      <c r="AN144" s="111"/>
    </row>
    <row r="145" spans="1:40">
      <c r="A145" s="117"/>
      <c r="B145" s="163"/>
      <c r="C145" s="164"/>
      <c r="D145" s="164"/>
      <c r="E145" s="164"/>
      <c r="F145" s="167"/>
      <c r="G145" s="206"/>
      <c r="H145" s="164"/>
      <c r="I145" s="164"/>
      <c r="J145" s="164"/>
      <c r="K145" s="207"/>
      <c r="L145" s="208"/>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111"/>
      <c r="AJ145" s="111"/>
      <c r="AK145" s="111"/>
      <c r="AL145" s="111"/>
      <c r="AM145" s="111"/>
      <c r="AN145" s="111"/>
    </row>
    <row r="146" spans="1:40">
      <c r="A146" s="117"/>
      <c r="B146" s="163"/>
      <c r="C146" s="164"/>
      <c r="D146" s="164"/>
      <c r="E146" s="164"/>
      <c r="F146" s="167"/>
      <c r="G146" s="206"/>
      <c r="H146" s="164"/>
      <c r="I146" s="164"/>
      <c r="J146" s="164"/>
      <c r="K146" s="207"/>
      <c r="L146" s="208"/>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111"/>
      <c r="AJ146" s="111"/>
      <c r="AK146" s="111"/>
      <c r="AL146" s="111"/>
      <c r="AM146" s="111"/>
      <c r="AN146" s="111"/>
    </row>
    <row r="147" spans="1:40">
      <c r="A147" s="117"/>
      <c r="B147" s="163"/>
      <c r="C147" s="164"/>
      <c r="D147" s="164"/>
      <c r="E147" s="164"/>
      <c r="F147" s="167"/>
      <c r="G147" s="206"/>
      <c r="H147" s="164"/>
      <c r="I147" s="164"/>
      <c r="J147" s="164"/>
      <c r="K147" s="207"/>
      <c r="L147" s="208"/>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111"/>
      <c r="AJ147" s="111"/>
      <c r="AK147" s="111"/>
      <c r="AL147" s="111"/>
      <c r="AM147" s="111"/>
      <c r="AN147" s="111"/>
    </row>
    <row r="148" spans="1:40">
      <c r="A148" s="117"/>
      <c r="B148" s="163"/>
      <c r="C148" s="164"/>
      <c r="D148" s="164"/>
      <c r="E148" s="164"/>
      <c r="F148" s="167"/>
      <c r="G148" s="206"/>
      <c r="H148" s="164"/>
      <c r="I148" s="164"/>
      <c r="J148" s="164"/>
      <c r="K148" s="207"/>
      <c r="L148" s="208"/>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111"/>
      <c r="AJ148" s="111"/>
      <c r="AK148" s="111"/>
      <c r="AL148" s="111"/>
      <c r="AM148" s="111"/>
      <c r="AN148" s="111"/>
    </row>
    <row r="149" spans="1:40">
      <c r="A149" s="117"/>
      <c r="B149" s="163"/>
      <c r="C149" s="164"/>
      <c r="D149" s="164"/>
      <c r="E149" s="164"/>
      <c r="F149" s="167"/>
      <c r="G149" s="206"/>
      <c r="H149" s="164"/>
      <c r="I149" s="164"/>
      <c r="J149" s="164"/>
      <c r="K149" s="207"/>
      <c r="L149" s="208"/>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111"/>
      <c r="AJ149" s="111"/>
      <c r="AK149" s="111"/>
      <c r="AL149" s="111"/>
      <c r="AM149" s="111"/>
      <c r="AN149" s="111"/>
    </row>
    <row r="150" spans="1:40">
      <c r="A150" s="117"/>
      <c r="B150" s="163"/>
      <c r="C150" s="164"/>
      <c r="D150" s="164"/>
      <c r="E150" s="164"/>
      <c r="F150" s="167"/>
      <c r="G150" s="206"/>
      <c r="H150" s="164"/>
      <c r="I150" s="164"/>
      <c r="J150" s="164"/>
      <c r="K150" s="207"/>
      <c r="L150" s="208"/>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111"/>
      <c r="AJ150" s="111"/>
      <c r="AK150" s="111"/>
      <c r="AL150" s="111"/>
      <c r="AM150" s="111"/>
      <c r="AN150" s="111"/>
    </row>
    <row r="151" spans="1:40">
      <c r="A151" s="117"/>
      <c r="B151" s="163"/>
      <c r="C151" s="164"/>
      <c r="D151" s="164"/>
      <c r="E151" s="164"/>
      <c r="F151" s="167"/>
      <c r="G151" s="206"/>
      <c r="H151" s="164"/>
      <c r="I151" s="164"/>
      <c r="J151" s="164"/>
      <c r="K151" s="207"/>
      <c r="L151" s="208"/>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111"/>
      <c r="AJ151" s="111"/>
      <c r="AK151" s="111"/>
      <c r="AL151" s="111"/>
      <c r="AM151" s="111"/>
      <c r="AN151" s="111"/>
    </row>
    <row r="152" spans="1:40" s="12" customFormat="1">
      <c r="A152" s="118"/>
      <c r="B152" s="209"/>
      <c r="C152" s="210"/>
      <c r="D152" s="210"/>
      <c r="E152" s="210"/>
      <c r="F152" s="211"/>
      <c r="G152" s="212"/>
      <c r="H152" s="210"/>
      <c r="I152" s="210"/>
      <c r="J152" s="210"/>
      <c r="K152" s="213"/>
      <c r="L152" s="214"/>
      <c r="M152" s="215"/>
      <c r="N152" s="215"/>
      <c r="O152" s="215"/>
      <c r="P152" s="215"/>
      <c r="Q152" s="215"/>
      <c r="R152" s="215"/>
      <c r="S152" s="215"/>
      <c r="T152" s="215"/>
      <c r="U152" s="215"/>
      <c r="V152" s="215"/>
      <c r="W152" s="215"/>
      <c r="X152" s="215"/>
      <c r="Y152" s="215"/>
      <c r="Z152" s="215"/>
      <c r="AA152" s="215"/>
      <c r="AB152" s="215"/>
      <c r="AC152" s="215"/>
      <c r="AD152" s="215"/>
      <c r="AE152" s="215"/>
      <c r="AF152" s="215"/>
      <c r="AG152" s="215"/>
      <c r="AH152" s="215"/>
      <c r="AI152" s="216"/>
      <c r="AJ152" s="216"/>
      <c r="AK152" s="216"/>
      <c r="AL152" s="216"/>
      <c r="AM152" s="216"/>
      <c r="AN152" s="216"/>
    </row>
    <row r="153" spans="1:40">
      <c r="A153" s="117"/>
      <c r="B153" s="163"/>
      <c r="C153" s="164"/>
      <c r="D153" s="164"/>
      <c r="E153" s="164"/>
      <c r="F153" s="167"/>
      <c r="G153" s="206"/>
      <c r="H153" s="164"/>
      <c r="I153" s="164"/>
      <c r="J153" s="164"/>
      <c r="K153" s="207"/>
      <c r="L153" s="208"/>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111"/>
      <c r="AJ153" s="111"/>
      <c r="AK153" s="111"/>
      <c r="AL153" s="111"/>
      <c r="AM153" s="111"/>
      <c r="AN153" s="111"/>
    </row>
    <row r="154" spans="1:40">
      <c r="A154" s="117"/>
      <c r="B154" s="163"/>
      <c r="C154" s="164"/>
      <c r="D154" s="164"/>
      <c r="E154" s="164"/>
      <c r="F154" s="167"/>
      <c r="G154" s="206"/>
      <c r="H154" s="164"/>
      <c r="I154" s="164"/>
      <c r="J154" s="164"/>
      <c r="K154" s="207"/>
      <c r="L154" s="208"/>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111"/>
      <c r="AJ154" s="111"/>
      <c r="AK154" s="111"/>
      <c r="AL154" s="111"/>
      <c r="AM154" s="111"/>
      <c r="AN154" s="111"/>
    </row>
    <row r="155" spans="1:40">
      <c r="A155" s="117"/>
      <c r="B155" s="163"/>
      <c r="C155" s="164"/>
      <c r="D155" s="164"/>
      <c r="E155" s="164"/>
      <c r="F155" s="167"/>
      <c r="G155" s="206"/>
      <c r="H155" s="164"/>
      <c r="I155" s="164"/>
      <c r="J155" s="164"/>
      <c r="K155" s="207"/>
      <c r="L155" s="208"/>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111"/>
      <c r="AJ155" s="111"/>
      <c r="AK155" s="111"/>
      <c r="AL155" s="111"/>
      <c r="AM155" s="111"/>
      <c r="AN155" s="111"/>
    </row>
    <row r="156" spans="1:40">
      <c r="A156" s="117"/>
      <c r="B156" s="163"/>
      <c r="C156" s="164"/>
      <c r="D156" s="164"/>
      <c r="E156" s="164"/>
      <c r="F156" s="167"/>
      <c r="G156" s="206"/>
      <c r="H156" s="164"/>
      <c r="I156" s="164"/>
      <c r="J156" s="164"/>
      <c r="K156" s="207"/>
      <c r="L156" s="208"/>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111"/>
      <c r="AJ156" s="111"/>
      <c r="AK156" s="111"/>
      <c r="AL156" s="111"/>
      <c r="AM156" s="111"/>
      <c r="AN156" s="111"/>
    </row>
    <row r="157" spans="1:40">
      <c r="A157" s="117"/>
      <c r="B157" s="163"/>
      <c r="C157" s="164"/>
      <c r="D157" s="164"/>
      <c r="E157" s="164"/>
      <c r="F157" s="167"/>
      <c r="G157" s="206"/>
      <c r="H157" s="164"/>
      <c r="I157" s="164"/>
      <c r="J157" s="164"/>
      <c r="K157" s="207"/>
      <c r="L157" s="208"/>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111"/>
      <c r="AJ157" s="111"/>
      <c r="AK157" s="111"/>
      <c r="AL157" s="111"/>
      <c r="AM157" s="111"/>
      <c r="AN157" s="111"/>
    </row>
    <row r="158" spans="1:40">
      <c r="A158" s="117"/>
      <c r="B158" s="163"/>
      <c r="C158" s="164"/>
      <c r="D158" s="164"/>
      <c r="E158" s="164"/>
      <c r="F158" s="167"/>
      <c r="G158" s="206"/>
      <c r="H158" s="164"/>
      <c r="I158" s="164"/>
      <c r="J158" s="164"/>
      <c r="K158" s="207"/>
      <c r="L158" s="208"/>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111"/>
      <c r="AJ158" s="111"/>
      <c r="AK158" s="111"/>
      <c r="AL158" s="111"/>
      <c r="AM158" s="111"/>
      <c r="AN158" s="111"/>
    </row>
    <row r="159" spans="1:40">
      <c r="A159" s="117"/>
      <c r="B159" s="163"/>
      <c r="C159" s="164"/>
      <c r="D159" s="164"/>
      <c r="E159" s="164"/>
      <c r="F159" s="167"/>
      <c r="G159" s="206"/>
      <c r="H159" s="164"/>
      <c r="I159" s="164"/>
      <c r="J159" s="164"/>
      <c r="K159" s="207"/>
      <c r="L159" s="208"/>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111"/>
      <c r="AJ159" s="111"/>
      <c r="AK159" s="111"/>
      <c r="AL159" s="111"/>
      <c r="AM159" s="111"/>
      <c r="AN159" s="111"/>
    </row>
    <row r="160" spans="1:40">
      <c r="A160" s="117"/>
      <c r="B160" s="163"/>
      <c r="C160" s="164"/>
      <c r="D160" s="164"/>
      <c r="E160" s="164"/>
      <c r="F160" s="167"/>
      <c r="G160" s="206"/>
      <c r="H160" s="164"/>
      <c r="I160" s="164"/>
      <c r="J160" s="164"/>
      <c r="K160" s="207"/>
      <c r="L160" s="208"/>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111"/>
      <c r="AJ160" s="111"/>
      <c r="AK160" s="111"/>
      <c r="AL160" s="111"/>
      <c r="AM160" s="111"/>
      <c r="AN160" s="111"/>
    </row>
    <row r="161" spans="1:40">
      <c r="A161" s="117"/>
      <c r="B161" s="163"/>
      <c r="C161" s="164"/>
      <c r="D161" s="164"/>
      <c r="E161" s="164"/>
      <c r="F161" s="167"/>
      <c r="G161" s="206"/>
      <c r="H161" s="164"/>
      <c r="I161" s="164"/>
      <c r="J161" s="164"/>
      <c r="K161" s="207"/>
      <c r="L161" s="208"/>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111"/>
      <c r="AJ161" s="111"/>
      <c r="AK161" s="111"/>
      <c r="AL161" s="111"/>
      <c r="AM161" s="111"/>
      <c r="AN161" s="111"/>
    </row>
    <row r="162" spans="1:40">
      <c r="A162" s="117"/>
      <c r="B162" s="163"/>
      <c r="C162" s="164"/>
      <c r="D162" s="164"/>
      <c r="E162" s="164"/>
      <c r="F162" s="167"/>
      <c r="G162" s="206"/>
      <c r="H162" s="164"/>
      <c r="I162" s="164"/>
      <c r="J162" s="164"/>
      <c r="K162" s="207"/>
      <c r="L162" s="208"/>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111"/>
      <c r="AJ162" s="111"/>
      <c r="AK162" s="111"/>
      <c r="AL162" s="111"/>
      <c r="AM162" s="111"/>
      <c r="AN162" s="111"/>
    </row>
    <row r="163" spans="1:40">
      <c r="A163" s="117"/>
      <c r="B163" s="163"/>
      <c r="C163" s="164"/>
      <c r="D163" s="164"/>
      <c r="E163" s="164"/>
      <c r="F163" s="167"/>
      <c r="G163" s="206"/>
      <c r="H163" s="164"/>
      <c r="I163" s="164"/>
      <c r="J163" s="164"/>
      <c r="K163" s="207"/>
      <c r="L163" s="208"/>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111"/>
      <c r="AJ163" s="111"/>
      <c r="AK163" s="111"/>
      <c r="AL163" s="111"/>
      <c r="AM163" s="111"/>
      <c r="AN163" s="111"/>
    </row>
    <row r="164" spans="1:40" s="12" customFormat="1">
      <c r="A164" s="118"/>
      <c r="B164" s="209"/>
      <c r="C164" s="210"/>
      <c r="D164" s="210"/>
      <c r="E164" s="210"/>
      <c r="F164" s="211"/>
      <c r="G164" s="212"/>
      <c r="H164" s="210"/>
      <c r="I164" s="210"/>
      <c r="J164" s="210"/>
      <c r="K164" s="213"/>
      <c r="L164" s="214"/>
      <c r="M164" s="215"/>
      <c r="N164" s="215"/>
      <c r="O164" s="215"/>
      <c r="P164" s="215"/>
      <c r="Q164" s="215"/>
      <c r="R164" s="215"/>
      <c r="S164" s="215"/>
      <c r="T164" s="215"/>
      <c r="U164" s="215"/>
      <c r="V164" s="215"/>
      <c r="W164" s="215"/>
      <c r="X164" s="215"/>
      <c r="Y164" s="215"/>
      <c r="Z164" s="215"/>
      <c r="AA164" s="215"/>
      <c r="AB164" s="215"/>
      <c r="AC164" s="215"/>
      <c r="AD164" s="215"/>
      <c r="AE164" s="215"/>
      <c r="AF164" s="215"/>
      <c r="AG164" s="215"/>
      <c r="AH164" s="215"/>
      <c r="AI164" s="216"/>
      <c r="AJ164" s="216"/>
      <c r="AK164" s="216"/>
      <c r="AL164" s="216"/>
      <c r="AM164" s="216"/>
      <c r="AN164" s="216"/>
    </row>
    <row r="165" spans="1:40">
      <c r="A165" s="117"/>
      <c r="B165" s="163"/>
      <c r="C165" s="164"/>
      <c r="D165" s="164"/>
      <c r="E165" s="164"/>
      <c r="F165" s="167"/>
      <c r="G165" s="206"/>
      <c r="H165" s="164"/>
      <c r="I165" s="164"/>
      <c r="J165" s="164"/>
      <c r="K165" s="207"/>
      <c r="L165" s="208"/>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111"/>
      <c r="AJ165" s="111"/>
      <c r="AK165" s="111"/>
      <c r="AL165" s="111"/>
      <c r="AM165" s="111"/>
      <c r="AN165" s="111"/>
    </row>
    <row r="166" spans="1:40">
      <c r="A166" s="117"/>
      <c r="B166" s="163"/>
      <c r="C166" s="164"/>
      <c r="D166" s="164"/>
      <c r="E166" s="164"/>
      <c r="F166" s="167"/>
      <c r="G166" s="206"/>
      <c r="H166" s="164"/>
      <c r="I166" s="164"/>
      <c r="J166" s="164"/>
      <c r="K166" s="207"/>
      <c r="L166" s="208"/>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111"/>
      <c r="AJ166" s="111"/>
      <c r="AK166" s="111"/>
      <c r="AL166" s="111"/>
      <c r="AM166" s="111"/>
      <c r="AN166" s="111"/>
    </row>
    <row r="167" spans="1:40">
      <c r="A167" s="117"/>
      <c r="B167" s="163"/>
      <c r="C167" s="164"/>
      <c r="D167" s="164"/>
      <c r="E167" s="164"/>
      <c r="F167" s="167"/>
      <c r="G167" s="206"/>
      <c r="H167" s="164"/>
      <c r="I167" s="164"/>
      <c r="J167" s="164"/>
      <c r="K167" s="207"/>
      <c r="L167" s="208"/>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111"/>
      <c r="AJ167" s="111"/>
      <c r="AK167" s="111"/>
      <c r="AL167" s="111"/>
      <c r="AM167" s="111"/>
      <c r="AN167" s="111"/>
    </row>
    <row r="168" spans="1:40">
      <c r="A168" s="117"/>
      <c r="B168" s="163"/>
      <c r="C168" s="164"/>
      <c r="D168" s="164"/>
      <c r="E168" s="164"/>
      <c r="F168" s="167"/>
      <c r="G168" s="206"/>
      <c r="H168" s="164"/>
      <c r="I168" s="164"/>
      <c r="J168" s="164"/>
      <c r="K168" s="207"/>
      <c r="L168" s="208"/>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111"/>
      <c r="AJ168" s="111"/>
      <c r="AK168" s="111"/>
      <c r="AL168" s="111"/>
      <c r="AM168" s="111"/>
      <c r="AN168" s="111"/>
    </row>
    <row r="169" spans="1:40">
      <c r="A169" s="117"/>
      <c r="B169" s="163"/>
      <c r="C169" s="164"/>
      <c r="D169" s="164"/>
      <c r="E169" s="164"/>
      <c r="F169" s="167"/>
      <c r="G169" s="206"/>
      <c r="H169" s="164"/>
      <c r="I169" s="164"/>
      <c r="J169" s="164"/>
      <c r="K169" s="207"/>
      <c r="L169" s="208"/>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111"/>
      <c r="AJ169" s="111"/>
      <c r="AK169" s="111"/>
      <c r="AL169" s="111"/>
      <c r="AM169" s="111"/>
      <c r="AN169" s="111"/>
    </row>
    <row r="170" spans="1:40">
      <c r="A170" s="117"/>
      <c r="B170" s="163"/>
      <c r="C170" s="164"/>
      <c r="D170" s="164"/>
      <c r="E170" s="164"/>
      <c r="F170" s="167"/>
      <c r="G170" s="206"/>
      <c r="H170" s="164"/>
      <c r="I170" s="164"/>
      <c r="J170" s="164"/>
      <c r="K170" s="207"/>
      <c r="L170" s="208"/>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111"/>
      <c r="AJ170" s="111"/>
      <c r="AK170" s="111"/>
      <c r="AL170" s="111"/>
      <c r="AM170" s="111"/>
      <c r="AN170" s="111"/>
    </row>
    <row r="171" spans="1:40">
      <c r="A171" s="117"/>
      <c r="B171" s="163"/>
      <c r="C171" s="164"/>
      <c r="D171" s="164"/>
      <c r="E171" s="164"/>
      <c r="F171" s="167"/>
      <c r="G171" s="206"/>
      <c r="H171" s="164"/>
      <c r="I171" s="164"/>
      <c r="J171" s="164"/>
      <c r="K171" s="207"/>
      <c r="L171" s="208"/>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111"/>
      <c r="AJ171" s="111"/>
      <c r="AK171" s="111"/>
      <c r="AL171" s="111"/>
      <c r="AM171" s="111"/>
      <c r="AN171" s="111"/>
    </row>
    <row r="172" spans="1:40">
      <c r="A172" s="117"/>
      <c r="B172" s="163"/>
      <c r="C172" s="164"/>
      <c r="D172" s="164"/>
      <c r="E172" s="164"/>
      <c r="F172" s="167"/>
      <c r="G172" s="206"/>
      <c r="H172" s="164"/>
      <c r="I172" s="164"/>
      <c r="J172" s="164"/>
      <c r="K172" s="207"/>
      <c r="L172" s="208"/>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111"/>
      <c r="AJ172" s="111"/>
      <c r="AK172" s="111"/>
      <c r="AL172" s="111"/>
      <c r="AM172" s="111"/>
      <c r="AN172" s="111"/>
    </row>
    <row r="173" spans="1:40">
      <c r="A173" s="117"/>
      <c r="B173" s="163"/>
      <c r="C173" s="164"/>
      <c r="D173" s="164"/>
      <c r="E173" s="164"/>
      <c r="F173" s="167"/>
      <c r="G173" s="206"/>
      <c r="H173" s="164"/>
      <c r="I173" s="164"/>
      <c r="J173" s="164"/>
      <c r="K173" s="207"/>
      <c r="L173" s="208"/>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111"/>
      <c r="AJ173" s="111"/>
      <c r="AK173" s="111"/>
      <c r="AL173" s="111"/>
      <c r="AM173" s="111"/>
      <c r="AN173" s="111"/>
    </row>
    <row r="174" spans="1:40">
      <c r="A174" s="117"/>
      <c r="B174" s="163"/>
      <c r="C174" s="164"/>
      <c r="D174" s="164"/>
      <c r="E174" s="164"/>
      <c r="F174" s="167"/>
      <c r="G174" s="206"/>
      <c r="H174" s="164"/>
      <c r="I174" s="164"/>
      <c r="J174" s="164"/>
      <c r="K174" s="207"/>
      <c r="L174" s="208"/>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111"/>
      <c r="AJ174" s="111"/>
      <c r="AK174" s="111"/>
      <c r="AL174" s="111"/>
      <c r="AM174" s="111"/>
      <c r="AN174" s="111"/>
    </row>
    <row r="175" spans="1:40">
      <c r="A175" s="117"/>
      <c r="B175" s="163"/>
      <c r="C175" s="164"/>
      <c r="D175" s="164"/>
      <c r="E175" s="164"/>
      <c r="F175" s="167"/>
      <c r="G175" s="206"/>
      <c r="H175" s="164"/>
      <c r="I175" s="164"/>
      <c r="J175" s="164"/>
      <c r="K175" s="207"/>
      <c r="L175" s="208"/>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111"/>
      <c r="AJ175" s="111"/>
      <c r="AK175" s="111"/>
      <c r="AL175" s="111"/>
      <c r="AM175" s="111"/>
      <c r="AN175" s="111"/>
    </row>
    <row r="176" spans="1:40" s="12" customFormat="1">
      <c r="A176" s="118"/>
      <c r="B176" s="209"/>
      <c r="C176" s="210"/>
      <c r="D176" s="210"/>
      <c r="E176" s="210"/>
      <c r="F176" s="211"/>
      <c r="G176" s="212"/>
      <c r="H176" s="210"/>
      <c r="I176" s="210"/>
      <c r="J176" s="210"/>
      <c r="K176" s="213"/>
      <c r="L176" s="214"/>
      <c r="M176" s="215"/>
      <c r="N176" s="215"/>
      <c r="O176" s="215"/>
      <c r="P176" s="215"/>
      <c r="Q176" s="215"/>
      <c r="R176" s="215"/>
      <c r="S176" s="215"/>
      <c r="T176" s="215"/>
      <c r="U176" s="215"/>
      <c r="V176" s="215"/>
      <c r="W176" s="215"/>
      <c r="X176" s="215"/>
      <c r="Y176" s="215"/>
      <c r="Z176" s="215"/>
      <c r="AA176" s="215"/>
      <c r="AB176" s="215"/>
      <c r="AC176" s="215"/>
      <c r="AD176" s="215"/>
      <c r="AE176" s="215"/>
      <c r="AF176" s="215"/>
      <c r="AG176" s="215"/>
      <c r="AH176" s="215"/>
      <c r="AI176" s="216"/>
      <c r="AJ176" s="216"/>
      <c r="AK176" s="216"/>
      <c r="AL176" s="216"/>
      <c r="AM176" s="216"/>
      <c r="AN176" s="216"/>
    </row>
    <row r="177" spans="1:40">
      <c r="A177" s="117"/>
      <c r="B177" s="163"/>
      <c r="C177" s="164"/>
      <c r="D177" s="164"/>
      <c r="E177" s="164"/>
      <c r="F177" s="167"/>
      <c r="G177" s="206"/>
      <c r="H177" s="164"/>
      <c r="I177" s="164"/>
      <c r="J177" s="164"/>
      <c r="K177" s="207"/>
      <c r="L177" s="208"/>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111"/>
      <c r="AJ177" s="111"/>
      <c r="AK177" s="111"/>
      <c r="AL177" s="111"/>
      <c r="AM177" s="111"/>
      <c r="AN177" s="111"/>
    </row>
    <row r="178" spans="1:40">
      <c r="A178" s="117"/>
      <c r="B178" s="163"/>
      <c r="C178" s="164"/>
      <c r="D178" s="164"/>
      <c r="E178" s="164"/>
      <c r="F178" s="167"/>
      <c r="G178" s="206"/>
      <c r="H178" s="164"/>
      <c r="I178" s="164"/>
      <c r="J178" s="164"/>
      <c r="K178" s="207"/>
      <c r="L178" s="208"/>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111"/>
      <c r="AJ178" s="111"/>
      <c r="AK178" s="111"/>
      <c r="AL178" s="111"/>
      <c r="AM178" s="111"/>
      <c r="AN178" s="111"/>
    </row>
    <row r="179" spans="1:40">
      <c r="A179" s="117"/>
      <c r="B179" s="163"/>
      <c r="C179" s="164"/>
      <c r="D179" s="164"/>
      <c r="E179" s="164"/>
      <c r="F179" s="167"/>
      <c r="G179" s="206"/>
      <c r="H179" s="164"/>
      <c r="I179" s="164"/>
      <c r="J179" s="164"/>
      <c r="K179" s="207"/>
      <c r="L179" s="208"/>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111"/>
      <c r="AJ179" s="111"/>
      <c r="AK179" s="111"/>
      <c r="AL179" s="111"/>
      <c r="AM179" s="111"/>
      <c r="AN179" s="111"/>
    </row>
    <row r="180" spans="1:40">
      <c r="A180" s="117"/>
      <c r="B180" s="163"/>
      <c r="C180" s="164"/>
      <c r="D180" s="164"/>
      <c r="E180" s="164"/>
      <c r="F180" s="167"/>
      <c r="G180" s="206"/>
      <c r="H180" s="164"/>
      <c r="I180" s="164"/>
      <c r="J180" s="164"/>
      <c r="K180" s="207"/>
      <c r="L180" s="208"/>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111"/>
      <c r="AJ180" s="111"/>
      <c r="AK180" s="111"/>
      <c r="AL180" s="111"/>
      <c r="AM180" s="111"/>
      <c r="AN180" s="111"/>
    </row>
    <row r="181" spans="1:40">
      <c r="A181" s="27"/>
      <c r="B181" s="163"/>
      <c r="C181" s="164"/>
      <c r="D181" s="164"/>
      <c r="E181" s="164"/>
      <c r="F181" s="167"/>
      <c r="G181" s="206"/>
      <c r="H181" s="164"/>
      <c r="I181" s="164"/>
      <c r="J181" s="164"/>
      <c r="K181" s="207"/>
      <c r="L181" s="208"/>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111"/>
      <c r="AJ181" s="111"/>
      <c r="AK181" s="111"/>
      <c r="AL181" s="111"/>
      <c r="AM181" s="111"/>
      <c r="AN181" s="111"/>
    </row>
    <row r="182" spans="1:40">
      <c r="A182" s="27"/>
      <c r="B182" s="163"/>
      <c r="C182" s="164"/>
      <c r="D182" s="164"/>
      <c r="E182" s="164"/>
      <c r="F182" s="167"/>
      <c r="G182" s="206"/>
      <c r="H182" s="164"/>
      <c r="I182" s="164"/>
      <c r="J182" s="164"/>
      <c r="K182" s="207"/>
      <c r="L182" s="208"/>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111"/>
      <c r="AJ182" s="111"/>
      <c r="AK182" s="111"/>
      <c r="AL182" s="111"/>
      <c r="AM182" s="111"/>
      <c r="AN182" s="111"/>
    </row>
    <row r="183" spans="1:40">
      <c r="A183" s="27"/>
      <c r="B183" s="163"/>
      <c r="C183" s="164"/>
      <c r="D183" s="164"/>
      <c r="E183" s="164"/>
      <c r="F183" s="167"/>
      <c r="G183" s="206"/>
      <c r="H183" s="164"/>
      <c r="I183" s="164"/>
      <c r="J183" s="164"/>
      <c r="K183" s="207"/>
      <c r="L183" s="208"/>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111"/>
      <c r="AJ183" s="111"/>
      <c r="AK183" s="111"/>
      <c r="AL183" s="111"/>
      <c r="AM183" s="111"/>
      <c r="AN183" s="111"/>
    </row>
    <row r="184" spans="1:40">
      <c r="A184" s="27"/>
      <c r="B184" s="163"/>
      <c r="C184" s="164"/>
      <c r="D184" s="164"/>
      <c r="E184" s="164"/>
      <c r="F184" s="167"/>
      <c r="G184" s="206"/>
      <c r="H184" s="164"/>
      <c r="I184" s="164"/>
      <c r="J184" s="164"/>
      <c r="K184" s="207"/>
      <c r="L184" s="208"/>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111"/>
      <c r="AJ184" s="111"/>
      <c r="AK184" s="111"/>
      <c r="AL184" s="111"/>
      <c r="AM184" s="111"/>
      <c r="AN184" s="111"/>
    </row>
    <row r="185" spans="1:40">
      <c r="A185" s="27"/>
      <c r="B185" s="163"/>
      <c r="C185" s="164"/>
      <c r="D185" s="164"/>
      <c r="E185" s="164"/>
      <c r="F185" s="167"/>
      <c r="G185" s="206"/>
      <c r="H185" s="164"/>
      <c r="I185" s="164"/>
      <c r="J185" s="164"/>
      <c r="K185" s="207"/>
      <c r="L185" s="208"/>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111"/>
      <c r="AJ185" s="111"/>
      <c r="AK185" s="111"/>
      <c r="AL185" s="111"/>
      <c r="AM185" s="111"/>
      <c r="AN185" s="111"/>
    </row>
    <row r="186" spans="1:40">
      <c r="A186" s="27"/>
      <c r="B186" s="163"/>
      <c r="C186" s="164"/>
      <c r="D186" s="164"/>
      <c r="E186" s="164"/>
      <c r="F186" s="167"/>
      <c r="G186" s="206"/>
      <c r="H186" s="164"/>
      <c r="I186" s="164"/>
      <c r="J186" s="164"/>
      <c r="K186" s="207"/>
      <c r="L186" s="208"/>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111"/>
      <c r="AJ186" s="111"/>
      <c r="AK186" s="111"/>
      <c r="AL186" s="111"/>
      <c r="AM186" s="111"/>
      <c r="AN186" s="111"/>
    </row>
    <row r="187" spans="1:40">
      <c r="A187" s="27"/>
      <c r="B187" s="163"/>
      <c r="C187" s="164"/>
      <c r="D187" s="164"/>
      <c r="E187" s="164"/>
      <c r="F187" s="167"/>
      <c r="G187" s="206"/>
      <c r="H187" s="164"/>
      <c r="I187" s="164"/>
      <c r="J187" s="164"/>
      <c r="K187" s="207"/>
      <c r="L187" s="208"/>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111"/>
      <c r="AJ187" s="111"/>
      <c r="AK187" s="111"/>
      <c r="AL187" s="111"/>
      <c r="AM187" s="111"/>
      <c r="AN187" s="111"/>
    </row>
    <row r="188" spans="1:40" s="12" customFormat="1">
      <c r="A188" s="99"/>
      <c r="B188" s="209"/>
      <c r="C188" s="210"/>
      <c r="D188" s="210"/>
      <c r="E188" s="210"/>
      <c r="F188" s="211"/>
      <c r="G188" s="212"/>
      <c r="H188" s="210"/>
      <c r="I188" s="210"/>
      <c r="J188" s="210"/>
      <c r="K188" s="213"/>
      <c r="L188" s="214"/>
      <c r="M188" s="215"/>
      <c r="N188" s="215"/>
      <c r="O188" s="215"/>
      <c r="P188" s="215"/>
      <c r="Q188" s="215"/>
      <c r="R188" s="215"/>
      <c r="S188" s="215"/>
      <c r="T188" s="215"/>
      <c r="U188" s="215"/>
      <c r="V188" s="215"/>
      <c r="W188" s="215"/>
      <c r="X188" s="215"/>
      <c r="Y188" s="215"/>
      <c r="Z188" s="215"/>
      <c r="AA188" s="215"/>
      <c r="AB188" s="215"/>
      <c r="AC188" s="215"/>
      <c r="AD188" s="215"/>
      <c r="AE188" s="215"/>
      <c r="AF188" s="215"/>
      <c r="AG188" s="215"/>
      <c r="AH188" s="215"/>
      <c r="AI188" s="216"/>
      <c r="AJ188" s="216"/>
      <c r="AK188" s="216"/>
      <c r="AL188" s="216"/>
      <c r="AM188" s="216"/>
      <c r="AN188" s="216"/>
    </row>
    <row r="189" spans="1:40">
      <c r="A189" s="27"/>
      <c r="B189" s="163"/>
      <c r="C189" s="164"/>
      <c r="D189" s="164"/>
      <c r="E189" s="164"/>
      <c r="F189" s="167"/>
      <c r="G189" s="206"/>
      <c r="H189" s="164"/>
      <c r="I189" s="164"/>
      <c r="J189" s="164"/>
      <c r="K189" s="207"/>
      <c r="L189" s="208"/>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111"/>
      <c r="AJ189" s="111"/>
      <c r="AK189" s="111"/>
      <c r="AL189" s="111"/>
      <c r="AM189" s="111"/>
      <c r="AN189" s="111"/>
    </row>
    <row r="190" spans="1:40">
      <c r="A190" s="27"/>
      <c r="B190" s="163"/>
      <c r="C190" s="164"/>
      <c r="D190" s="164"/>
      <c r="E190" s="164"/>
      <c r="F190" s="167"/>
      <c r="G190" s="206"/>
      <c r="H190" s="164"/>
      <c r="I190" s="164"/>
      <c r="J190" s="164"/>
      <c r="K190" s="207"/>
      <c r="L190" s="208"/>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111"/>
      <c r="AJ190" s="111"/>
      <c r="AK190" s="111"/>
      <c r="AL190" s="111"/>
      <c r="AM190" s="111"/>
      <c r="AN190" s="111"/>
    </row>
    <row r="191" spans="1:40">
      <c r="A191" s="27"/>
      <c r="B191" s="163"/>
      <c r="C191" s="164"/>
      <c r="D191" s="164"/>
      <c r="E191" s="164"/>
      <c r="F191" s="167"/>
      <c r="G191" s="206"/>
      <c r="H191" s="164"/>
      <c r="I191" s="164"/>
      <c r="J191" s="164"/>
      <c r="K191" s="207"/>
      <c r="L191" s="208"/>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111"/>
      <c r="AJ191" s="111"/>
      <c r="AK191" s="111"/>
      <c r="AL191" s="111"/>
      <c r="AM191" s="111"/>
      <c r="AN191" s="111"/>
    </row>
    <row r="192" spans="1:40">
      <c r="A192" s="27"/>
      <c r="B192" s="163"/>
      <c r="C192" s="164"/>
      <c r="D192" s="164"/>
      <c r="E192" s="164"/>
      <c r="F192" s="167"/>
      <c r="G192" s="206"/>
      <c r="H192" s="164"/>
      <c r="I192" s="164"/>
      <c r="J192" s="164"/>
      <c r="K192" s="207"/>
      <c r="L192" s="208"/>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111"/>
      <c r="AJ192" s="111"/>
      <c r="AK192" s="111"/>
      <c r="AL192" s="111"/>
      <c r="AM192" s="111"/>
      <c r="AN192" s="111"/>
    </row>
    <row r="193" spans="1:40">
      <c r="A193" s="27"/>
      <c r="B193" s="163"/>
      <c r="C193" s="164"/>
      <c r="D193" s="164"/>
      <c r="E193" s="164"/>
      <c r="F193" s="167"/>
      <c r="G193" s="206"/>
      <c r="H193" s="164"/>
      <c r="I193" s="164"/>
      <c r="J193" s="164"/>
      <c r="K193" s="207"/>
      <c r="L193" s="208"/>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111"/>
      <c r="AJ193" s="111"/>
      <c r="AK193" s="111"/>
      <c r="AL193" s="111"/>
      <c r="AM193" s="111"/>
      <c r="AN193" s="111"/>
    </row>
    <row r="194" spans="1:40">
      <c r="A194" s="27"/>
      <c r="B194" s="163"/>
      <c r="C194" s="164"/>
      <c r="D194" s="164"/>
      <c r="E194" s="164"/>
      <c r="F194" s="167"/>
      <c r="G194" s="206"/>
      <c r="H194" s="164"/>
      <c r="I194" s="164"/>
      <c r="J194" s="164"/>
      <c r="K194" s="207"/>
      <c r="L194" s="208"/>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111"/>
      <c r="AJ194" s="111"/>
      <c r="AK194" s="111"/>
      <c r="AL194" s="111"/>
      <c r="AM194" s="111"/>
      <c r="AN194" s="111"/>
    </row>
    <row r="195" spans="1:40">
      <c r="A195" s="27"/>
      <c r="B195" s="163"/>
      <c r="C195" s="164"/>
      <c r="D195" s="164"/>
      <c r="E195" s="164"/>
      <c r="F195" s="167"/>
      <c r="G195" s="206"/>
      <c r="H195" s="164"/>
      <c r="I195" s="164"/>
      <c r="J195" s="164"/>
      <c r="K195" s="207"/>
      <c r="L195" s="208"/>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111"/>
      <c r="AJ195" s="111"/>
      <c r="AK195" s="111"/>
      <c r="AL195" s="111"/>
      <c r="AM195" s="111"/>
      <c r="AN195" s="111"/>
    </row>
    <row r="196" spans="1:40">
      <c r="A196" s="27"/>
      <c r="B196" s="163"/>
      <c r="C196" s="164"/>
      <c r="D196" s="164"/>
      <c r="E196" s="164"/>
      <c r="F196" s="167"/>
      <c r="G196" s="206"/>
      <c r="H196" s="164"/>
      <c r="I196" s="164"/>
      <c r="J196" s="164"/>
      <c r="K196" s="207"/>
      <c r="L196" s="208"/>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111"/>
      <c r="AJ196" s="111"/>
      <c r="AK196" s="111"/>
      <c r="AL196" s="111"/>
      <c r="AM196" s="111"/>
      <c r="AN196" s="111"/>
    </row>
    <row r="197" spans="1:40">
      <c r="A197" s="27"/>
      <c r="B197" s="163"/>
      <c r="C197" s="164"/>
      <c r="D197" s="164"/>
      <c r="E197" s="164"/>
      <c r="F197" s="167"/>
      <c r="G197" s="206"/>
      <c r="H197" s="164"/>
      <c r="I197" s="164"/>
      <c r="J197" s="164"/>
      <c r="K197" s="207"/>
      <c r="L197" s="208"/>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111"/>
      <c r="AJ197" s="111"/>
      <c r="AK197" s="111"/>
      <c r="AL197" s="111"/>
      <c r="AM197" s="111"/>
      <c r="AN197" s="111"/>
    </row>
    <row r="198" spans="1:40">
      <c r="A198" s="27"/>
      <c r="B198" s="163"/>
      <c r="C198" s="164"/>
      <c r="D198" s="164"/>
      <c r="E198" s="164"/>
      <c r="F198" s="167"/>
      <c r="G198" s="206"/>
      <c r="H198" s="164"/>
      <c r="I198" s="164"/>
      <c r="J198" s="164"/>
      <c r="K198" s="207"/>
      <c r="L198" s="208"/>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111"/>
      <c r="AJ198" s="111"/>
      <c r="AK198" s="111"/>
      <c r="AL198" s="111"/>
      <c r="AM198" s="111"/>
      <c r="AN198" s="111"/>
    </row>
    <row r="199" spans="1:40">
      <c r="A199" s="27"/>
      <c r="B199" s="163"/>
      <c r="C199" s="164"/>
      <c r="D199" s="164"/>
      <c r="E199" s="164"/>
      <c r="F199" s="167"/>
      <c r="G199" s="206"/>
      <c r="H199" s="164"/>
      <c r="I199" s="164"/>
      <c r="J199" s="164"/>
      <c r="K199" s="207"/>
      <c r="L199" s="208"/>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111"/>
      <c r="AJ199" s="111"/>
      <c r="AK199" s="111"/>
      <c r="AL199" s="111"/>
      <c r="AM199" s="111"/>
      <c r="AN199" s="111"/>
    </row>
    <row r="200" spans="1:40" s="12" customFormat="1">
      <c r="A200" s="99"/>
      <c r="B200" s="209"/>
      <c r="C200" s="210"/>
      <c r="D200" s="210"/>
      <c r="E200" s="210"/>
      <c r="F200" s="211"/>
      <c r="G200" s="212"/>
      <c r="H200" s="210"/>
      <c r="I200" s="210"/>
      <c r="J200" s="210"/>
      <c r="K200" s="213"/>
      <c r="L200" s="214"/>
      <c r="M200" s="215"/>
      <c r="N200" s="215"/>
      <c r="O200" s="215"/>
      <c r="P200" s="215"/>
      <c r="Q200" s="215"/>
      <c r="R200" s="215"/>
      <c r="S200" s="215"/>
      <c r="T200" s="215"/>
      <c r="U200" s="215"/>
      <c r="V200" s="215"/>
      <c r="W200" s="215"/>
      <c r="X200" s="215"/>
      <c r="Y200" s="215"/>
      <c r="Z200" s="215"/>
      <c r="AA200" s="215"/>
      <c r="AB200" s="215"/>
      <c r="AC200" s="215"/>
      <c r="AD200" s="215"/>
      <c r="AE200" s="215"/>
      <c r="AF200" s="215"/>
      <c r="AG200" s="215"/>
      <c r="AH200" s="215"/>
      <c r="AI200" s="216"/>
      <c r="AJ200" s="216"/>
      <c r="AK200" s="216"/>
      <c r="AL200" s="216"/>
      <c r="AM200" s="216"/>
      <c r="AN200" s="216"/>
    </row>
    <row r="201" spans="1:40">
      <c r="A201" s="27"/>
      <c r="B201" s="163"/>
      <c r="C201" s="164"/>
      <c r="D201" s="164"/>
      <c r="E201" s="164"/>
      <c r="F201" s="167"/>
      <c r="G201" s="206"/>
      <c r="H201" s="164"/>
      <c r="I201" s="164"/>
      <c r="J201" s="164"/>
      <c r="K201" s="207"/>
      <c r="L201" s="208"/>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111"/>
      <c r="AJ201" s="111"/>
      <c r="AK201" s="111"/>
      <c r="AL201" s="111"/>
      <c r="AM201" s="111"/>
      <c r="AN201" s="111"/>
    </row>
    <row r="202" spans="1:40">
      <c r="A202" s="27"/>
      <c r="B202" s="163"/>
      <c r="C202" s="164"/>
      <c r="D202" s="164"/>
      <c r="E202" s="164"/>
      <c r="F202" s="167"/>
      <c r="G202" s="206"/>
      <c r="H202" s="164"/>
      <c r="I202" s="164"/>
      <c r="J202" s="164"/>
      <c r="K202" s="207"/>
      <c r="L202" s="208"/>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111"/>
      <c r="AJ202" s="111"/>
      <c r="AK202" s="111"/>
      <c r="AL202" s="111"/>
      <c r="AM202" s="111"/>
      <c r="AN202" s="111"/>
    </row>
    <row r="203" spans="1:40">
      <c r="A203" s="27"/>
      <c r="B203" s="163"/>
      <c r="C203" s="164"/>
      <c r="D203" s="164"/>
      <c r="E203" s="164"/>
      <c r="F203" s="167"/>
      <c r="G203" s="206"/>
      <c r="H203" s="164"/>
      <c r="I203" s="164"/>
      <c r="J203" s="164"/>
      <c r="K203" s="207"/>
      <c r="L203" s="208"/>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111"/>
      <c r="AJ203" s="111"/>
      <c r="AK203" s="111"/>
      <c r="AL203" s="111"/>
      <c r="AM203" s="111"/>
      <c r="AN203" s="111"/>
    </row>
    <row r="204" spans="1:40">
      <c r="A204" s="27"/>
      <c r="B204" s="163"/>
      <c r="C204" s="164"/>
      <c r="D204" s="164"/>
      <c r="E204" s="164"/>
      <c r="F204" s="167"/>
      <c r="G204" s="206"/>
      <c r="H204" s="164"/>
      <c r="I204" s="164"/>
      <c r="J204" s="164"/>
      <c r="K204" s="207"/>
      <c r="L204" s="208"/>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111"/>
      <c r="AJ204" s="111"/>
      <c r="AK204" s="111"/>
      <c r="AL204" s="111"/>
      <c r="AM204" s="111"/>
      <c r="AN204" s="111"/>
    </row>
    <row r="205" spans="1:40">
      <c r="A205" s="27"/>
      <c r="B205" s="163"/>
      <c r="C205" s="164"/>
      <c r="D205" s="164"/>
      <c r="E205" s="164"/>
      <c r="F205" s="167"/>
      <c r="G205" s="206"/>
      <c r="H205" s="164"/>
      <c r="I205" s="164"/>
      <c r="J205" s="164"/>
      <c r="K205" s="207"/>
      <c r="L205" s="208"/>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111"/>
      <c r="AJ205" s="111"/>
      <c r="AK205" s="111"/>
      <c r="AL205" s="111"/>
      <c r="AM205" s="111"/>
      <c r="AN205" s="111"/>
    </row>
    <row r="206" spans="1:40">
      <c r="A206" s="27"/>
      <c r="B206" s="163"/>
      <c r="C206" s="164"/>
      <c r="D206" s="164"/>
      <c r="E206" s="164"/>
      <c r="F206" s="167"/>
      <c r="G206" s="206"/>
      <c r="H206" s="164"/>
      <c r="I206" s="164"/>
      <c r="J206" s="164"/>
      <c r="K206" s="207"/>
      <c r="L206" s="208"/>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111"/>
      <c r="AJ206" s="111"/>
      <c r="AK206" s="111"/>
      <c r="AL206" s="111"/>
      <c r="AM206" s="111"/>
      <c r="AN206" s="111"/>
    </row>
    <row r="207" spans="1:40">
      <c r="A207" s="27"/>
      <c r="B207" s="163"/>
      <c r="C207" s="164"/>
      <c r="D207" s="164"/>
      <c r="E207" s="164"/>
      <c r="F207" s="167"/>
      <c r="G207" s="206"/>
      <c r="H207" s="164"/>
      <c r="I207" s="164"/>
      <c r="J207" s="164"/>
      <c r="K207" s="207"/>
      <c r="L207" s="208"/>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111"/>
      <c r="AJ207" s="111"/>
      <c r="AK207" s="111"/>
      <c r="AL207" s="111"/>
      <c r="AM207" s="111"/>
      <c r="AN207" s="111"/>
    </row>
    <row r="208" spans="1:40">
      <c r="A208" s="27"/>
      <c r="B208" s="163"/>
      <c r="C208" s="164"/>
      <c r="D208" s="164"/>
      <c r="E208" s="164"/>
      <c r="F208" s="167"/>
      <c r="G208" s="206"/>
      <c r="H208" s="164"/>
      <c r="I208" s="164"/>
      <c r="J208" s="164"/>
      <c r="K208" s="207"/>
      <c r="L208" s="208"/>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111"/>
      <c r="AJ208" s="111"/>
      <c r="AK208" s="111"/>
      <c r="AL208" s="111"/>
      <c r="AM208" s="111"/>
      <c r="AN208" s="111"/>
    </row>
    <row r="209" spans="1:40">
      <c r="A209" s="27"/>
      <c r="B209" s="163"/>
      <c r="C209" s="164"/>
      <c r="D209" s="164"/>
      <c r="E209" s="164"/>
      <c r="F209" s="167"/>
      <c r="G209" s="206"/>
      <c r="H209" s="164"/>
      <c r="I209" s="164"/>
      <c r="J209" s="164"/>
      <c r="K209" s="207"/>
      <c r="L209" s="208"/>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111"/>
      <c r="AJ209" s="111"/>
      <c r="AK209" s="111"/>
      <c r="AL209" s="111"/>
      <c r="AM209" s="111"/>
      <c r="AN209" s="111"/>
    </row>
    <row r="210" spans="1:40">
      <c r="A210" s="27"/>
      <c r="B210" s="163"/>
      <c r="C210" s="164"/>
      <c r="D210" s="164"/>
      <c r="E210" s="164"/>
      <c r="F210" s="167"/>
      <c r="G210" s="206"/>
      <c r="H210" s="164"/>
      <c r="I210" s="164"/>
      <c r="J210" s="164"/>
      <c r="K210" s="207"/>
      <c r="L210" s="208"/>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111"/>
      <c r="AJ210" s="111"/>
      <c r="AK210" s="111"/>
      <c r="AL210" s="111"/>
      <c r="AM210" s="111"/>
      <c r="AN210" s="111"/>
    </row>
    <row r="211" spans="1:40">
      <c r="A211" s="27"/>
      <c r="B211" s="163"/>
      <c r="C211" s="164"/>
      <c r="D211" s="164"/>
      <c r="E211" s="164"/>
      <c r="F211" s="167"/>
      <c r="G211" s="206"/>
      <c r="H211" s="164"/>
      <c r="I211" s="164"/>
      <c r="J211" s="164"/>
      <c r="K211" s="207"/>
      <c r="L211" s="208"/>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111"/>
      <c r="AJ211" s="111"/>
      <c r="AK211" s="111"/>
      <c r="AL211" s="111"/>
      <c r="AM211" s="111"/>
      <c r="AN211" s="111"/>
    </row>
    <row r="212" spans="1:40" s="12" customFormat="1">
      <c r="A212" s="99"/>
      <c r="B212" s="209"/>
      <c r="C212" s="210"/>
      <c r="D212" s="210"/>
      <c r="E212" s="210"/>
      <c r="F212" s="211"/>
      <c r="G212" s="212"/>
      <c r="H212" s="210"/>
      <c r="I212" s="210"/>
      <c r="J212" s="210"/>
      <c r="K212" s="213"/>
      <c r="L212" s="214"/>
      <c r="M212" s="215"/>
      <c r="N212" s="215"/>
      <c r="O212" s="215"/>
      <c r="P212" s="215"/>
      <c r="Q212" s="215"/>
      <c r="R212" s="215"/>
      <c r="S212" s="215"/>
      <c r="T212" s="215"/>
      <c r="U212" s="215"/>
      <c r="V212" s="215"/>
      <c r="W212" s="215"/>
      <c r="X212" s="215"/>
      <c r="Y212" s="215"/>
      <c r="Z212" s="215"/>
      <c r="AA212" s="215"/>
      <c r="AB212" s="215"/>
      <c r="AC212" s="215"/>
      <c r="AD212" s="215"/>
      <c r="AE212" s="215"/>
      <c r="AF212" s="215"/>
      <c r="AG212" s="215"/>
      <c r="AH212" s="215"/>
      <c r="AI212" s="216"/>
      <c r="AJ212" s="216"/>
      <c r="AK212" s="216"/>
      <c r="AL212" s="216"/>
      <c r="AM212" s="216"/>
      <c r="AN212" s="216"/>
    </row>
    <row r="213" spans="1:40">
      <c r="A213" s="27"/>
      <c r="B213" s="163"/>
      <c r="C213" s="164"/>
      <c r="D213" s="164"/>
      <c r="E213" s="164"/>
      <c r="F213" s="167"/>
      <c r="G213" s="206"/>
      <c r="H213" s="164"/>
      <c r="I213" s="164"/>
      <c r="J213" s="164"/>
      <c r="K213" s="207"/>
      <c r="L213" s="208"/>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111"/>
      <c r="AJ213" s="111"/>
      <c r="AK213" s="111"/>
      <c r="AL213" s="111"/>
      <c r="AM213" s="111"/>
      <c r="AN213" s="111"/>
    </row>
    <row r="214" spans="1:40">
      <c r="A214" s="27"/>
      <c r="B214" s="163"/>
      <c r="C214" s="164"/>
      <c r="D214" s="164"/>
      <c r="E214" s="164"/>
      <c r="F214" s="167"/>
      <c r="G214" s="206"/>
      <c r="H214" s="164"/>
      <c r="I214" s="164"/>
      <c r="J214" s="164"/>
      <c r="K214" s="207"/>
      <c r="L214" s="208"/>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111"/>
      <c r="AJ214" s="111"/>
      <c r="AK214" s="111"/>
      <c r="AL214" s="111"/>
      <c r="AM214" s="111"/>
      <c r="AN214" s="111"/>
    </row>
    <row r="215" spans="1:40">
      <c r="A215" s="27"/>
      <c r="B215" s="163"/>
      <c r="C215" s="164"/>
      <c r="D215" s="164"/>
      <c r="E215" s="164"/>
      <c r="F215" s="167"/>
      <c r="G215" s="206"/>
      <c r="H215" s="164"/>
      <c r="I215" s="164"/>
      <c r="J215" s="164"/>
      <c r="K215" s="207"/>
      <c r="L215" s="208"/>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111"/>
      <c r="AJ215" s="111"/>
      <c r="AK215" s="111"/>
      <c r="AL215" s="111"/>
      <c r="AM215" s="111"/>
      <c r="AN215" s="111"/>
    </row>
    <row r="216" spans="1:40">
      <c r="A216" s="27"/>
      <c r="B216" s="163"/>
      <c r="C216" s="164"/>
      <c r="D216" s="164"/>
      <c r="E216" s="164"/>
      <c r="F216" s="167"/>
      <c r="G216" s="206"/>
      <c r="H216" s="164"/>
      <c r="I216" s="164"/>
      <c r="J216" s="164"/>
      <c r="K216" s="207"/>
      <c r="L216" s="208"/>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111"/>
      <c r="AJ216" s="111"/>
      <c r="AK216" s="111"/>
      <c r="AL216" s="111"/>
      <c r="AM216" s="111"/>
      <c r="AN216" s="111"/>
    </row>
    <row r="217" spans="1:40">
      <c r="A217" s="27"/>
      <c r="B217" s="163"/>
      <c r="C217" s="164"/>
      <c r="D217" s="164"/>
      <c r="E217" s="164"/>
      <c r="F217" s="167"/>
      <c r="G217" s="206"/>
      <c r="H217" s="164"/>
      <c r="I217" s="164"/>
      <c r="J217" s="164"/>
      <c r="K217" s="207"/>
      <c r="L217" s="208"/>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111"/>
      <c r="AJ217" s="111"/>
      <c r="AK217" s="111"/>
      <c r="AL217" s="111"/>
      <c r="AM217" s="111"/>
      <c r="AN217" s="111"/>
    </row>
    <row r="218" spans="1:40">
      <c r="A218" s="27"/>
      <c r="B218" s="163"/>
      <c r="C218" s="164"/>
      <c r="D218" s="164"/>
      <c r="E218" s="164"/>
      <c r="F218" s="167"/>
      <c r="G218" s="206"/>
      <c r="H218" s="164"/>
      <c r="I218" s="164"/>
      <c r="J218" s="164"/>
      <c r="K218" s="207"/>
      <c r="L218" s="208"/>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111"/>
      <c r="AJ218" s="111"/>
      <c r="AK218" s="111"/>
      <c r="AL218" s="111"/>
      <c r="AM218" s="111"/>
      <c r="AN218" s="111"/>
    </row>
    <row r="219" spans="1:40">
      <c r="A219" s="27"/>
      <c r="B219" s="163"/>
      <c r="C219" s="164"/>
      <c r="D219" s="164"/>
      <c r="E219" s="164"/>
      <c r="F219" s="167"/>
      <c r="G219" s="206"/>
      <c r="H219" s="164"/>
      <c r="I219" s="164"/>
      <c r="J219" s="164"/>
      <c r="K219" s="207"/>
      <c r="L219" s="208"/>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111"/>
      <c r="AJ219" s="111"/>
      <c r="AK219" s="111"/>
      <c r="AL219" s="111"/>
      <c r="AM219" s="111"/>
      <c r="AN219" s="111"/>
    </row>
    <row r="220" spans="1:40">
      <c r="A220" s="27"/>
      <c r="B220" s="163"/>
      <c r="C220" s="164"/>
      <c r="D220" s="164"/>
      <c r="E220" s="164"/>
      <c r="F220" s="167"/>
      <c r="G220" s="206"/>
      <c r="H220" s="164"/>
      <c r="I220" s="164"/>
      <c r="J220" s="164"/>
      <c r="K220" s="207"/>
      <c r="L220" s="208"/>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111"/>
      <c r="AJ220" s="111"/>
      <c r="AK220" s="111"/>
      <c r="AL220" s="111"/>
      <c r="AM220" s="111"/>
      <c r="AN220" s="111"/>
    </row>
    <row r="221" spans="1:40">
      <c r="A221" s="27"/>
      <c r="B221" s="163"/>
      <c r="C221" s="164"/>
      <c r="D221" s="164"/>
      <c r="E221" s="164"/>
      <c r="F221" s="167"/>
      <c r="G221" s="206"/>
      <c r="H221" s="164"/>
      <c r="I221" s="164"/>
      <c r="J221" s="164"/>
      <c r="K221" s="207"/>
      <c r="L221" s="208"/>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111"/>
      <c r="AJ221" s="111"/>
      <c r="AK221" s="111"/>
      <c r="AL221" s="111"/>
      <c r="AM221" s="111"/>
      <c r="AN221" s="111"/>
    </row>
    <row r="222" spans="1:40">
      <c r="A222" s="27"/>
      <c r="B222" s="163"/>
      <c r="C222" s="164"/>
      <c r="D222" s="164"/>
      <c r="E222" s="164"/>
      <c r="F222" s="167"/>
      <c r="G222" s="206"/>
      <c r="H222" s="164"/>
      <c r="I222" s="164"/>
      <c r="J222" s="164"/>
      <c r="K222" s="207"/>
      <c r="L222" s="208"/>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111"/>
      <c r="AJ222" s="111"/>
      <c r="AK222" s="111"/>
      <c r="AL222" s="111"/>
      <c r="AM222" s="111"/>
      <c r="AN222" s="111"/>
    </row>
    <row r="223" spans="1:40">
      <c r="A223" s="27"/>
      <c r="B223" s="163"/>
      <c r="C223" s="164"/>
      <c r="D223" s="164"/>
      <c r="E223" s="164"/>
      <c r="F223" s="167"/>
      <c r="G223" s="206"/>
      <c r="H223" s="164"/>
      <c r="I223" s="164"/>
      <c r="J223" s="164"/>
      <c r="K223" s="207"/>
      <c r="L223" s="208"/>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111"/>
      <c r="AJ223" s="111"/>
      <c r="AK223" s="111"/>
      <c r="AL223" s="111"/>
      <c r="AM223" s="111"/>
      <c r="AN223" s="111"/>
    </row>
    <row r="224" spans="1:40">
      <c r="A224" s="99"/>
      <c r="B224" s="209"/>
      <c r="C224" s="210"/>
      <c r="D224" s="210"/>
      <c r="E224" s="210"/>
      <c r="F224" s="211"/>
      <c r="G224" s="212"/>
      <c r="H224" s="210"/>
      <c r="I224" s="210"/>
      <c r="J224" s="210"/>
      <c r="K224" s="213"/>
      <c r="L224" s="214"/>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111"/>
      <c r="AJ224" s="111"/>
      <c r="AK224" s="111"/>
      <c r="AL224" s="111"/>
      <c r="AM224" s="111"/>
      <c r="AN224" s="111"/>
    </row>
    <row r="225" spans="1:12">
      <c r="A225" s="27"/>
      <c r="B225" s="163"/>
      <c r="C225" s="164"/>
      <c r="D225" s="164"/>
      <c r="E225" s="164"/>
      <c r="F225" s="167"/>
      <c r="G225" s="206"/>
      <c r="H225" s="164"/>
      <c r="I225" s="164"/>
      <c r="J225" s="164"/>
      <c r="K225" s="207"/>
      <c r="L225" s="208"/>
    </row>
    <row r="226" spans="1:12">
      <c r="A226" s="27"/>
      <c r="B226" s="163"/>
      <c r="C226" s="164"/>
      <c r="D226" s="164"/>
      <c r="E226" s="164"/>
      <c r="F226" s="167"/>
      <c r="G226" s="206"/>
      <c r="H226" s="164"/>
      <c r="I226" s="164"/>
      <c r="J226" s="164"/>
      <c r="K226" s="207"/>
      <c r="L226" s="208"/>
    </row>
    <row r="227" spans="1:12">
      <c r="A227" s="27"/>
      <c r="B227" s="163"/>
      <c r="C227" s="164"/>
      <c r="D227" s="164"/>
      <c r="E227" s="164"/>
      <c r="F227" s="167"/>
      <c r="G227" s="206"/>
      <c r="H227" s="164"/>
      <c r="I227" s="164"/>
      <c r="J227" s="164"/>
      <c r="K227" s="207"/>
      <c r="L227" s="208"/>
    </row>
    <row r="228" spans="1:12">
      <c r="A228" s="27"/>
      <c r="B228" s="163"/>
      <c r="C228" s="164"/>
      <c r="D228" s="164"/>
      <c r="E228" s="164"/>
      <c r="F228" s="167"/>
      <c r="G228" s="206"/>
      <c r="H228" s="164"/>
      <c r="I228" s="164"/>
      <c r="J228" s="164"/>
      <c r="K228" s="207"/>
      <c r="L228" s="208"/>
    </row>
    <row r="229" spans="1:12">
      <c r="A229" s="27"/>
      <c r="B229" s="163"/>
      <c r="C229" s="164"/>
      <c r="D229" s="164"/>
      <c r="E229" s="164"/>
      <c r="F229" s="167"/>
      <c r="G229" s="206"/>
      <c r="H229" s="164"/>
      <c r="I229" s="164"/>
      <c r="J229" s="164"/>
      <c r="K229" s="207"/>
      <c r="L229" s="208"/>
    </row>
    <row r="230" spans="1:12">
      <c r="A230" s="27"/>
      <c r="B230" s="163"/>
      <c r="C230" s="164"/>
      <c r="D230" s="164"/>
      <c r="E230" s="164"/>
      <c r="F230" s="167"/>
      <c r="G230" s="206"/>
      <c r="H230" s="164"/>
      <c r="I230" s="164"/>
      <c r="J230" s="164"/>
      <c r="K230" s="207"/>
      <c r="L230" s="208"/>
    </row>
    <row r="231" spans="1:12">
      <c r="A231" s="27"/>
      <c r="B231" s="163"/>
      <c r="C231" s="164"/>
      <c r="D231" s="164"/>
      <c r="E231" s="164"/>
      <c r="F231" s="167"/>
      <c r="G231" s="206"/>
      <c r="H231" s="164"/>
      <c r="I231" s="164"/>
      <c r="J231" s="164"/>
      <c r="K231" s="207"/>
      <c r="L231" s="208"/>
    </row>
    <row r="232" spans="1:12">
      <c r="A232" s="27"/>
      <c r="B232" s="163"/>
      <c r="C232" s="164"/>
      <c r="D232" s="164"/>
      <c r="E232" s="164"/>
      <c r="F232" s="167"/>
      <c r="G232" s="206"/>
      <c r="H232" s="164"/>
      <c r="I232" s="164"/>
      <c r="J232" s="164"/>
      <c r="K232" s="207"/>
      <c r="L232" s="208"/>
    </row>
    <row r="233" spans="1:12">
      <c r="A233" s="27"/>
      <c r="B233" s="163"/>
      <c r="C233" s="164"/>
      <c r="D233" s="164"/>
      <c r="E233" s="164"/>
      <c r="F233" s="167"/>
      <c r="G233" s="206"/>
      <c r="H233" s="164"/>
      <c r="I233" s="164"/>
      <c r="J233" s="164"/>
      <c r="K233" s="207"/>
      <c r="L233" s="208"/>
    </row>
    <row r="234" spans="1:12">
      <c r="A234" s="27"/>
      <c r="B234" s="163"/>
      <c r="C234" s="164"/>
      <c r="D234" s="164"/>
      <c r="E234" s="164"/>
      <c r="F234" s="167"/>
      <c r="G234" s="206"/>
      <c r="H234" s="164"/>
      <c r="I234" s="164"/>
      <c r="J234" s="164"/>
      <c r="K234" s="207"/>
      <c r="L234" s="208"/>
    </row>
    <row r="235" spans="1:12">
      <c r="A235" s="27"/>
      <c r="B235" s="163"/>
      <c r="C235" s="164"/>
      <c r="D235" s="164"/>
      <c r="E235" s="164"/>
      <c r="F235" s="167"/>
      <c r="G235" s="206"/>
      <c r="H235" s="164"/>
      <c r="I235" s="164"/>
      <c r="J235" s="164"/>
      <c r="K235" s="207"/>
      <c r="L235" s="208"/>
    </row>
    <row r="236" spans="1:12">
      <c r="A236" s="99"/>
      <c r="B236" s="209"/>
      <c r="C236" s="210"/>
      <c r="D236" s="210"/>
      <c r="E236" s="210"/>
      <c r="F236" s="211"/>
      <c r="G236" s="212"/>
      <c r="H236" s="210"/>
      <c r="I236" s="210"/>
      <c r="J236" s="210"/>
      <c r="K236" s="213"/>
      <c r="L236" s="214"/>
    </row>
    <row r="237" spans="1:12">
      <c r="A237" s="27"/>
      <c r="B237" s="163"/>
      <c r="C237" s="164"/>
      <c r="D237" s="164"/>
      <c r="E237" s="164"/>
      <c r="F237" s="167"/>
      <c r="G237" s="206"/>
      <c r="H237" s="164"/>
      <c r="I237" s="164"/>
      <c r="J237" s="164"/>
      <c r="K237" s="207"/>
      <c r="L237" s="208"/>
    </row>
    <row r="238" spans="1:12">
      <c r="A238" s="27"/>
      <c r="B238" s="163"/>
      <c r="C238" s="164"/>
      <c r="D238" s="164"/>
      <c r="E238" s="164"/>
      <c r="F238" s="167"/>
      <c r="G238" s="206"/>
      <c r="H238" s="164"/>
      <c r="I238" s="164"/>
      <c r="J238" s="164"/>
      <c r="K238" s="207"/>
      <c r="L238" s="208"/>
    </row>
    <row r="239" spans="1:12">
      <c r="A239" s="27"/>
      <c r="B239" s="163"/>
      <c r="C239" s="164"/>
      <c r="D239" s="164"/>
      <c r="E239" s="164"/>
      <c r="F239" s="167"/>
      <c r="G239" s="206"/>
      <c r="H239" s="164"/>
      <c r="I239" s="164"/>
      <c r="J239" s="164"/>
      <c r="K239" s="207"/>
      <c r="L239" s="208"/>
    </row>
    <row r="240" spans="1:12">
      <c r="A240" s="27"/>
      <c r="B240" s="163"/>
      <c r="C240" s="164"/>
      <c r="D240" s="164"/>
      <c r="E240" s="164"/>
      <c r="F240" s="167"/>
      <c r="G240" s="206"/>
      <c r="H240" s="164"/>
      <c r="I240" s="164"/>
      <c r="J240" s="164"/>
      <c r="K240" s="207"/>
      <c r="L240" s="208"/>
    </row>
    <row r="241" spans="1:12">
      <c r="A241" s="27"/>
      <c r="B241" s="163"/>
      <c r="C241" s="164"/>
      <c r="D241" s="164"/>
      <c r="E241" s="164"/>
      <c r="F241" s="167"/>
      <c r="G241" s="206"/>
      <c r="H241" s="164"/>
      <c r="I241" s="164"/>
      <c r="J241" s="164"/>
      <c r="K241" s="207"/>
      <c r="L241" s="208"/>
    </row>
    <row r="242" spans="1:12">
      <c r="A242" s="27"/>
      <c r="B242" s="163"/>
      <c r="C242" s="164"/>
      <c r="D242" s="164"/>
      <c r="E242" s="164"/>
      <c r="F242" s="167"/>
      <c r="G242" s="206"/>
      <c r="H242" s="164"/>
      <c r="I242" s="164"/>
      <c r="J242" s="164"/>
      <c r="K242" s="207"/>
      <c r="L242" s="208"/>
    </row>
    <row r="243" spans="1:12">
      <c r="A243" s="27"/>
      <c r="B243" s="163"/>
      <c r="C243" s="164"/>
      <c r="D243" s="164"/>
      <c r="E243" s="164"/>
      <c r="F243" s="167"/>
      <c r="G243" s="206"/>
      <c r="H243" s="164"/>
      <c r="I243" s="164"/>
      <c r="J243" s="164"/>
      <c r="K243" s="207"/>
      <c r="L243" s="208"/>
    </row>
    <row r="244" spans="1:12">
      <c r="A244" s="27"/>
      <c r="B244" s="163"/>
      <c r="C244" s="164"/>
      <c r="D244" s="164"/>
      <c r="E244" s="164"/>
      <c r="F244" s="167"/>
      <c r="G244" s="206"/>
      <c r="H244" s="164"/>
      <c r="I244" s="164"/>
      <c r="J244" s="164"/>
      <c r="K244" s="207"/>
      <c r="L244" s="208"/>
    </row>
    <row r="245" spans="1:12">
      <c r="A245" s="27"/>
      <c r="B245" s="163"/>
      <c r="C245" s="164"/>
      <c r="D245" s="164"/>
      <c r="E245" s="164"/>
      <c r="F245" s="167"/>
      <c r="G245" s="206"/>
      <c r="H245" s="164"/>
      <c r="I245" s="164"/>
      <c r="J245" s="164"/>
      <c r="K245" s="207"/>
      <c r="L245" s="208"/>
    </row>
    <row r="246" spans="1:12">
      <c r="A246" s="27"/>
      <c r="B246" s="163"/>
      <c r="C246" s="164"/>
      <c r="D246" s="164"/>
      <c r="E246" s="164"/>
      <c r="F246" s="167"/>
      <c r="G246" s="206"/>
      <c r="H246" s="164"/>
      <c r="I246" s="164"/>
      <c r="J246" s="164"/>
      <c r="K246" s="207"/>
      <c r="L246" s="208"/>
    </row>
    <row r="247" spans="1:12">
      <c r="A247" s="27"/>
      <c r="B247" s="163"/>
      <c r="C247" s="164"/>
      <c r="D247" s="164"/>
      <c r="E247" s="164"/>
      <c r="F247" s="167"/>
      <c r="G247" s="206"/>
      <c r="H247" s="164"/>
      <c r="I247" s="164"/>
      <c r="J247" s="164"/>
      <c r="K247" s="207"/>
      <c r="L247" s="208"/>
    </row>
    <row r="248" spans="1:12">
      <c r="A248" s="99"/>
      <c r="B248" s="209"/>
      <c r="C248" s="210"/>
      <c r="D248" s="210"/>
      <c r="E248" s="210"/>
      <c r="F248" s="211"/>
      <c r="G248" s="212"/>
      <c r="H248" s="210"/>
      <c r="I248" s="210"/>
      <c r="J248" s="210"/>
      <c r="K248" s="213"/>
      <c r="L248" s="214"/>
    </row>
    <row r="249" spans="1:12">
      <c r="A249" s="27"/>
      <c r="B249" s="163"/>
      <c r="C249" s="164"/>
      <c r="D249" s="164"/>
      <c r="E249" s="164"/>
      <c r="F249" s="167"/>
      <c r="G249" s="206"/>
      <c r="H249" s="164"/>
      <c r="I249" s="164"/>
      <c r="J249" s="164"/>
      <c r="K249" s="207"/>
      <c r="L249" s="208"/>
    </row>
    <row r="250" spans="1:12">
      <c r="A250" s="27"/>
      <c r="B250" s="163"/>
      <c r="C250" s="164"/>
      <c r="D250" s="164"/>
      <c r="E250" s="164"/>
      <c r="F250" s="167"/>
      <c r="G250" s="206"/>
      <c r="H250" s="164"/>
      <c r="I250" s="164"/>
      <c r="J250" s="164"/>
      <c r="K250" s="207"/>
      <c r="L250" s="208"/>
    </row>
    <row r="251" spans="1:12">
      <c r="A251" s="27"/>
      <c r="B251" s="163"/>
      <c r="C251" s="164"/>
      <c r="D251" s="164"/>
      <c r="E251" s="164"/>
      <c r="F251" s="167"/>
      <c r="G251" s="206"/>
      <c r="H251" s="164"/>
      <c r="I251" s="164"/>
      <c r="J251" s="164"/>
      <c r="K251" s="207"/>
      <c r="L251" s="208"/>
    </row>
    <row r="252" spans="1:12">
      <c r="A252" s="27"/>
      <c r="B252" s="163"/>
      <c r="C252" s="164"/>
      <c r="D252" s="164"/>
      <c r="E252" s="164"/>
      <c r="F252" s="167"/>
      <c r="G252" s="206"/>
      <c r="H252" s="164"/>
      <c r="I252" s="164"/>
      <c r="J252" s="164"/>
      <c r="K252" s="207"/>
      <c r="L252" s="208"/>
    </row>
    <row r="253" spans="1:12">
      <c r="A253" s="104"/>
      <c r="B253" s="163"/>
      <c r="C253" s="164"/>
      <c r="D253" s="164"/>
      <c r="E253" s="164"/>
      <c r="F253" s="167"/>
      <c r="G253" s="206"/>
      <c r="H253" s="164"/>
      <c r="I253" s="164"/>
      <c r="J253" s="164"/>
      <c r="K253" s="207"/>
      <c r="L253" s="208"/>
    </row>
    <row r="254" spans="1:12">
      <c r="A254" s="104"/>
      <c r="B254" s="163"/>
      <c r="C254" s="164"/>
      <c r="D254" s="164"/>
      <c r="E254" s="164"/>
      <c r="F254" s="167"/>
      <c r="G254" s="206"/>
      <c r="H254" s="164"/>
      <c r="I254" s="164"/>
      <c r="J254" s="164"/>
      <c r="K254" s="207"/>
      <c r="L254" s="208"/>
    </row>
    <row r="255" spans="1:12">
      <c r="A255" s="104"/>
      <c r="B255" s="163"/>
      <c r="C255" s="164"/>
      <c r="D255" s="164"/>
      <c r="E255" s="164"/>
      <c r="F255" s="167"/>
      <c r="G255" s="206"/>
      <c r="H255" s="164"/>
      <c r="I255" s="164"/>
      <c r="J255" s="164"/>
      <c r="K255" s="207"/>
      <c r="L255" s="208"/>
    </row>
    <row r="256" spans="1:12">
      <c r="A256" s="104"/>
      <c r="B256" s="163"/>
      <c r="C256" s="164"/>
      <c r="D256" s="164"/>
      <c r="E256" s="164"/>
      <c r="F256" s="167"/>
      <c r="G256" s="206"/>
      <c r="H256" s="164"/>
      <c r="I256" s="164"/>
      <c r="J256" s="164"/>
      <c r="K256" s="207"/>
      <c r="L256" s="208"/>
    </row>
    <row r="257" spans="1:12">
      <c r="A257" s="104"/>
      <c r="B257" s="163"/>
      <c r="C257" s="164"/>
      <c r="D257" s="164"/>
      <c r="E257" s="164"/>
      <c r="F257" s="167"/>
      <c r="G257" s="206"/>
      <c r="H257" s="164"/>
      <c r="I257" s="164"/>
      <c r="J257" s="164"/>
      <c r="K257" s="207"/>
      <c r="L257" s="208"/>
    </row>
    <row r="258" spans="1:12">
      <c r="A258" s="104"/>
      <c r="B258" s="163"/>
      <c r="C258" s="164"/>
      <c r="D258" s="164"/>
      <c r="E258" s="164"/>
      <c r="F258" s="167"/>
      <c r="G258" s="206"/>
      <c r="H258" s="164"/>
      <c r="I258" s="164"/>
      <c r="J258" s="164"/>
      <c r="K258" s="207"/>
      <c r="L258" s="208"/>
    </row>
    <row r="259" spans="1:12">
      <c r="A259" s="104"/>
      <c r="B259" s="163"/>
      <c r="C259" s="164"/>
      <c r="D259" s="164"/>
      <c r="E259" s="164"/>
      <c r="F259" s="167"/>
      <c r="G259" s="206"/>
      <c r="H259" s="164"/>
      <c r="I259" s="164"/>
      <c r="J259" s="164"/>
      <c r="K259" s="207"/>
      <c r="L259" s="208"/>
    </row>
    <row r="260" spans="1:12">
      <c r="A260" s="99"/>
      <c r="B260" s="209"/>
      <c r="C260" s="210"/>
      <c r="D260" s="210"/>
      <c r="E260" s="210"/>
      <c r="F260" s="211"/>
      <c r="G260" s="212"/>
      <c r="H260" s="210"/>
      <c r="I260" s="210"/>
      <c r="J260" s="210"/>
      <c r="K260" s="213"/>
      <c r="L260" s="214"/>
    </row>
    <row r="261" spans="1:12">
      <c r="A261" s="27"/>
      <c r="B261" s="163"/>
      <c r="C261" s="164"/>
      <c r="D261" s="164"/>
      <c r="E261" s="164"/>
      <c r="F261" s="167"/>
      <c r="G261" s="206"/>
      <c r="H261" s="164"/>
      <c r="I261" s="164"/>
      <c r="J261" s="164"/>
      <c r="K261" s="207"/>
      <c r="L261" s="208"/>
    </row>
    <row r="262" spans="1:12">
      <c r="A262" s="104"/>
      <c r="B262" s="163"/>
      <c r="C262" s="164"/>
      <c r="D262" s="164"/>
      <c r="E262" s="164"/>
      <c r="F262" s="167"/>
      <c r="G262" s="206"/>
      <c r="H262" s="164"/>
      <c r="I262" s="164"/>
      <c r="J262" s="164"/>
      <c r="K262" s="207"/>
      <c r="L262" s="208"/>
    </row>
    <row r="263" spans="1:12">
      <c r="A263" s="27"/>
      <c r="B263" s="163"/>
      <c r="C263" s="164"/>
      <c r="D263" s="164"/>
      <c r="E263" s="164"/>
      <c r="F263" s="167"/>
      <c r="G263" s="206"/>
      <c r="H263" s="164"/>
      <c r="I263" s="164"/>
      <c r="J263" s="164"/>
      <c r="K263" s="207"/>
      <c r="L263" s="208"/>
    </row>
    <row r="264" spans="1:12">
      <c r="A264" s="104"/>
      <c r="B264" s="163"/>
      <c r="C264" s="164"/>
      <c r="D264" s="164"/>
      <c r="E264" s="164"/>
      <c r="F264" s="167"/>
      <c r="G264" s="206"/>
      <c r="H264" s="164"/>
      <c r="I264" s="164"/>
      <c r="J264" s="164"/>
      <c r="K264" s="207"/>
      <c r="L264" s="208"/>
    </row>
    <row r="265" spans="1:12">
      <c r="A265" s="27"/>
      <c r="B265" s="163"/>
      <c r="C265" s="164"/>
      <c r="D265" s="164"/>
      <c r="E265" s="164"/>
      <c r="F265" s="167"/>
      <c r="G265" s="206"/>
      <c r="H265" s="164"/>
      <c r="I265" s="164"/>
      <c r="J265" s="164"/>
      <c r="K265" s="207"/>
      <c r="L265" s="208"/>
    </row>
    <row r="266" spans="1:12">
      <c r="A266" s="104"/>
      <c r="B266" s="163"/>
      <c r="C266" s="164"/>
      <c r="D266" s="164"/>
      <c r="E266" s="164"/>
      <c r="F266" s="167"/>
      <c r="G266" s="206"/>
      <c r="H266" s="164"/>
      <c r="I266" s="164"/>
      <c r="J266" s="164"/>
      <c r="K266" s="207"/>
      <c r="L266" s="208"/>
    </row>
    <row r="267" spans="1:12">
      <c r="A267" s="27"/>
      <c r="B267" s="163"/>
      <c r="C267" s="164"/>
      <c r="D267" s="164"/>
      <c r="E267" s="164"/>
      <c r="F267" s="167"/>
      <c r="G267" s="206"/>
      <c r="H267" s="164"/>
      <c r="I267" s="164"/>
      <c r="J267" s="164"/>
      <c r="K267" s="207"/>
      <c r="L267" s="208"/>
    </row>
    <row r="268" spans="1:12">
      <c r="A268" s="104"/>
      <c r="B268" s="163"/>
      <c r="C268" s="164"/>
      <c r="D268" s="164"/>
      <c r="E268" s="164"/>
      <c r="F268" s="167"/>
      <c r="G268" s="206"/>
      <c r="H268" s="164"/>
      <c r="I268" s="164"/>
      <c r="J268" s="164"/>
      <c r="K268" s="207"/>
      <c r="L268" s="208"/>
    </row>
    <row r="269" spans="1:12">
      <c r="A269" s="27"/>
      <c r="B269" s="163"/>
      <c r="C269" s="164"/>
      <c r="D269" s="164"/>
      <c r="E269" s="164"/>
      <c r="F269" s="167"/>
      <c r="G269" s="206"/>
      <c r="H269" s="164"/>
      <c r="I269" s="164"/>
      <c r="J269" s="164"/>
      <c r="K269" s="207"/>
      <c r="L269" s="208"/>
    </row>
    <row r="270" spans="1:12">
      <c r="A270" s="104"/>
      <c r="B270" s="163"/>
      <c r="C270" s="164"/>
      <c r="D270" s="164"/>
      <c r="E270" s="164"/>
      <c r="F270" s="167"/>
      <c r="G270" s="206"/>
      <c r="H270" s="164"/>
      <c r="I270" s="164"/>
      <c r="J270" s="164"/>
      <c r="K270" s="207"/>
      <c r="L270" s="208"/>
    </row>
    <row r="271" spans="1:12">
      <c r="A271" s="27"/>
      <c r="B271" s="163"/>
      <c r="C271" s="164"/>
      <c r="D271" s="164"/>
      <c r="E271" s="164"/>
      <c r="F271" s="167"/>
      <c r="G271" s="206"/>
      <c r="H271" s="164"/>
      <c r="I271" s="164"/>
      <c r="J271" s="164"/>
      <c r="K271" s="207"/>
      <c r="L271" s="208"/>
    </row>
    <row r="272" spans="1:12">
      <c r="A272" s="99"/>
      <c r="B272" s="209"/>
      <c r="C272" s="210"/>
      <c r="D272" s="210"/>
      <c r="E272" s="210"/>
      <c r="F272" s="211"/>
      <c r="G272" s="212"/>
      <c r="H272" s="210"/>
      <c r="I272" s="210"/>
      <c r="J272" s="210"/>
      <c r="K272" s="213"/>
      <c r="L272" s="214"/>
    </row>
    <row r="273" spans="1:12">
      <c r="A273" s="27"/>
      <c r="B273" s="163"/>
      <c r="C273" s="164"/>
      <c r="D273" s="164"/>
      <c r="E273" s="164"/>
      <c r="F273" s="167"/>
      <c r="G273" s="206"/>
      <c r="H273" s="164"/>
      <c r="I273" s="164"/>
      <c r="J273" s="164"/>
      <c r="K273" s="207"/>
      <c r="L273" s="208"/>
    </row>
    <row r="274" spans="1:12">
      <c r="A274" s="99"/>
      <c r="B274" s="163"/>
      <c r="C274" s="164"/>
      <c r="D274" s="164"/>
      <c r="E274" s="164"/>
      <c r="F274" s="167"/>
      <c r="G274" s="206"/>
      <c r="H274" s="164"/>
      <c r="I274" s="164"/>
      <c r="J274" s="164"/>
      <c r="K274" s="207"/>
      <c r="L274" s="208"/>
    </row>
    <row r="275" spans="1:12">
      <c r="A275" s="27"/>
      <c r="B275" s="163"/>
      <c r="C275" s="164"/>
      <c r="D275" s="164"/>
      <c r="E275" s="164"/>
      <c r="F275" s="167"/>
      <c r="G275" s="206"/>
      <c r="H275" s="164"/>
      <c r="I275" s="164"/>
      <c r="J275" s="164"/>
      <c r="K275" s="207"/>
      <c r="L275" s="208"/>
    </row>
    <row r="276" spans="1:12">
      <c r="A276" s="27"/>
      <c r="B276" s="163"/>
      <c r="C276" s="164"/>
      <c r="D276" s="164"/>
      <c r="E276" s="164"/>
      <c r="F276" s="167"/>
      <c r="G276" s="206"/>
      <c r="H276" s="164"/>
      <c r="I276" s="164"/>
      <c r="J276" s="164"/>
      <c r="K276" s="207"/>
      <c r="L276" s="208"/>
    </row>
    <row r="277" spans="1:12">
      <c r="A277" s="27"/>
      <c r="B277" s="163"/>
      <c r="C277" s="164"/>
      <c r="D277" s="164"/>
      <c r="E277" s="164"/>
      <c r="F277" s="167"/>
      <c r="G277" s="206"/>
      <c r="H277" s="164"/>
      <c r="I277" s="164"/>
      <c r="J277" s="164"/>
      <c r="K277" s="207"/>
      <c r="L277" s="208"/>
    </row>
    <row r="278" spans="1:12">
      <c r="A278" s="104"/>
      <c r="B278" s="163"/>
      <c r="C278" s="164"/>
      <c r="D278" s="164"/>
      <c r="E278" s="164"/>
      <c r="F278" s="167"/>
      <c r="G278" s="206"/>
      <c r="H278" s="164"/>
      <c r="I278" s="164"/>
      <c r="J278" s="164"/>
      <c r="K278" s="207"/>
      <c r="L278" s="208"/>
    </row>
    <row r="279" spans="1:12">
      <c r="A279" s="104"/>
      <c r="B279" s="163"/>
      <c r="C279" s="164"/>
      <c r="D279" s="164"/>
      <c r="E279" s="164"/>
      <c r="F279" s="167"/>
      <c r="G279" s="206"/>
      <c r="H279" s="164"/>
      <c r="I279" s="164"/>
      <c r="J279" s="164"/>
      <c r="K279" s="207"/>
      <c r="L279" s="208"/>
    </row>
    <row r="280" spans="1:12">
      <c r="A280" s="104"/>
      <c r="B280" s="163"/>
      <c r="C280" s="164"/>
      <c r="D280" s="164"/>
      <c r="E280" s="164"/>
      <c r="F280" s="167"/>
      <c r="G280" s="206"/>
      <c r="H280" s="164"/>
      <c r="I280" s="164"/>
      <c r="J280" s="164"/>
      <c r="K280" s="207"/>
      <c r="L280" s="208"/>
    </row>
    <row r="281" spans="1:12">
      <c r="A281" s="104"/>
      <c r="B281" s="163"/>
      <c r="C281" s="164"/>
      <c r="D281" s="164"/>
      <c r="E281" s="164"/>
      <c r="F281" s="167"/>
      <c r="G281" s="206"/>
      <c r="H281" s="164"/>
      <c r="I281" s="164"/>
      <c r="J281" s="164"/>
      <c r="K281" s="207"/>
      <c r="L281" s="208"/>
    </row>
    <row r="282" spans="1:12">
      <c r="A282" s="104"/>
      <c r="B282" s="163"/>
      <c r="C282" s="164"/>
      <c r="D282" s="164"/>
      <c r="E282" s="164"/>
      <c r="F282" s="167"/>
      <c r="G282" s="206"/>
      <c r="H282" s="164"/>
      <c r="I282" s="164"/>
      <c r="J282" s="164"/>
      <c r="K282" s="207"/>
      <c r="L282" s="208"/>
    </row>
    <row r="283" spans="1:12">
      <c r="A283" s="104"/>
      <c r="B283" s="163"/>
      <c r="C283" s="164"/>
      <c r="D283" s="164"/>
      <c r="E283" s="164"/>
      <c r="F283" s="167"/>
      <c r="G283" s="206"/>
      <c r="H283" s="164"/>
      <c r="I283" s="164"/>
      <c r="J283" s="164"/>
      <c r="K283" s="207"/>
      <c r="L283" s="208"/>
    </row>
    <row r="284" spans="1:12">
      <c r="A284" s="104"/>
      <c r="B284" s="163"/>
      <c r="C284" s="164"/>
      <c r="D284" s="164"/>
      <c r="E284" s="164"/>
      <c r="F284" s="167"/>
      <c r="G284" s="206"/>
      <c r="H284" s="164"/>
      <c r="I284" s="164"/>
      <c r="J284" s="164"/>
      <c r="K284" s="207"/>
      <c r="L284" s="208"/>
    </row>
    <row r="285" spans="1:12">
      <c r="A285" s="99"/>
      <c r="B285" s="209"/>
      <c r="C285" s="210"/>
      <c r="D285" s="210"/>
      <c r="E285" s="210"/>
      <c r="F285" s="211"/>
      <c r="G285" s="212"/>
      <c r="H285" s="210"/>
      <c r="I285" s="210"/>
      <c r="J285" s="210"/>
      <c r="K285" s="213"/>
      <c r="L285" s="214"/>
    </row>
    <row r="286" spans="1:12">
      <c r="A286" s="27"/>
      <c r="B286" s="163"/>
      <c r="C286" s="164"/>
      <c r="D286" s="164"/>
      <c r="E286" s="164"/>
      <c r="F286" s="167"/>
      <c r="G286" s="206"/>
      <c r="H286" s="164"/>
      <c r="I286" s="164"/>
      <c r="J286" s="164"/>
      <c r="K286" s="207"/>
      <c r="L286" s="208"/>
    </row>
    <row r="287" spans="1:12">
      <c r="A287" s="27"/>
      <c r="B287" s="163"/>
      <c r="C287" s="164"/>
      <c r="D287" s="164"/>
      <c r="E287" s="164"/>
      <c r="F287" s="167"/>
      <c r="G287" s="206"/>
      <c r="H287" s="164"/>
      <c r="I287" s="164"/>
      <c r="J287" s="164"/>
      <c r="K287" s="207"/>
      <c r="L287" s="208"/>
    </row>
    <row r="288" spans="1:12">
      <c r="A288" s="27"/>
      <c r="B288" s="163"/>
      <c r="C288" s="164"/>
      <c r="D288" s="164"/>
      <c r="E288" s="164"/>
      <c r="F288" s="167"/>
      <c r="G288" s="206"/>
      <c r="H288" s="164"/>
      <c r="I288" s="164"/>
      <c r="J288" s="164"/>
      <c r="K288" s="207"/>
      <c r="L288" s="208"/>
    </row>
    <row r="289" spans="1:12">
      <c r="A289" s="27"/>
      <c r="B289" s="163"/>
      <c r="C289" s="164"/>
      <c r="D289" s="164"/>
      <c r="E289" s="164"/>
      <c r="F289" s="167"/>
      <c r="G289" s="206"/>
      <c r="H289" s="164"/>
      <c r="I289" s="164"/>
      <c r="J289" s="164"/>
      <c r="K289" s="207"/>
      <c r="L289" s="208"/>
    </row>
    <row r="290" spans="1:12">
      <c r="A290" s="104"/>
      <c r="B290" s="163"/>
      <c r="C290" s="164"/>
      <c r="D290" s="164"/>
      <c r="E290" s="164"/>
      <c r="F290" s="167"/>
      <c r="G290" s="206"/>
      <c r="H290" s="164"/>
      <c r="I290" s="164"/>
      <c r="J290" s="164"/>
      <c r="K290" s="207"/>
      <c r="L290" s="208"/>
    </row>
    <row r="291" spans="1:12">
      <c r="A291" s="104"/>
      <c r="B291" s="163"/>
      <c r="C291" s="164"/>
      <c r="D291" s="164"/>
      <c r="E291" s="164"/>
      <c r="F291" s="167"/>
      <c r="G291" s="206"/>
      <c r="H291" s="164"/>
      <c r="I291" s="164"/>
      <c r="J291" s="164"/>
      <c r="K291" s="207"/>
      <c r="L291" s="208"/>
    </row>
    <row r="292" spans="1:12">
      <c r="A292" s="104"/>
      <c r="B292" s="163"/>
      <c r="C292" s="164"/>
      <c r="D292" s="164"/>
      <c r="E292" s="164"/>
      <c r="F292" s="167"/>
      <c r="G292" s="206"/>
      <c r="H292" s="164"/>
      <c r="I292" s="164"/>
      <c r="J292" s="164"/>
      <c r="K292" s="207"/>
      <c r="L292" s="208"/>
    </row>
    <row r="293" spans="1:12">
      <c r="A293" s="104"/>
      <c r="B293" s="163"/>
      <c r="C293" s="164"/>
      <c r="D293" s="164"/>
      <c r="E293" s="164"/>
      <c r="F293" s="167"/>
      <c r="G293" s="206"/>
      <c r="H293" s="164"/>
      <c r="I293" s="164"/>
      <c r="J293" s="164"/>
      <c r="K293" s="207"/>
      <c r="L293" s="208"/>
    </row>
    <row r="294" spans="1:12">
      <c r="A294" s="104"/>
      <c r="B294" s="163"/>
      <c r="C294" s="164"/>
      <c r="D294" s="164"/>
      <c r="E294" s="164"/>
      <c r="F294" s="167"/>
      <c r="G294" s="206"/>
      <c r="H294" s="164"/>
      <c r="I294" s="164"/>
      <c r="J294" s="164"/>
      <c r="K294" s="207"/>
      <c r="L294" s="208"/>
    </row>
    <row r="295" spans="1:12">
      <c r="A295" s="104"/>
      <c r="B295" s="163"/>
      <c r="C295" s="164"/>
      <c r="D295" s="164"/>
      <c r="E295" s="164"/>
      <c r="F295" s="167"/>
      <c r="G295" s="206"/>
      <c r="H295" s="164"/>
      <c r="I295" s="164"/>
      <c r="J295" s="164"/>
      <c r="K295" s="207"/>
      <c r="L295" s="208"/>
    </row>
    <row r="296" spans="1:12">
      <c r="A296" s="104"/>
      <c r="B296" s="163"/>
      <c r="C296" s="164"/>
      <c r="D296" s="164"/>
      <c r="E296" s="164"/>
      <c r="F296" s="167"/>
      <c r="G296" s="206"/>
      <c r="H296" s="164"/>
      <c r="I296" s="164"/>
      <c r="J296" s="164"/>
      <c r="K296" s="207"/>
      <c r="L296" s="208"/>
    </row>
    <row r="297" spans="1:12">
      <c r="A297" s="99"/>
      <c r="B297" s="209"/>
      <c r="C297" s="210"/>
      <c r="D297" s="210"/>
      <c r="E297" s="210"/>
      <c r="F297" s="211"/>
      <c r="G297" s="212"/>
      <c r="H297" s="210"/>
      <c r="I297" s="210"/>
      <c r="J297" s="210"/>
      <c r="K297" s="213"/>
      <c r="L297" s="214"/>
    </row>
    <row r="298" spans="1:12">
      <c r="A298" s="27"/>
      <c r="B298" s="163"/>
      <c r="C298" s="164"/>
      <c r="D298" s="164"/>
      <c r="E298" s="164"/>
      <c r="F298" s="167"/>
      <c r="G298" s="206"/>
      <c r="H298" s="164"/>
      <c r="I298" s="164"/>
      <c r="J298" s="164"/>
      <c r="K298" s="207"/>
      <c r="L298" s="208"/>
    </row>
    <row r="299" spans="1:12">
      <c r="A299" s="27"/>
      <c r="B299" s="163"/>
      <c r="C299" s="164"/>
      <c r="D299" s="164"/>
      <c r="E299" s="164"/>
      <c r="F299" s="167"/>
      <c r="G299" s="206"/>
      <c r="H299" s="164"/>
      <c r="I299" s="164"/>
      <c r="J299" s="164"/>
      <c r="K299" s="207"/>
      <c r="L299" s="208"/>
    </row>
    <row r="300" spans="1:12">
      <c r="A300" s="27"/>
      <c r="B300" s="163"/>
      <c r="C300" s="164"/>
      <c r="D300" s="164"/>
      <c r="E300" s="164"/>
      <c r="F300" s="167"/>
      <c r="G300" s="206"/>
      <c r="H300" s="164"/>
      <c r="I300" s="164"/>
      <c r="J300" s="164"/>
      <c r="K300" s="207"/>
      <c r="L300" s="208"/>
    </row>
    <row r="301" spans="1:12">
      <c r="A301" s="27"/>
      <c r="B301" s="163"/>
      <c r="C301" s="164"/>
      <c r="D301" s="164"/>
      <c r="E301" s="164"/>
      <c r="F301" s="167"/>
      <c r="G301" s="206"/>
      <c r="H301" s="164"/>
      <c r="I301" s="164"/>
      <c r="J301" s="164"/>
      <c r="K301" s="207"/>
      <c r="L301" s="208"/>
    </row>
    <row r="302" spans="1:12">
      <c r="A302" s="104"/>
      <c r="B302" s="163"/>
      <c r="C302" s="164"/>
      <c r="D302" s="164"/>
      <c r="E302" s="164"/>
      <c r="F302" s="167"/>
      <c r="G302" s="206"/>
      <c r="H302" s="164"/>
      <c r="I302" s="164"/>
      <c r="J302" s="164"/>
      <c r="K302" s="207"/>
      <c r="L302" s="208"/>
    </row>
    <row r="303" spans="1:12">
      <c r="A303" s="104"/>
      <c r="B303" s="163"/>
      <c r="C303" s="164"/>
      <c r="D303" s="164"/>
      <c r="E303" s="164"/>
      <c r="F303" s="167"/>
      <c r="G303" s="206"/>
      <c r="H303" s="164"/>
      <c r="I303" s="164"/>
      <c r="J303" s="164"/>
      <c r="K303" s="207"/>
      <c r="L303" s="208"/>
    </row>
    <row r="304" spans="1:12">
      <c r="A304" s="104"/>
      <c r="B304" s="163"/>
      <c r="C304" s="164"/>
      <c r="D304" s="164"/>
      <c r="E304" s="164"/>
      <c r="F304" s="167"/>
      <c r="G304" s="206"/>
      <c r="H304" s="164"/>
      <c r="I304" s="164"/>
      <c r="J304" s="164"/>
      <c r="K304" s="207"/>
      <c r="L304" s="208"/>
    </row>
    <row r="305" spans="1:12">
      <c r="A305" s="104"/>
      <c r="B305" s="163"/>
      <c r="C305" s="164"/>
      <c r="D305" s="164"/>
      <c r="E305" s="164"/>
      <c r="F305" s="167"/>
      <c r="G305" s="206"/>
      <c r="H305" s="164"/>
      <c r="I305" s="164"/>
      <c r="J305" s="164"/>
      <c r="K305" s="207"/>
      <c r="L305" s="208"/>
    </row>
    <row r="306" spans="1:12">
      <c r="A306" s="104"/>
      <c r="B306" s="163"/>
      <c r="C306" s="164"/>
      <c r="D306" s="164"/>
      <c r="E306" s="164"/>
      <c r="F306" s="167"/>
      <c r="G306" s="206"/>
      <c r="H306" s="164"/>
      <c r="I306" s="164"/>
      <c r="J306" s="164"/>
      <c r="K306" s="207"/>
      <c r="L306" s="208"/>
    </row>
    <row r="307" spans="1:12">
      <c r="A307" s="104"/>
      <c r="B307" s="163"/>
      <c r="C307" s="164"/>
      <c r="D307" s="164"/>
      <c r="E307" s="164"/>
      <c r="F307" s="167"/>
      <c r="G307" s="206"/>
      <c r="H307" s="164"/>
      <c r="I307" s="164"/>
      <c r="J307" s="164"/>
      <c r="K307" s="207"/>
      <c r="L307" s="208"/>
    </row>
    <row r="308" spans="1:12">
      <c r="A308" s="104"/>
      <c r="B308" s="163"/>
      <c r="C308" s="164"/>
      <c r="D308" s="164"/>
      <c r="E308" s="164"/>
      <c r="F308" s="167"/>
      <c r="G308" s="206"/>
      <c r="H308" s="164"/>
      <c r="I308" s="164"/>
      <c r="J308" s="164"/>
      <c r="K308" s="207"/>
      <c r="L308" s="208"/>
    </row>
    <row r="309" spans="1:12">
      <c r="A309" s="99"/>
      <c r="B309" s="209"/>
      <c r="C309" s="210"/>
      <c r="D309" s="210"/>
      <c r="E309" s="210"/>
      <c r="F309" s="211"/>
      <c r="G309" s="212"/>
      <c r="H309" s="210"/>
      <c r="I309" s="210"/>
      <c r="J309" s="210"/>
      <c r="K309" s="213"/>
      <c r="L309" s="214"/>
    </row>
    <row r="310" spans="1:12">
      <c r="A310" s="27"/>
      <c r="B310" s="163"/>
      <c r="C310" s="164"/>
      <c r="D310" s="164"/>
      <c r="E310" s="164"/>
      <c r="F310" s="167"/>
      <c r="G310" s="206"/>
      <c r="H310" s="164"/>
      <c r="I310" s="164"/>
      <c r="J310" s="164"/>
      <c r="K310" s="207"/>
      <c r="L310" s="208"/>
    </row>
    <row r="311" spans="1:12">
      <c r="A311" s="27"/>
      <c r="B311" s="163"/>
      <c r="C311" s="164"/>
      <c r="D311" s="164"/>
      <c r="E311" s="164"/>
      <c r="F311" s="167"/>
      <c r="G311" s="206"/>
      <c r="H311" s="164"/>
      <c r="I311" s="164"/>
      <c r="J311" s="164"/>
      <c r="K311" s="207"/>
      <c r="L311" s="208"/>
    </row>
    <row r="312" spans="1:12">
      <c r="A312" s="27"/>
      <c r="B312" s="163"/>
      <c r="C312" s="164"/>
      <c r="D312" s="164"/>
      <c r="E312" s="164"/>
      <c r="F312" s="167"/>
      <c r="G312" s="206"/>
      <c r="H312" s="164"/>
      <c r="I312" s="164"/>
      <c r="J312" s="164"/>
      <c r="K312" s="207"/>
      <c r="L312" s="208"/>
    </row>
    <row r="313" spans="1:12">
      <c r="A313" s="27"/>
      <c r="B313" s="163"/>
      <c r="C313" s="164"/>
      <c r="D313" s="164"/>
      <c r="E313" s="164"/>
      <c r="F313" s="167"/>
      <c r="G313" s="206"/>
      <c r="H313" s="164"/>
      <c r="I313" s="164"/>
      <c r="J313" s="164"/>
      <c r="K313" s="207"/>
      <c r="L313" s="208"/>
    </row>
    <row r="314" spans="1:12">
      <c r="A314" s="104"/>
      <c r="B314" s="163"/>
      <c r="C314" s="164"/>
      <c r="D314" s="164"/>
      <c r="E314" s="164"/>
      <c r="F314" s="167"/>
      <c r="G314" s="206"/>
      <c r="H314" s="164"/>
      <c r="I314" s="164"/>
      <c r="J314" s="164"/>
      <c r="K314" s="207"/>
      <c r="L314" s="208"/>
    </row>
    <row r="315" spans="1:12">
      <c r="A315" s="104"/>
      <c r="B315" s="163"/>
      <c r="C315" s="164"/>
      <c r="D315" s="164"/>
      <c r="E315" s="164"/>
      <c r="F315" s="167"/>
      <c r="G315" s="206"/>
      <c r="H315" s="164"/>
      <c r="I315" s="164"/>
      <c r="J315" s="164"/>
      <c r="K315" s="207"/>
      <c r="L315" s="208"/>
    </row>
    <row r="316" spans="1:12">
      <c r="A316" s="104"/>
      <c r="B316" s="163"/>
      <c r="C316" s="164"/>
      <c r="D316" s="164"/>
      <c r="E316" s="164"/>
      <c r="F316" s="167"/>
      <c r="G316" s="206"/>
      <c r="H316" s="164"/>
      <c r="I316" s="164"/>
      <c r="J316" s="164"/>
      <c r="K316" s="207"/>
      <c r="L316" s="208"/>
    </row>
    <row r="317" spans="1:12">
      <c r="A317" s="104"/>
      <c r="B317" s="163"/>
      <c r="C317" s="164"/>
      <c r="D317" s="164"/>
      <c r="E317" s="164"/>
      <c r="F317" s="167"/>
      <c r="G317" s="206"/>
      <c r="H317" s="164"/>
      <c r="I317" s="164"/>
      <c r="J317" s="164"/>
      <c r="K317" s="207"/>
      <c r="L317" s="208"/>
    </row>
    <row r="318" spans="1:12">
      <c r="A318" s="104"/>
      <c r="B318" s="163"/>
      <c r="C318" s="164"/>
      <c r="D318" s="164"/>
      <c r="E318" s="164"/>
      <c r="F318" s="167"/>
      <c r="G318" s="206"/>
      <c r="H318" s="164"/>
      <c r="I318" s="164"/>
      <c r="J318" s="164"/>
      <c r="K318" s="207"/>
      <c r="L318" s="208"/>
    </row>
    <row r="319" spans="1:12">
      <c r="A319" s="104"/>
      <c r="B319" s="163"/>
      <c r="C319" s="164"/>
      <c r="D319" s="164"/>
      <c r="E319" s="164"/>
      <c r="F319" s="167"/>
      <c r="G319" s="206"/>
      <c r="H319" s="164"/>
      <c r="I319" s="164"/>
      <c r="J319" s="164"/>
      <c r="K319" s="207"/>
      <c r="L319" s="208"/>
    </row>
    <row r="320" spans="1:12">
      <c r="A320" s="104"/>
      <c r="B320" s="163"/>
      <c r="C320" s="164"/>
      <c r="D320" s="164"/>
      <c r="E320" s="164"/>
      <c r="F320" s="167"/>
      <c r="G320" s="206"/>
      <c r="H320" s="164"/>
      <c r="I320" s="164"/>
      <c r="J320" s="164"/>
      <c r="K320" s="207"/>
      <c r="L320" s="208"/>
    </row>
    <row r="321" spans="1:12">
      <c r="A321" s="99"/>
      <c r="B321" s="209"/>
      <c r="C321" s="210"/>
      <c r="D321" s="210"/>
      <c r="E321" s="210"/>
      <c r="F321" s="211"/>
      <c r="G321" s="212"/>
      <c r="H321" s="210"/>
      <c r="I321" s="210"/>
      <c r="J321" s="210"/>
      <c r="K321" s="213"/>
      <c r="L321" s="214"/>
    </row>
    <row r="322" spans="1:12">
      <c r="A322" s="27"/>
      <c r="B322" s="163"/>
      <c r="C322" s="164"/>
      <c r="D322" s="164"/>
      <c r="E322" s="164"/>
      <c r="F322" s="167"/>
      <c r="G322" s="206"/>
      <c r="H322" s="164"/>
      <c r="I322" s="164"/>
      <c r="J322" s="164"/>
      <c r="K322" s="207"/>
      <c r="L322" s="208"/>
    </row>
    <row r="323" spans="1:12">
      <c r="A323" s="27"/>
      <c r="B323" s="163"/>
      <c r="C323" s="164"/>
      <c r="D323" s="164"/>
      <c r="E323" s="164"/>
      <c r="F323" s="167"/>
      <c r="G323" s="206"/>
      <c r="H323" s="164"/>
      <c r="I323" s="164"/>
      <c r="J323" s="164"/>
      <c r="K323" s="207"/>
      <c r="L323" s="208"/>
    </row>
    <row r="324" spans="1:12">
      <c r="A324" s="27"/>
      <c r="B324" s="163"/>
      <c r="C324" s="164"/>
      <c r="D324" s="164"/>
      <c r="E324" s="164"/>
      <c r="F324" s="167"/>
      <c r="G324" s="206"/>
      <c r="H324" s="164"/>
      <c r="I324" s="164"/>
      <c r="J324" s="164"/>
      <c r="K324" s="207"/>
      <c r="L324" s="208"/>
    </row>
    <row r="325" spans="1:12">
      <c r="A325" s="27"/>
      <c r="B325" s="163"/>
      <c r="C325" s="164"/>
      <c r="D325" s="164"/>
      <c r="E325" s="164"/>
      <c r="F325" s="167"/>
      <c r="G325" s="206"/>
      <c r="H325" s="164"/>
      <c r="I325" s="164"/>
      <c r="J325" s="164"/>
      <c r="K325" s="207"/>
      <c r="L325" s="208"/>
    </row>
    <row r="326" spans="1:12">
      <c r="A326" s="104"/>
      <c r="B326" s="163"/>
      <c r="C326" s="164"/>
      <c r="D326" s="164"/>
      <c r="E326" s="164"/>
      <c r="F326" s="167"/>
      <c r="G326" s="206"/>
      <c r="H326" s="164"/>
      <c r="I326" s="164"/>
      <c r="J326" s="164"/>
      <c r="K326" s="207"/>
      <c r="L326" s="208"/>
    </row>
    <row r="327" spans="1:12">
      <c r="A327" s="104"/>
      <c r="B327" s="163"/>
      <c r="C327" s="164"/>
      <c r="D327" s="164"/>
      <c r="E327" s="164"/>
      <c r="F327" s="167"/>
      <c r="G327" s="206"/>
      <c r="H327" s="164"/>
      <c r="I327" s="164"/>
      <c r="J327" s="164"/>
      <c r="K327" s="207"/>
      <c r="L327" s="208"/>
    </row>
    <row r="328" spans="1:12">
      <c r="A328" s="104"/>
      <c r="B328" s="163"/>
      <c r="C328" s="164"/>
      <c r="D328" s="164"/>
      <c r="E328" s="164"/>
      <c r="F328" s="167"/>
      <c r="G328" s="206"/>
      <c r="H328" s="164"/>
      <c r="I328" s="164"/>
      <c r="J328" s="164"/>
      <c r="K328" s="207"/>
      <c r="L328" s="208"/>
    </row>
    <row r="329" spans="1:12">
      <c r="A329" s="104"/>
      <c r="B329" s="163"/>
      <c r="C329" s="164"/>
      <c r="D329" s="164"/>
      <c r="E329" s="164"/>
      <c r="F329" s="167"/>
      <c r="G329" s="206"/>
      <c r="H329" s="164"/>
      <c r="I329" s="164"/>
      <c r="J329" s="164"/>
      <c r="K329" s="207"/>
      <c r="L329" s="208"/>
    </row>
    <row r="330" spans="1:12">
      <c r="A330" s="104"/>
      <c r="B330" s="163"/>
      <c r="C330" s="164"/>
      <c r="D330" s="164"/>
      <c r="E330" s="164"/>
      <c r="F330" s="167"/>
      <c r="G330" s="206"/>
      <c r="H330" s="164"/>
      <c r="I330" s="164"/>
      <c r="J330" s="164"/>
      <c r="K330" s="207"/>
      <c r="L330" s="208"/>
    </row>
    <row r="331" spans="1:12">
      <c r="A331" s="104"/>
      <c r="B331" s="163"/>
      <c r="C331" s="164"/>
      <c r="D331" s="164"/>
      <c r="E331" s="164"/>
      <c r="F331" s="167"/>
      <c r="G331" s="206"/>
      <c r="H331" s="164"/>
      <c r="I331" s="164"/>
      <c r="J331" s="164"/>
      <c r="K331" s="207"/>
      <c r="L331" s="208"/>
    </row>
    <row r="332" spans="1:12">
      <c r="A332" s="104"/>
      <c r="B332" s="163"/>
      <c r="C332" s="164"/>
      <c r="D332" s="164"/>
      <c r="E332" s="164"/>
      <c r="F332" s="167"/>
      <c r="G332" s="206"/>
      <c r="H332" s="164"/>
      <c r="I332" s="164"/>
      <c r="J332" s="164"/>
      <c r="K332" s="207"/>
      <c r="L332" s="208"/>
    </row>
    <row r="333" spans="1:12">
      <c r="A333" s="99"/>
      <c r="B333" s="209"/>
      <c r="C333" s="210"/>
      <c r="D333" s="210"/>
      <c r="E333" s="210"/>
      <c r="F333" s="211"/>
      <c r="G333" s="212"/>
      <c r="H333" s="210"/>
      <c r="I333" s="210"/>
      <c r="J333" s="210"/>
      <c r="K333" s="213"/>
      <c r="L333" s="214"/>
    </row>
    <row r="334" spans="1:12">
      <c r="A334" s="27"/>
      <c r="B334" s="163"/>
      <c r="C334" s="164"/>
      <c r="D334" s="164"/>
      <c r="E334" s="164"/>
      <c r="F334" s="167"/>
      <c r="G334" s="206"/>
      <c r="H334" s="164"/>
      <c r="I334" s="164"/>
      <c r="J334" s="164"/>
      <c r="K334" s="207"/>
      <c r="L334" s="208"/>
    </row>
    <row r="335" spans="1:12">
      <c r="A335" s="27"/>
      <c r="B335" s="163"/>
      <c r="C335" s="164"/>
      <c r="D335" s="164"/>
      <c r="E335" s="164"/>
      <c r="F335" s="167"/>
      <c r="G335" s="206"/>
      <c r="H335" s="164"/>
      <c r="I335" s="164"/>
      <c r="J335" s="164"/>
      <c r="K335" s="207"/>
      <c r="L335" s="208"/>
    </row>
    <row r="336" spans="1:12">
      <c r="A336" s="27"/>
      <c r="B336" s="163"/>
      <c r="C336" s="164"/>
      <c r="D336" s="164"/>
      <c r="E336" s="164"/>
      <c r="F336" s="167"/>
      <c r="G336" s="206"/>
      <c r="H336" s="164"/>
      <c r="I336" s="164"/>
      <c r="J336" s="164"/>
      <c r="K336" s="207"/>
      <c r="L336" s="208"/>
    </row>
    <row r="337" spans="1:12">
      <c r="A337" s="27"/>
      <c r="B337" s="163"/>
      <c r="C337" s="164"/>
      <c r="D337" s="164"/>
      <c r="E337" s="164"/>
      <c r="F337" s="167"/>
      <c r="G337" s="206"/>
      <c r="H337" s="164"/>
      <c r="I337" s="164"/>
      <c r="J337" s="164"/>
      <c r="K337" s="207"/>
      <c r="L337" s="208"/>
    </row>
    <row r="338" spans="1:12">
      <c r="A338" s="104"/>
      <c r="B338" s="163"/>
      <c r="C338" s="164"/>
      <c r="D338" s="164"/>
      <c r="E338" s="164"/>
      <c r="F338" s="167"/>
      <c r="G338" s="206"/>
      <c r="H338" s="164"/>
      <c r="I338" s="164"/>
      <c r="J338" s="164"/>
      <c r="K338" s="207"/>
      <c r="L338" s="208"/>
    </row>
    <row r="339" spans="1:12">
      <c r="A339" s="104"/>
      <c r="B339" s="163"/>
      <c r="C339" s="164"/>
      <c r="D339" s="164"/>
      <c r="E339" s="164"/>
      <c r="F339" s="167"/>
      <c r="G339" s="206"/>
      <c r="H339" s="164"/>
      <c r="I339" s="164"/>
      <c r="J339" s="164"/>
      <c r="K339" s="207"/>
      <c r="L339" s="208"/>
    </row>
    <row r="340" spans="1:12">
      <c r="A340" s="104"/>
      <c r="B340" s="163"/>
      <c r="C340" s="164"/>
      <c r="D340" s="164"/>
      <c r="E340" s="164"/>
      <c r="F340" s="167"/>
      <c r="G340" s="206"/>
      <c r="H340" s="164"/>
      <c r="I340" s="164"/>
      <c r="J340" s="164"/>
      <c r="K340" s="207"/>
      <c r="L340" s="208"/>
    </row>
    <row r="341" spans="1:12">
      <c r="A341" s="104"/>
      <c r="B341" s="163"/>
      <c r="C341" s="164"/>
      <c r="D341" s="164"/>
      <c r="E341" s="164"/>
      <c r="F341" s="167"/>
      <c r="G341" s="206"/>
      <c r="H341" s="164"/>
      <c r="I341" s="164"/>
      <c r="J341" s="164"/>
      <c r="K341" s="207"/>
      <c r="L341" s="208"/>
    </row>
    <row r="342" spans="1:12">
      <c r="A342" s="104"/>
      <c r="B342" s="163"/>
      <c r="C342" s="164"/>
      <c r="D342" s="164"/>
      <c r="E342" s="164"/>
      <c r="F342" s="167"/>
      <c r="G342" s="206"/>
      <c r="H342" s="164"/>
      <c r="I342" s="164"/>
      <c r="J342" s="164"/>
      <c r="K342" s="207"/>
      <c r="L342" s="208"/>
    </row>
    <row r="343" spans="1:12">
      <c r="A343" s="104"/>
      <c r="B343" s="163"/>
      <c r="C343" s="164"/>
      <c r="D343" s="164"/>
      <c r="E343" s="164"/>
      <c r="F343" s="167"/>
      <c r="G343" s="206"/>
      <c r="H343" s="164"/>
      <c r="I343" s="164"/>
      <c r="J343" s="164"/>
      <c r="K343" s="207"/>
      <c r="L343" s="208"/>
    </row>
    <row r="344" spans="1:12">
      <c r="A344" s="104"/>
      <c r="B344" s="163"/>
      <c r="C344" s="164"/>
      <c r="D344" s="164"/>
      <c r="E344" s="164"/>
      <c r="F344" s="167"/>
      <c r="G344" s="206"/>
      <c r="H344" s="164"/>
      <c r="I344" s="164"/>
      <c r="J344" s="164"/>
      <c r="K344" s="207"/>
      <c r="L344" s="208"/>
    </row>
    <row r="345" spans="1:12">
      <c r="A345" s="99"/>
      <c r="B345" s="209"/>
      <c r="C345" s="210"/>
      <c r="D345" s="210"/>
      <c r="E345" s="210"/>
      <c r="F345" s="211"/>
      <c r="G345" s="212"/>
      <c r="H345" s="210"/>
      <c r="I345" s="210"/>
      <c r="J345" s="210"/>
      <c r="K345" s="213"/>
      <c r="L345" s="214"/>
    </row>
    <row r="346" spans="1:12">
      <c r="A346" s="27"/>
      <c r="B346" s="163"/>
      <c r="C346" s="164"/>
      <c r="D346" s="164"/>
      <c r="E346" s="164"/>
      <c r="F346" s="167"/>
      <c r="G346" s="206"/>
      <c r="H346" s="164"/>
      <c r="I346" s="164"/>
      <c r="J346" s="164"/>
      <c r="K346" s="207"/>
      <c r="L346" s="208"/>
    </row>
    <row r="347" spans="1:12">
      <c r="A347" s="27"/>
      <c r="B347" s="163"/>
      <c r="C347" s="164"/>
      <c r="D347" s="164"/>
      <c r="E347" s="164"/>
      <c r="F347" s="167"/>
      <c r="G347" s="206"/>
      <c r="H347" s="164"/>
      <c r="I347" s="164"/>
      <c r="J347" s="164"/>
      <c r="K347" s="207"/>
      <c r="L347" s="208"/>
    </row>
    <row r="348" spans="1:12">
      <c r="A348" s="27"/>
      <c r="B348" s="163"/>
      <c r="C348" s="164"/>
      <c r="D348" s="164"/>
      <c r="E348" s="164"/>
      <c r="F348" s="167"/>
      <c r="G348" s="206"/>
      <c r="H348" s="164"/>
      <c r="I348" s="164"/>
      <c r="J348" s="164"/>
      <c r="K348" s="207"/>
      <c r="L348" s="208"/>
    </row>
    <row r="349" spans="1:12">
      <c r="A349" s="27"/>
      <c r="B349" s="163"/>
      <c r="C349" s="164"/>
      <c r="D349" s="164"/>
      <c r="E349" s="164"/>
      <c r="F349" s="167"/>
      <c r="G349" s="206"/>
      <c r="H349" s="164"/>
      <c r="I349" s="164"/>
      <c r="J349" s="164"/>
      <c r="K349" s="207"/>
      <c r="L349" s="208"/>
    </row>
    <row r="350" spans="1:12">
      <c r="A350" s="104"/>
      <c r="B350" s="163"/>
      <c r="C350" s="164"/>
      <c r="D350" s="164"/>
      <c r="E350" s="164"/>
      <c r="F350" s="167"/>
      <c r="G350" s="206"/>
      <c r="H350" s="164"/>
      <c r="I350" s="164"/>
      <c r="J350" s="164"/>
      <c r="K350" s="207"/>
      <c r="L350" s="208"/>
    </row>
    <row r="351" spans="1:12">
      <c r="A351" s="104"/>
      <c r="B351" s="163"/>
      <c r="C351" s="164"/>
      <c r="D351" s="164"/>
      <c r="E351" s="164"/>
      <c r="F351" s="167"/>
      <c r="G351" s="206"/>
      <c r="H351" s="164"/>
      <c r="I351" s="164"/>
      <c r="J351" s="164"/>
      <c r="K351" s="207"/>
      <c r="L351" s="208"/>
    </row>
    <row r="352" spans="1:12">
      <c r="A352" s="104"/>
      <c r="B352" s="163"/>
      <c r="C352" s="164"/>
      <c r="D352" s="164"/>
      <c r="E352" s="164"/>
      <c r="F352" s="167"/>
      <c r="G352" s="206"/>
      <c r="H352" s="164"/>
      <c r="I352" s="164"/>
      <c r="J352" s="164"/>
      <c r="K352" s="207"/>
      <c r="L352" s="208"/>
    </row>
    <row r="353" spans="1:12">
      <c r="A353" s="104"/>
      <c r="B353" s="163"/>
      <c r="C353" s="164"/>
      <c r="D353" s="164"/>
      <c r="E353" s="164"/>
      <c r="F353" s="167"/>
      <c r="G353" s="206"/>
      <c r="H353" s="164"/>
      <c r="I353" s="164"/>
      <c r="J353" s="164"/>
      <c r="K353" s="207"/>
      <c r="L353" s="208"/>
    </row>
    <row r="354" spans="1:12">
      <c r="A354" s="104"/>
      <c r="B354" s="163"/>
      <c r="C354" s="164"/>
      <c r="D354" s="164"/>
      <c r="E354" s="164"/>
      <c r="F354" s="167"/>
      <c r="G354" s="206"/>
      <c r="H354" s="164"/>
      <c r="I354" s="164"/>
      <c r="J354" s="164"/>
      <c r="K354" s="207"/>
      <c r="L354" s="208"/>
    </row>
    <row r="355" spans="1:12">
      <c r="A355" s="104"/>
      <c r="B355" s="163"/>
      <c r="C355" s="164"/>
      <c r="D355" s="164"/>
      <c r="E355" s="164"/>
      <c r="F355" s="167"/>
      <c r="G355" s="206"/>
      <c r="H355" s="164"/>
      <c r="I355" s="164"/>
      <c r="J355" s="164"/>
      <c r="K355" s="207"/>
      <c r="L355" s="208"/>
    </row>
    <row r="356" spans="1:12">
      <c r="A356" s="104"/>
      <c r="B356" s="163"/>
      <c r="C356" s="164"/>
      <c r="D356" s="164"/>
      <c r="E356" s="164"/>
      <c r="F356" s="167"/>
      <c r="G356" s="206"/>
      <c r="H356" s="164"/>
      <c r="I356" s="164"/>
      <c r="J356" s="164"/>
      <c r="K356" s="207"/>
      <c r="L356" s="208"/>
    </row>
    <row r="357" spans="1:12">
      <c r="A357" s="99"/>
      <c r="B357" s="209"/>
      <c r="C357" s="210"/>
      <c r="D357" s="210"/>
      <c r="E357" s="210"/>
      <c r="F357" s="211"/>
      <c r="G357" s="212"/>
      <c r="H357" s="210"/>
      <c r="I357" s="210"/>
      <c r="J357" s="210"/>
      <c r="K357" s="213"/>
      <c r="L357" s="214"/>
    </row>
    <row r="358" spans="1:12">
      <c r="A358" s="27"/>
      <c r="B358" s="163"/>
      <c r="C358" s="164"/>
      <c r="D358" s="164"/>
      <c r="E358" s="164"/>
      <c r="F358" s="167"/>
      <c r="G358" s="206"/>
      <c r="H358" s="164"/>
      <c r="I358" s="164"/>
      <c r="J358" s="164"/>
      <c r="K358" s="207"/>
      <c r="L358" s="208"/>
    </row>
    <row r="359" spans="1:12">
      <c r="A359" s="27"/>
      <c r="B359" s="163"/>
      <c r="C359" s="164"/>
      <c r="D359" s="164"/>
      <c r="E359" s="164"/>
      <c r="F359" s="167"/>
      <c r="G359" s="206"/>
      <c r="H359" s="164"/>
      <c r="I359" s="164"/>
      <c r="J359" s="164"/>
      <c r="K359" s="207"/>
      <c r="L359" s="208"/>
    </row>
    <row r="360" spans="1:12">
      <c r="A360" s="27"/>
      <c r="B360" s="163"/>
      <c r="C360" s="164"/>
      <c r="D360" s="164"/>
      <c r="E360" s="164"/>
      <c r="F360" s="167"/>
      <c r="G360" s="206"/>
      <c r="H360" s="164"/>
      <c r="I360" s="164"/>
      <c r="J360" s="164"/>
      <c r="K360" s="207"/>
      <c r="L360" s="208"/>
    </row>
    <row r="361" spans="1:12">
      <c r="A361" s="27"/>
      <c r="B361" s="163"/>
      <c r="C361" s="164"/>
      <c r="D361" s="164"/>
      <c r="E361" s="164"/>
      <c r="F361" s="167"/>
      <c r="G361" s="206"/>
      <c r="H361" s="164"/>
      <c r="I361" s="164"/>
      <c r="J361" s="164"/>
      <c r="K361" s="207"/>
      <c r="L361" s="208"/>
    </row>
    <row r="362" spans="1:12">
      <c r="A362" s="104"/>
      <c r="B362" s="163"/>
      <c r="C362" s="164"/>
      <c r="D362" s="164"/>
      <c r="E362" s="164"/>
      <c r="F362" s="167"/>
      <c r="G362" s="206"/>
      <c r="H362" s="164"/>
      <c r="I362" s="164"/>
      <c r="J362" s="164"/>
      <c r="K362" s="207"/>
      <c r="L362" s="208"/>
    </row>
    <row r="363" spans="1:12">
      <c r="A363" s="104"/>
      <c r="B363" s="163"/>
      <c r="C363" s="164"/>
      <c r="D363" s="164"/>
      <c r="E363" s="164"/>
      <c r="F363" s="167"/>
      <c r="G363" s="206"/>
      <c r="H363" s="164"/>
      <c r="I363" s="164"/>
      <c r="J363" s="164"/>
      <c r="K363" s="207"/>
      <c r="L363" s="208"/>
    </row>
    <row r="364" spans="1:12">
      <c r="A364" s="104"/>
      <c r="B364" s="163"/>
      <c r="C364" s="164"/>
      <c r="D364" s="164"/>
      <c r="E364" s="164"/>
      <c r="F364" s="167"/>
      <c r="G364" s="206"/>
      <c r="H364" s="164"/>
      <c r="I364" s="164"/>
      <c r="J364" s="164"/>
      <c r="K364" s="207"/>
      <c r="L364" s="208"/>
    </row>
    <row r="365" spans="1:12">
      <c r="A365" s="104"/>
      <c r="B365" s="163"/>
      <c r="C365" s="164"/>
      <c r="D365" s="164"/>
      <c r="E365" s="164"/>
      <c r="F365" s="167"/>
      <c r="G365" s="206"/>
      <c r="H365" s="164"/>
      <c r="I365" s="164"/>
      <c r="J365" s="164"/>
      <c r="K365" s="207"/>
      <c r="L365" s="208"/>
    </row>
    <row r="366" spans="1:12">
      <c r="A366" s="104"/>
      <c r="B366" s="163"/>
      <c r="C366" s="164"/>
      <c r="D366" s="164"/>
      <c r="E366" s="164"/>
      <c r="F366" s="167"/>
      <c r="G366" s="206"/>
      <c r="H366" s="164"/>
      <c r="I366" s="164"/>
      <c r="J366" s="164"/>
      <c r="K366" s="207"/>
      <c r="L366" s="208"/>
    </row>
    <row r="367" spans="1:12">
      <c r="A367" s="104"/>
      <c r="B367" s="163"/>
      <c r="C367" s="164"/>
      <c r="D367" s="164"/>
      <c r="E367" s="164"/>
      <c r="F367" s="167"/>
      <c r="G367" s="206"/>
      <c r="H367" s="164"/>
      <c r="I367" s="164"/>
      <c r="J367" s="164"/>
      <c r="K367" s="207"/>
      <c r="L367" s="208"/>
    </row>
    <row r="368" spans="1:12">
      <c r="A368" s="104"/>
      <c r="B368" s="163"/>
      <c r="C368" s="164"/>
      <c r="D368" s="164"/>
      <c r="E368" s="164"/>
      <c r="F368" s="167"/>
      <c r="G368" s="206"/>
      <c r="H368" s="164"/>
      <c r="I368" s="164"/>
      <c r="J368" s="164"/>
      <c r="K368" s="207"/>
      <c r="L368" s="208"/>
    </row>
    <row r="369" spans="1:12">
      <c r="A369" s="99"/>
      <c r="B369" s="209"/>
      <c r="C369" s="210"/>
      <c r="D369" s="210"/>
      <c r="E369" s="210"/>
      <c r="F369" s="211"/>
      <c r="G369" s="212"/>
      <c r="H369" s="210"/>
      <c r="I369" s="210"/>
      <c r="J369" s="210"/>
      <c r="K369" s="213"/>
      <c r="L369" s="214"/>
    </row>
    <row r="370" spans="1:12">
      <c r="A370" s="27"/>
      <c r="B370" s="163"/>
      <c r="C370" s="164"/>
      <c r="D370" s="164"/>
      <c r="E370" s="164"/>
      <c r="F370" s="167"/>
      <c r="G370" s="206"/>
      <c r="H370" s="164"/>
      <c r="I370" s="164"/>
      <c r="J370" s="164"/>
      <c r="K370" s="207"/>
      <c r="L370" s="208"/>
    </row>
    <row r="371" spans="1:12">
      <c r="A371" s="27"/>
      <c r="B371" s="163"/>
      <c r="C371" s="164"/>
      <c r="D371" s="164"/>
      <c r="E371" s="164"/>
      <c r="F371" s="167"/>
      <c r="G371" s="206"/>
      <c r="H371" s="164"/>
      <c r="I371" s="164"/>
      <c r="J371" s="164"/>
      <c r="K371" s="207"/>
      <c r="L371" s="208"/>
    </row>
    <row r="372" spans="1:12">
      <c r="A372" s="27"/>
      <c r="B372" s="163"/>
      <c r="C372" s="164"/>
      <c r="D372" s="164"/>
      <c r="E372" s="164"/>
      <c r="F372" s="167"/>
      <c r="G372" s="206"/>
      <c r="H372" s="164"/>
      <c r="I372" s="164"/>
      <c r="J372" s="164"/>
      <c r="K372" s="207"/>
      <c r="L372" s="208"/>
    </row>
    <row r="373" spans="1:12">
      <c r="A373" s="27"/>
      <c r="B373" s="163"/>
      <c r="C373" s="164"/>
      <c r="D373" s="164"/>
      <c r="E373" s="164"/>
      <c r="F373" s="167"/>
      <c r="G373" s="206"/>
      <c r="H373" s="164"/>
      <c r="I373" s="164"/>
      <c r="J373" s="164"/>
      <c r="K373" s="207"/>
      <c r="L373" s="208"/>
    </row>
    <row r="374" spans="1:12">
      <c r="A374" s="104"/>
      <c r="B374" s="163"/>
      <c r="C374" s="164"/>
      <c r="D374" s="164"/>
      <c r="E374" s="164"/>
      <c r="F374" s="167"/>
      <c r="G374" s="206"/>
      <c r="H374" s="164"/>
      <c r="I374" s="164"/>
      <c r="J374" s="164"/>
      <c r="K374" s="207"/>
      <c r="L374" s="208"/>
    </row>
    <row r="375" spans="1:12">
      <c r="A375" s="104"/>
      <c r="B375" s="163"/>
      <c r="C375" s="164"/>
      <c r="D375" s="164"/>
      <c r="E375" s="164"/>
      <c r="F375" s="167"/>
      <c r="G375" s="206"/>
      <c r="H375" s="164"/>
      <c r="I375" s="164"/>
      <c r="J375" s="164"/>
      <c r="K375" s="207"/>
      <c r="L375" s="208"/>
    </row>
    <row r="376" spans="1:12">
      <c r="A376" s="104"/>
      <c r="B376" s="163"/>
      <c r="C376" s="164"/>
      <c r="D376" s="164"/>
      <c r="E376" s="164"/>
      <c r="F376" s="167"/>
      <c r="G376" s="206"/>
      <c r="H376" s="164"/>
      <c r="I376" s="164"/>
      <c r="J376" s="164"/>
      <c r="K376" s="207"/>
      <c r="L376" s="208"/>
    </row>
    <row r="377" spans="1:12">
      <c r="A377" s="104"/>
      <c r="B377" s="163"/>
      <c r="C377" s="164"/>
      <c r="D377" s="164"/>
      <c r="E377" s="164"/>
      <c r="F377" s="167"/>
      <c r="G377" s="206"/>
      <c r="H377" s="164"/>
      <c r="I377" s="164"/>
      <c r="J377" s="164"/>
      <c r="K377" s="207"/>
      <c r="L377" s="208"/>
    </row>
    <row r="378" spans="1:12">
      <c r="A378" s="104"/>
      <c r="B378" s="163"/>
      <c r="C378" s="164"/>
      <c r="D378" s="164"/>
      <c r="E378" s="164"/>
      <c r="F378" s="167"/>
      <c r="G378" s="206"/>
      <c r="H378" s="164"/>
      <c r="I378" s="164"/>
      <c r="J378" s="164"/>
      <c r="K378" s="207"/>
      <c r="L378" s="208"/>
    </row>
    <row r="379" spans="1:12">
      <c r="A379" s="104"/>
      <c r="B379" s="163"/>
      <c r="C379" s="164"/>
      <c r="D379" s="164"/>
      <c r="E379" s="164"/>
      <c r="F379" s="167"/>
      <c r="G379" s="206"/>
      <c r="H379" s="164"/>
      <c r="I379" s="164"/>
      <c r="J379" s="164"/>
      <c r="K379" s="207"/>
      <c r="L379" s="208"/>
    </row>
    <row r="380" spans="1:12">
      <c r="A380" s="104"/>
      <c r="B380" s="163"/>
      <c r="C380" s="164"/>
      <c r="D380" s="164"/>
      <c r="E380" s="164"/>
      <c r="F380" s="167"/>
      <c r="G380" s="206"/>
      <c r="H380" s="164"/>
      <c r="I380" s="164"/>
      <c r="J380" s="164"/>
      <c r="K380" s="207"/>
      <c r="L380" s="208"/>
    </row>
    <row r="381" spans="1:12">
      <c r="A381" s="99"/>
      <c r="B381" s="209"/>
      <c r="C381" s="210"/>
      <c r="D381" s="210"/>
      <c r="E381" s="210"/>
      <c r="F381" s="211"/>
      <c r="G381" s="212"/>
      <c r="H381" s="210"/>
      <c r="I381" s="210"/>
      <c r="J381" s="210"/>
      <c r="K381" s="213"/>
      <c r="L381" s="214"/>
    </row>
    <row r="382" spans="1:12">
      <c r="A382" s="27"/>
      <c r="B382" s="163"/>
      <c r="C382" s="164"/>
      <c r="D382" s="164"/>
      <c r="E382" s="164"/>
      <c r="F382" s="167"/>
      <c r="G382" s="206"/>
      <c r="H382" s="164"/>
      <c r="I382" s="164"/>
      <c r="J382" s="164"/>
      <c r="K382" s="207"/>
      <c r="L382" s="208"/>
    </row>
    <row r="383" spans="1:12">
      <c r="A383" s="27"/>
      <c r="B383" s="163"/>
      <c r="C383" s="164"/>
      <c r="D383" s="164"/>
      <c r="E383" s="164"/>
      <c r="F383" s="167"/>
      <c r="G383" s="206"/>
      <c r="H383" s="164"/>
      <c r="I383" s="164"/>
      <c r="J383" s="164"/>
      <c r="K383" s="207"/>
      <c r="L383" s="208"/>
    </row>
    <row r="384" spans="1:12">
      <c r="A384" s="27"/>
      <c r="B384" s="163"/>
      <c r="C384" s="164"/>
      <c r="D384" s="164"/>
      <c r="E384" s="164"/>
      <c r="F384" s="167"/>
      <c r="G384" s="206"/>
      <c r="H384" s="164"/>
      <c r="I384" s="164"/>
      <c r="J384" s="164"/>
      <c r="K384" s="207"/>
      <c r="L384" s="208"/>
    </row>
    <row r="385" spans="1:12">
      <c r="A385" s="27"/>
      <c r="B385" s="163"/>
      <c r="C385" s="164"/>
      <c r="D385" s="164"/>
      <c r="E385" s="164"/>
      <c r="F385" s="167"/>
      <c r="G385" s="206"/>
      <c r="H385" s="164"/>
      <c r="I385" s="164"/>
      <c r="J385" s="164"/>
      <c r="K385" s="207"/>
      <c r="L385" s="208"/>
    </row>
    <row r="386" spans="1:12">
      <c r="A386" s="104"/>
      <c r="B386" s="163"/>
      <c r="C386" s="164"/>
      <c r="D386" s="164"/>
      <c r="E386" s="164"/>
      <c r="F386" s="167"/>
      <c r="G386" s="206"/>
      <c r="H386" s="164"/>
      <c r="I386" s="164"/>
      <c r="J386" s="164"/>
      <c r="K386" s="207"/>
      <c r="L386" s="208"/>
    </row>
    <row r="387" spans="1:12">
      <c r="A387" s="104"/>
      <c r="B387" s="163"/>
      <c r="C387" s="164"/>
      <c r="D387" s="164"/>
      <c r="E387" s="164"/>
      <c r="F387" s="167"/>
      <c r="G387" s="206"/>
      <c r="H387" s="164"/>
      <c r="I387" s="164"/>
      <c r="J387" s="164"/>
      <c r="K387" s="207"/>
      <c r="L387" s="208"/>
    </row>
    <row r="388" spans="1:12">
      <c r="A388" s="104"/>
      <c r="B388" s="163"/>
      <c r="C388" s="164"/>
      <c r="D388" s="164"/>
      <c r="E388" s="164"/>
      <c r="F388" s="167"/>
      <c r="G388" s="206"/>
      <c r="H388" s="164"/>
      <c r="I388" s="164"/>
      <c r="J388" s="164"/>
      <c r="K388" s="207"/>
      <c r="L388" s="208"/>
    </row>
    <row r="389" spans="1:12">
      <c r="A389" s="104"/>
      <c r="B389" s="163"/>
      <c r="C389" s="164"/>
      <c r="D389" s="164"/>
      <c r="E389" s="164"/>
      <c r="F389" s="167"/>
      <c r="G389" s="206"/>
      <c r="H389" s="164"/>
      <c r="I389" s="164"/>
      <c r="J389" s="164"/>
      <c r="K389" s="207"/>
      <c r="L389" s="208"/>
    </row>
    <row r="390" spans="1:12">
      <c r="A390" s="104"/>
      <c r="B390" s="163"/>
      <c r="C390" s="164"/>
      <c r="D390" s="164"/>
      <c r="E390" s="164"/>
      <c r="F390" s="167"/>
      <c r="G390" s="206"/>
      <c r="H390" s="164"/>
      <c r="I390" s="164"/>
      <c r="J390" s="164"/>
      <c r="K390" s="207"/>
      <c r="L390" s="208"/>
    </row>
    <row r="391" spans="1:12">
      <c r="A391" s="104"/>
      <c r="B391" s="163"/>
      <c r="C391" s="164"/>
      <c r="D391" s="164"/>
      <c r="E391" s="164"/>
      <c r="F391" s="167"/>
      <c r="G391" s="206"/>
      <c r="H391" s="164"/>
      <c r="I391" s="164"/>
      <c r="J391" s="164"/>
      <c r="K391" s="207"/>
      <c r="L391" s="208"/>
    </row>
    <row r="392" spans="1:12">
      <c r="A392" s="104"/>
      <c r="B392" s="163"/>
      <c r="C392" s="164"/>
      <c r="D392" s="164"/>
      <c r="E392" s="164"/>
      <c r="F392" s="167"/>
      <c r="G392" s="206"/>
      <c r="H392" s="164"/>
      <c r="I392" s="164"/>
      <c r="J392" s="164"/>
      <c r="K392" s="207"/>
      <c r="L392" s="208"/>
    </row>
    <row r="393" spans="1:12">
      <c r="A393" s="99"/>
      <c r="B393" s="209"/>
      <c r="C393" s="210"/>
      <c r="D393" s="210"/>
      <c r="E393" s="210"/>
      <c r="F393" s="211"/>
      <c r="G393" s="212"/>
      <c r="H393" s="210"/>
      <c r="I393" s="210"/>
      <c r="J393" s="210"/>
      <c r="K393" s="213"/>
      <c r="L393" s="214"/>
    </row>
    <row r="394" spans="1:12">
      <c r="A394" s="27"/>
      <c r="B394" s="163"/>
      <c r="C394" s="164"/>
      <c r="D394" s="164"/>
      <c r="E394" s="164"/>
      <c r="F394" s="167"/>
      <c r="G394" s="206"/>
      <c r="H394" s="164"/>
      <c r="I394" s="164"/>
      <c r="J394" s="164"/>
      <c r="K394" s="207"/>
      <c r="L394" s="208"/>
    </row>
    <row r="395" spans="1:12">
      <c r="A395" s="27"/>
      <c r="B395" s="163"/>
      <c r="C395" s="164"/>
      <c r="D395" s="164"/>
      <c r="E395" s="164"/>
      <c r="F395" s="167"/>
      <c r="G395" s="206"/>
      <c r="H395" s="164"/>
      <c r="I395" s="164"/>
      <c r="J395" s="164"/>
      <c r="K395" s="207"/>
      <c r="L395" s="208"/>
    </row>
    <row r="396" spans="1:12">
      <c r="A396" s="27"/>
      <c r="B396" s="163"/>
      <c r="C396" s="164"/>
      <c r="D396" s="164"/>
      <c r="E396" s="164"/>
      <c r="F396" s="167"/>
      <c r="G396" s="206"/>
      <c r="H396" s="164"/>
      <c r="I396" s="164"/>
      <c r="J396" s="164"/>
      <c r="K396" s="207"/>
      <c r="L396" s="208"/>
    </row>
    <row r="397" spans="1:12">
      <c r="A397" s="27"/>
      <c r="B397" s="163"/>
      <c r="C397" s="164"/>
      <c r="D397" s="164"/>
      <c r="E397" s="164"/>
      <c r="F397" s="167"/>
      <c r="G397" s="206"/>
      <c r="H397" s="164"/>
      <c r="I397" s="164"/>
      <c r="J397" s="164"/>
      <c r="K397" s="207"/>
      <c r="L397" s="208"/>
    </row>
    <row r="398" spans="1:12">
      <c r="A398" s="104"/>
      <c r="B398" s="163"/>
      <c r="C398" s="164"/>
      <c r="D398" s="164"/>
      <c r="E398" s="164"/>
      <c r="F398" s="167"/>
      <c r="G398" s="206"/>
      <c r="H398" s="164"/>
      <c r="I398" s="164"/>
      <c r="J398" s="164"/>
      <c r="K398" s="207"/>
      <c r="L398" s="208"/>
    </row>
    <row r="399" spans="1:12">
      <c r="A399" s="104"/>
      <c r="B399" s="163"/>
      <c r="C399" s="164"/>
      <c r="D399" s="164"/>
      <c r="E399" s="164"/>
      <c r="F399" s="167"/>
      <c r="G399" s="206"/>
      <c r="H399" s="164"/>
      <c r="I399" s="164"/>
      <c r="J399" s="164"/>
      <c r="K399" s="207"/>
      <c r="L399" s="208"/>
    </row>
    <row r="400" spans="1:12">
      <c r="A400" s="104"/>
      <c r="B400" s="163"/>
      <c r="C400" s="164"/>
      <c r="D400" s="164"/>
      <c r="E400" s="164"/>
      <c r="F400" s="167"/>
      <c r="G400" s="206"/>
      <c r="H400" s="164"/>
      <c r="I400" s="164"/>
      <c r="J400" s="164"/>
      <c r="K400" s="207"/>
      <c r="L400" s="208"/>
    </row>
    <row r="401" spans="1:12">
      <c r="A401" s="104"/>
      <c r="B401" s="163"/>
      <c r="C401" s="164"/>
      <c r="D401" s="164"/>
      <c r="E401" s="164"/>
      <c r="F401" s="167"/>
      <c r="G401" s="206"/>
      <c r="H401" s="164"/>
      <c r="I401" s="164"/>
      <c r="J401" s="164"/>
      <c r="K401" s="207"/>
      <c r="L401" s="208"/>
    </row>
    <row r="402" spans="1:12">
      <c r="A402" s="104"/>
      <c r="B402" s="163"/>
      <c r="C402" s="164"/>
      <c r="D402" s="164"/>
      <c r="E402" s="164"/>
      <c r="F402" s="167"/>
      <c r="G402" s="206"/>
      <c r="H402" s="164"/>
      <c r="I402" s="164"/>
      <c r="J402" s="164"/>
      <c r="K402" s="207"/>
      <c r="L402" s="208"/>
    </row>
    <row r="403" spans="1:12">
      <c r="A403" s="104"/>
      <c r="B403" s="163"/>
      <c r="C403" s="164"/>
      <c r="D403" s="164"/>
      <c r="E403" s="164"/>
      <c r="F403" s="167"/>
      <c r="G403" s="206"/>
      <c r="H403" s="164"/>
      <c r="I403" s="164"/>
      <c r="J403" s="164"/>
      <c r="K403" s="207"/>
      <c r="L403" s="208"/>
    </row>
    <row r="404" spans="1:12">
      <c r="A404" s="104"/>
      <c r="B404" s="163"/>
      <c r="C404" s="164"/>
      <c r="D404" s="164"/>
      <c r="E404" s="164"/>
      <c r="F404" s="167"/>
      <c r="G404" s="206"/>
      <c r="H404" s="164"/>
      <c r="I404" s="164"/>
      <c r="J404" s="164"/>
      <c r="K404" s="207"/>
      <c r="L404" s="208"/>
    </row>
    <row r="405" spans="1:12">
      <c r="A405" s="99"/>
      <c r="B405" s="209"/>
      <c r="C405" s="210"/>
      <c r="D405" s="210"/>
      <c r="E405" s="210"/>
      <c r="F405" s="211"/>
      <c r="G405" s="212"/>
      <c r="H405" s="210"/>
      <c r="I405" s="210"/>
      <c r="J405" s="210"/>
      <c r="K405" s="213"/>
      <c r="L405" s="214"/>
    </row>
    <row r="406" spans="1:12">
      <c r="A406" s="27"/>
      <c r="B406" s="163"/>
      <c r="C406" s="164"/>
      <c r="D406" s="164"/>
      <c r="E406" s="164"/>
      <c r="F406" s="167"/>
      <c r="G406" s="206"/>
      <c r="H406" s="164"/>
      <c r="I406" s="164"/>
      <c r="J406" s="164"/>
      <c r="K406" s="207"/>
      <c r="L406" s="208"/>
    </row>
    <row r="407" spans="1:12">
      <c r="A407" s="27"/>
      <c r="B407" s="163"/>
      <c r="C407" s="164"/>
      <c r="D407" s="164"/>
      <c r="E407" s="164"/>
      <c r="F407" s="167"/>
      <c r="G407" s="206"/>
      <c r="H407" s="164"/>
      <c r="I407" s="164"/>
      <c r="J407" s="164"/>
      <c r="K407" s="207"/>
      <c r="L407" s="208"/>
    </row>
    <row r="408" spans="1:12">
      <c r="A408" s="27"/>
      <c r="B408" s="163"/>
      <c r="C408" s="164"/>
      <c r="D408" s="164"/>
      <c r="E408" s="164"/>
      <c r="F408" s="167"/>
      <c r="G408" s="206"/>
      <c r="H408" s="164"/>
      <c r="I408" s="164"/>
      <c r="J408" s="164"/>
      <c r="K408" s="207"/>
      <c r="L408" s="208"/>
    </row>
    <row r="409" spans="1:12">
      <c r="A409" s="27"/>
      <c r="B409" s="163"/>
      <c r="C409" s="164"/>
      <c r="D409" s="164"/>
      <c r="E409" s="164"/>
      <c r="F409" s="167"/>
      <c r="G409" s="206"/>
      <c r="H409" s="164"/>
      <c r="I409" s="164"/>
      <c r="J409" s="164"/>
      <c r="K409" s="207"/>
      <c r="L409" s="208"/>
    </row>
    <row r="410" spans="1:12">
      <c r="A410" s="104"/>
      <c r="B410" s="163"/>
      <c r="C410" s="164"/>
      <c r="D410" s="164"/>
      <c r="E410" s="164"/>
      <c r="F410" s="167"/>
      <c r="G410" s="206"/>
      <c r="H410" s="164"/>
      <c r="I410" s="164"/>
      <c r="J410" s="164"/>
      <c r="K410" s="207"/>
      <c r="L410" s="208"/>
    </row>
    <row r="411" spans="1:12">
      <c r="A411" s="104"/>
      <c r="B411" s="163"/>
      <c r="C411" s="164"/>
      <c r="D411" s="164"/>
      <c r="E411" s="164"/>
      <c r="F411" s="167"/>
      <c r="G411" s="206"/>
      <c r="H411" s="164"/>
      <c r="I411" s="164"/>
      <c r="J411" s="164"/>
      <c r="K411" s="207"/>
      <c r="L411" s="208"/>
    </row>
    <row r="412" spans="1:12">
      <c r="A412" s="104"/>
      <c r="B412" s="163"/>
      <c r="C412" s="164"/>
      <c r="D412" s="164"/>
      <c r="E412" s="164"/>
      <c r="F412" s="167"/>
      <c r="G412" s="206"/>
      <c r="H412" s="164"/>
      <c r="I412" s="164"/>
      <c r="J412" s="164"/>
      <c r="K412" s="207"/>
      <c r="L412" s="208"/>
    </row>
    <row r="413" spans="1:12">
      <c r="A413" s="104"/>
      <c r="B413" s="163"/>
      <c r="C413" s="164"/>
      <c r="D413" s="164"/>
      <c r="E413" s="164"/>
      <c r="F413" s="167"/>
      <c r="G413" s="206"/>
      <c r="H413" s="164"/>
      <c r="I413" s="164"/>
      <c r="J413" s="164"/>
      <c r="K413" s="207"/>
      <c r="L413" s="208"/>
    </row>
    <row r="414" spans="1:12">
      <c r="A414" s="104"/>
      <c r="B414" s="163"/>
      <c r="C414" s="164"/>
      <c r="D414" s="164"/>
      <c r="E414" s="164"/>
      <c r="F414" s="167"/>
      <c r="G414" s="206"/>
      <c r="H414" s="164"/>
      <c r="I414" s="164"/>
      <c r="J414" s="164"/>
      <c r="K414" s="207"/>
      <c r="L414" s="208"/>
    </row>
    <row r="415" spans="1:12">
      <c r="A415" s="104"/>
      <c r="B415" s="163"/>
      <c r="C415" s="164"/>
      <c r="D415" s="164"/>
      <c r="E415" s="164"/>
      <c r="F415" s="167"/>
      <c r="G415" s="206"/>
      <c r="H415" s="164"/>
      <c r="I415" s="164"/>
      <c r="J415" s="164"/>
      <c r="K415" s="207"/>
      <c r="L415" s="208"/>
    </row>
    <row r="416" spans="1:12">
      <c r="A416" s="104"/>
      <c r="B416" s="163"/>
      <c r="C416" s="164"/>
      <c r="D416" s="164"/>
      <c r="E416" s="164"/>
      <c r="F416" s="167"/>
      <c r="G416" s="206"/>
      <c r="H416" s="164"/>
      <c r="I416" s="164"/>
      <c r="J416" s="164"/>
      <c r="K416" s="207"/>
      <c r="L416" s="208"/>
    </row>
    <row r="417" spans="1:12">
      <c r="A417" s="99"/>
      <c r="B417" s="209"/>
      <c r="C417" s="210"/>
      <c r="D417" s="210"/>
      <c r="E417" s="210"/>
      <c r="F417" s="211"/>
      <c r="G417" s="212"/>
      <c r="H417" s="210"/>
      <c r="I417" s="210"/>
      <c r="J417" s="210"/>
      <c r="K417" s="213"/>
      <c r="L417" s="214"/>
    </row>
    <row r="418" spans="1:12">
      <c r="A418" s="27"/>
      <c r="B418" s="163"/>
      <c r="C418" s="164"/>
      <c r="D418" s="164"/>
      <c r="E418" s="164"/>
      <c r="F418" s="167"/>
      <c r="G418" s="206"/>
      <c r="H418" s="164"/>
      <c r="I418" s="164"/>
      <c r="J418" s="164"/>
      <c r="K418" s="207"/>
      <c r="L418" s="208"/>
    </row>
    <row r="419" spans="1:12">
      <c r="A419" s="27"/>
      <c r="B419" s="163"/>
      <c r="C419" s="164"/>
      <c r="D419" s="164"/>
      <c r="E419" s="164"/>
      <c r="F419" s="167"/>
      <c r="G419" s="206"/>
      <c r="H419" s="164"/>
      <c r="I419" s="164"/>
      <c r="J419" s="164"/>
      <c r="K419" s="207"/>
      <c r="L419" s="208"/>
    </row>
    <row r="420" spans="1:12">
      <c r="A420" s="27"/>
      <c r="B420" s="163"/>
      <c r="C420" s="164"/>
      <c r="D420" s="164"/>
      <c r="E420" s="164"/>
      <c r="F420" s="167"/>
      <c r="G420" s="206"/>
      <c r="H420" s="164"/>
      <c r="I420" s="164"/>
      <c r="J420" s="164"/>
      <c r="K420" s="207"/>
      <c r="L420" s="208"/>
    </row>
    <row r="421" spans="1:12">
      <c r="A421" s="27"/>
      <c r="B421" s="163"/>
      <c r="C421" s="164"/>
      <c r="D421" s="164"/>
      <c r="E421" s="164"/>
      <c r="F421" s="167"/>
      <c r="G421" s="206"/>
      <c r="H421" s="164"/>
      <c r="I421" s="164"/>
      <c r="J421" s="164"/>
      <c r="K421" s="207"/>
      <c r="L421" s="208"/>
    </row>
    <row r="422" spans="1:12">
      <c r="A422" s="104"/>
      <c r="B422" s="163"/>
      <c r="C422" s="164"/>
      <c r="D422" s="164"/>
      <c r="E422" s="164"/>
      <c r="F422" s="167"/>
      <c r="G422" s="206"/>
      <c r="H422" s="164"/>
      <c r="I422" s="164"/>
      <c r="J422" s="164"/>
      <c r="K422" s="207"/>
      <c r="L422" s="208"/>
    </row>
    <row r="423" spans="1:12">
      <c r="A423" s="104"/>
      <c r="B423" s="163"/>
      <c r="C423" s="164"/>
      <c r="D423" s="164"/>
      <c r="E423" s="164"/>
      <c r="F423" s="167"/>
      <c r="G423" s="206"/>
      <c r="H423" s="164"/>
      <c r="I423" s="164"/>
      <c r="J423" s="164"/>
      <c r="K423" s="207"/>
      <c r="L423" s="208"/>
    </row>
    <row r="424" spans="1:12">
      <c r="A424" s="104"/>
      <c r="B424" s="163"/>
      <c r="C424" s="164"/>
      <c r="D424" s="164"/>
      <c r="E424" s="164"/>
      <c r="F424" s="167"/>
      <c r="G424" s="206"/>
      <c r="H424" s="164"/>
      <c r="I424" s="164"/>
      <c r="J424" s="164"/>
      <c r="K424" s="207"/>
      <c r="L424" s="208"/>
    </row>
    <row r="425" spans="1:12">
      <c r="A425" s="104"/>
      <c r="B425" s="163"/>
      <c r="C425" s="164"/>
      <c r="D425" s="164"/>
      <c r="E425" s="164"/>
      <c r="F425" s="167"/>
      <c r="G425" s="206"/>
      <c r="H425" s="164"/>
      <c r="I425" s="164"/>
      <c r="J425" s="164"/>
      <c r="K425" s="207"/>
      <c r="L425" s="208"/>
    </row>
    <row r="426" spans="1:12">
      <c r="A426" s="104"/>
      <c r="B426" s="163"/>
      <c r="C426" s="164"/>
      <c r="D426" s="164"/>
      <c r="E426" s="164"/>
      <c r="F426" s="167"/>
      <c r="G426" s="206"/>
      <c r="H426" s="164"/>
      <c r="I426" s="164"/>
      <c r="J426" s="164"/>
      <c r="K426" s="207"/>
      <c r="L426" s="208"/>
    </row>
    <row r="427" spans="1:12">
      <c r="A427" s="104"/>
      <c r="B427" s="163"/>
      <c r="C427" s="164"/>
      <c r="D427" s="164"/>
      <c r="E427" s="164"/>
      <c r="F427" s="167"/>
      <c r="G427" s="206"/>
      <c r="H427" s="164"/>
      <c r="I427" s="164"/>
      <c r="J427" s="164"/>
      <c r="K427" s="207"/>
      <c r="L427" s="208"/>
    </row>
    <row r="428" spans="1:12">
      <c r="A428" s="104"/>
      <c r="B428" s="163"/>
      <c r="C428" s="164"/>
      <c r="D428" s="164"/>
      <c r="E428" s="164"/>
      <c r="F428" s="167"/>
      <c r="G428" s="206"/>
      <c r="H428" s="164"/>
      <c r="I428" s="164"/>
      <c r="J428" s="164"/>
      <c r="K428" s="207"/>
      <c r="L428" s="208"/>
    </row>
    <row r="429" spans="1:12">
      <c r="A429" s="99"/>
      <c r="B429" s="209"/>
      <c r="C429" s="210"/>
      <c r="D429" s="210"/>
      <c r="E429" s="210"/>
      <c r="F429" s="211"/>
      <c r="G429" s="212"/>
      <c r="H429" s="210"/>
      <c r="I429" s="210"/>
      <c r="J429" s="210"/>
      <c r="K429" s="213"/>
      <c r="L429" s="214"/>
    </row>
    <row r="430" spans="1:12">
      <c r="A430" s="27"/>
      <c r="B430" s="163"/>
      <c r="C430" s="164"/>
      <c r="D430" s="164"/>
      <c r="E430" s="164"/>
      <c r="F430" s="167"/>
      <c r="G430" s="206"/>
      <c r="H430" s="164"/>
      <c r="I430" s="164"/>
      <c r="J430" s="164"/>
      <c r="K430" s="207"/>
      <c r="L430" s="208"/>
    </row>
    <row r="431" spans="1:12">
      <c r="A431" s="27"/>
      <c r="B431" s="163"/>
      <c r="C431" s="164"/>
      <c r="D431" s="164"/>
      <c r="E431" s="164"/>
      <c r="F431" s="167"/>
      <c r="G431" s="206"/>
      <c r="H431" s="164"/>
      <c r="I431" s="164"/>
      <c r="J431" s="164"/>
      <c r="K431" s="207"/>
      <c r="L431" s="208"/>
    </row>
    <row r="432" spans="1:12">
      <c r="A432" s="27"/>
      <c r="B432" s="163"/>
      <c r="C432" s="164"/>
      <c r="D432" s="164"/>
      <c r="E432" s="164"/>
      <c r="F432" s="167"/>
      <c r="G432" s="206"/>
      <c r="H432" s="164"/>
      <c r="I432" s="164"/>
      <c r="J432" s="164"/>
      <c r="K432" s="207"/>
      <c r="L432" s="208"/>
    </row>
    <row r="433" spans="1:12">
      <c r="A433" s="27"/>
      <c r="B433" s="163"/>
      <c r="C433" s="164"/>
      <c r="D433" s="164"/>
      <c r="E433" s="164"/>
      <c r="F433" s="167"/>
      <c r="G433" s="206"/>
      <c r="H433" s="164"/>
      <c r="I433" s="164"/>
      <c r="J433" s="164"/>
      <c r="K433" s="207"/>
      <c r="L433" s="208"/>
    </row>
    <row r="434" spans="1:12">
      <c r="A434" s="104"/>
      <c r="B434" s="163"/>
      <c r="C434" s="164"/>
      <c r="D434" s="164"/>
      <c r="E434" s="164"/>
      <c r="F434" s="167"/>
      <c r="G434" s="206"/>
      <c r="H434" s="164"/>
      <c r="I434" s="164"/>
      <c r="J434" s="164"/>
      <c r="K434" s="207"/>
      <c r="L434" s="208"/>
    </row>
    <row r="435" spans="1:12">
      <c r="A435" s="104"/>
      <c r="B435" s="163"/>
      <c r="C435" s="164"/>
      <c r="D435" s="164"/>
      <c r="E435" s="164"/>
      <c r="F435" s="167"/>
      <c r="G435" s="206"/>
      <c r="H435" s="164"/>
      <c r="I435" s="164"/>
      <c r="J435" s="164"/>
      <c r="K435" s="207"/>
      <c r="L435" s="208"/>
    </row>
    <row r="436" spans="1:12">
      <c r="A436" s="104"/>
      <c r="B436" s="163"/>
      <c r="C436" s="164"/>
      <c r="D436" s="164"/>
      <c r="E436" s="164"/>
      <c r="F436" s="167"/>
      <c r="G436" s="206"/>
      <c r="H436" s="164"/>
      <c r="I436" s="164"/>
      <c r="J436" s="164"/>
      <c r="K436" s="207"/>
      <c r="L436" s="208"/>
    </row>
    <row r="437" spans="1:12">
      <c r="A437" s="104"/>
      <c r="B437" s="163"/>
      <c r="C437" s="164"/>
      <c r="D437" s="164"/>
      <c r="E437" s="164"/>
      <c r="F437" s="167"/>
      <c r="G437" s="206"/>
      <c r="H437" s="164"/>
      <c r="I437" s="164"/>
      <c r="J437" s="164"/>
      <c r="K437" s="207"/>
      <c r="L437" s="208"/>
    </row>
    <row r="438" spans="1:12">
      <c r="A438" s="104"/>
      <c r="B438" s="163"/>
      <c r="C438" s="164"/>
      <c r="D438" s="164"/>
      <c r="E438" s="164"/>
      <c r="F438" s="167"/>
      <c r="G438" s="206"/>
      <c r="H438" s="164"/>
      <c r="I438" s="164"/>
      <c r="J438" s="164"/>
      <c r="K438" s="207"/>
      <c r="L438" s="208"/>
    </row>
    <row r="439" spans="1:12">
      <c r="A439" s="104"/>
      <c r="B439" s="163"/>
      <c r="C439" s="164"/>
      <c r="D439" s="164"/>
      <c r="E439" s="164"/>
      <c r="F439" s="167"/>
      <c r="G439" s="206"/>
      <c r="H439" s="164"/>
      <c r="I439" s="164"/>
      <c r="J439" s="164"/>
      <c r="K439" s="207"/>
      <c r="L439" s="208"/>
    </row>
    <row r="440" spans="1:12">
      <c r="A440" s="104"/>
      <c r="B440" s="163"/>
      <c r="C440" s="164"/>
      <c r="D440" s="164"/>
      <c r="E440" s="164"/>
      <c r="F440" s="167"/>
      <c r="G440" s="206"/>
      <c r="H440" s="164"/>
      <c r="I440" s="164"/>
      <c r="J440" s="164"/>
      <c r="K440" s="207"/>
      <c r="L440" s="208"/>
    </row>
    <row r="441" spans="1:12">
      <c r="A441" s="99"/>
      <c r="B441" s="209"/>
      <c r="C441" s="210"/>
      <c r="D441" s="210"/>
      <c r="E441" s="210"/>
      <c r="F441" s="211"/>
      <c r="G441" s="212"/>
      <c r="H441" s="210"/>
      <c r="I441" s="210"/>
      <c r="J441" s="210"/>
      <c r="K441" s="213"/>
      <c r="L441" s="214"/>
    </row>
    <row r="442" spans="1:12">
      <c r="A442" s="27"/>
      <c r="B442" s="163"/>
      <c r="C442" s="164"/>
      <c r="D442" s="164"/>
      <c r="E442" s="164"/>
      <c r="F442" s="167"/>
      <c r="G442" s="206"/>
      <c r="H442" s="164"/>
      <c r="I442" s="164"/>
      <c r="J442" s="164"/>
      <c r="K442" s="207"/>
      <c r="L442" s="208"/>
    </row>
    <row r="443" spans="1:12">
      <c r="A443" s="27"/>
      <c r="B443" s="163"/>
      <c r="C443" s="164"/>
      <c r="D443" s="164"/>
      <c r="E443" s="164"/>
      <c r="F443" s="167"/>
      <c r="G443" s="206"/>
      <c r="H443" s="164"/>
      <c r="I443" s="164"/>
      <c r="J443" s="164"/>
      <c r="K443" s="207"/>
      <c r="L443" s="208"/>
    </row>
    <row r="444" spans="1:12">
      <c r="A444" s="27"/>
      <c r="B444" s="163"/>
      <c r="C444" s="164"/>
      <c r="D444" s="164"/>
      <c r="E444" s="164"/>
      <c r="F444" s="167"/>
      <c r="G444" s="206"/>
      <c r="H444" s="164"/>
      <c r="I444" s="164"/>
      <c r="J444" s="164"/>
      <c r="K444" s="207"/>
      <c r="L444" s="208"/>
    </row>
    <row r="445" spans="1:12">
      <c r="A445" s="27"/>
      <c r="B445" s="163"/>
      <c r="C445" s="164"/>
      <c r="D445" s="164"/>
      <c r="E445" s="164"/>
      <c r="F445" s="167"/>
      <c r="G445" s="206"/>
      <c r="H445" s="164"/>
      <c r="I445" s="164"/>
      <c r="J445" s="164"/>
      <c r="K445" s="207"/>
      <c r="L445" s="208"/>
    </row>
    <row r="446" spans="1:12">
      <c r="A446" s="104"/>
      <c r="B446" s="163"/>
      <c r="C446" s="164"/>
      <c r="D446" s="164"/>
      <c r="E446" s="164"/>
      <c r="F446" s="167"/>
      <c r="G446" s="206"/>
      <c r="H446" s="164"/>
      <c r="I446" s="164"/>
      <c r="J446" s="164"/>
      <c r="K446" s="207"/>
      <c r="L446" s="208"/>
    </row>
    <row r="447" spans="1:12">
      <c r="A447" s="104"/>
      <c r="B447" s="163"/>
      <c r="C447" s="164"/>
      <c r="D447" s="164"/>
      <c r="E447" s="164"/>
      <c r="F447" s="167"/>
      <c r="G447" s="206"/>
      <c r="H447" s="164"/>
      <c r="I447" s="164"/>
      <c r="J447" s="164"/>
      <c r="K447" s="207"/>
      <c r="L447" s="208"/>
    </row>
    <row r="448" spans="1:12">
      <c r="A448" s="104"/>
      <c r="B448" s="163"/>
      <c r="C448" s="164"/>
      <c r="D448" s="164"/>
      <c r="E448" s="164"/>
      <c r="F448" s="167"/>
      <c r="G448" s="206"/>
      <c r="H448" s="164"/>
      <c r="I448" s="164"/>
      <c r="J448" s="164"/>
      <c r="K448" s="207"/>
      <c r="L448" s="208"/>
    </row>
  </sheetData>
  <mergeCells count="8">
    <mergeCell ref="AI7:AN7"/>
    <mergeCell ref="W7:AB7"/>
    <mergeCell ref="B6:AN6"/>
    <mergeCell ref="AC7:AH7"/>
    <mergeCell ref="B7:F7"/>
    <mergeCell ref="G7:L7"/>
    <mergeCell ref="M7:Q7"/>
    <mergeCell ref="R7:V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6">
    <tabColor rgb="FF92D050"/>
  </sheetPr>
  <dimension ref="A1:H255"/>
  <sheetViews>
    <sheetView zoomScaleNormal="100" workbookViewId="0">
      <pane xSplit="1" ySplit="7" topLeftCell="B8" activePane="bottomRight" state="frozen"/>
      <selection pane="bottomRight" activeCell="F35" sqref="F35"/>
      <selection pane="bottomLeft" activeCell="A259" sqref="A259"/>
      <selection pane="topRight" activeCell="A259" sqref="A259"/>
    </sheetView>
  </sheetViews>
  <sheetFormatPr defaultColWidth="11.42578125" defaultRowHeight="10.15"/>
  <cols>
    <col min="1" max="1" width="15.5703125" style="2" bestFit="1" customWidth="1"/>
    <col min="2" max="2" width="13.42578125" style="77" customWidth="1"/>
    <col min="3" max="3" width="13.42578125" style="78" customWidth="1"/>
    <col min="4" max="4" width="13.42578125" style="79" customWidth="1"/>
    <col min="5" max="5" width="13.42578125" style="45" customWidth="1"/>
    <col min="6" max="6" width="13.42578125" style="77" customWidth="1"/>
    <col min="7" max="7" width="13.42578125" style="79" customWidth="1"/>
    <col min="8" max="8" width="13.42578125" style="45" customWidth="1"/>
    <col min="9" max="16384" width="11.42578125" style="34"/>
  </cols>
  <sheetData>
    <row r="1" spans="1:8">
      <c r="A1" s="23" t="s">
        <v>44</v>
      </c>
      <c r="B1" s="23" t="s">
        <v>240</v>
      </c>
      <c r="C1" s="23"/>
      <c r="D1" s="23"/>
      <c r="E1" s="23"/>
      <c r="F1" s="23"/>
      <c r="G1" s="23"/>
      <c r="H1" s="23"/>
    </row>
    <row r="2" spans="1:8">
      <c r="A2" s="23" t="s">
        <v>46</v>
      </c>
      <c r="B2" s="23" t="s">
        <v>47</v>
      </c>
      <c r="C2" s="23"/>
      <c r="D2" s="23"/>
      <c r="E2" s="23"/>
      <c r="F2" s="23"/>
      <c r="G2" s="23"/>
      <c r="H2" s="23"/>
    </row>
    <row r="3" spans="1:8">
      <c r="A3" s="23" t="s">
        <v>48</v>
      </c>
      <c r="B3" s="23" t="s">
        <v>49</v>
      </c>
      <c r="C3" s="23"/>
      <c r="D3" s="23"/>
      <c r="E3" s="23"/>
      <c r="F3" s="23"/>
      <c r="G3" s="23"/>
      <c r="H3" s="23"/>
    </row>
    <row r="4" spans="1:8">
      <c r="A4" s="23" t="s">
        <v>50</v>
      </c>
      <c r="B4" s="23" t="s">
        <v>51</v>
      </c>
      <c r="C4" s="23"/>
      <c r="D4" s="23"/>
      <c r="E4" s="23"/>
      <c r="F4" s="23"/>
      <c r="G4" s="23"/>
      <c r="H4" s="23"/>
    </row>
    <row r="5" spans="1:8">
      <c r="A5" s="23" t="s">
        <v>241</v>
      </c>
      <c r="B5" s="23"/>
      <c r="C5" s="23"/>
      <c r="D5" s="23"/>
      <c r="E5" s="23"/>
      <c r="F5" s="23"/>
      <c r="G5" s="23"/>
      <c r="H5" s="23"/>
    </row>
    <row r="6" spans="1:8" ht="11.45">
      <c r="A6" s="16"/>
      <c r="B6" s="260" t="s">
        <v>49</v>
      </c>
      <c r="C6" s="261"/>
      <c r="D6" s="261"/>
      <c r="E6" s="261"/>
      <c r="F6" s="261"/>
      <c r="G6" s="261"/>
      <c r="H6" s="267"/>
    </row>
    <row r="7" spans="1:8" ht="36.75" customHeight="1">
      <c r="A7" s="162" t="s">
        <v>53</v>
      </c>
      <c r="B7" s="28" t="s">
        <v>190</v>
      </c>
      <c r="C7" s="29" t="s">
        <v>214</v>
      </c>
      <c r="D7" s="57" t="s">
        <v>215</v>
      </c>
      <c r="E7" s="129" t="s">
        <v>216</v>
      </c>
      <c r="F7" s="217" t="s">
        <v>242</v>
      </c>
      <c r="G7" s="57" t="s">
        <v>243</v>
      </c>
      <c r="H7" s="218" t="s">
        <v>244</v>
      </c>
    </row>
    <row r="8" spans="1:8">
      <c r="A8" s="27" t="s">
        <v>61</v>
      </c>
      <c r="B8" s="62">
        <v>3324900</v>
      </c>
      <c r="C8" s="63">
        <v>289400</v>
      </c>
      <c r="D8" s="64">
        <v>346900</v>
      </c>
      <c r="E8" s="219">
        <v>3961200</v>
      </c>
      <c r="F8" s="62">
        <v>160800</v>
      </c>
      <c r="G8" s="64">
        <v>205300</v>
      </c>
      <c r="H8" s="219">
        <v>4327300</v>
      </c>
    </row>
    <row r="9" spans="1:8">
      <c r="A9" s="27" t="s">
        <v>62</v>
      </c>
      <c r="B9" s="62">
        <v>3334600</v>
      </c>
      <c r="C9" s="63">
        <v>299900</v>
      </c>
      <c r="D9" s="64">
        <v>362600</v>
      </c>
      <c r="E9" s="219">
        <v>3997100</v>
      </c>
      <c r="F9" s="62">
        <v>167000</v>
      </c>
      <c r="G9" s="64">
        <v>199900</v>
      </c>
      <c r="H9" s="219">
        <v>4364100</v>
      </c>
    </row>
    <row r="10" spans="1:8">
      <c r="A10" s="27" t="s">
        <v>63</v>
      </c>
      <c r="B10" s="62">
        <v>3343400</v>
      </c>
      <c r="C10" s="63">
        <v>314700</v>
      </c>
      <c r="D10" s="64">
        <v>399300</v>
      </c>
      <c r="E10" s="219">
        <v>4057400</v>
      </c>
      <c r="F10" s="62">
        <v>159100</v>
      </c>
      <c r="G10" s="64">
        <v>193100</v>
      </c>
      <c r="H10" s="219">
        <v>4409500</v>
      </c>
    </row>
    <row r="11" spans="1:8">
      <c r="A11" s="80" t="s">
        <v>64</v>
      </c>
      <c r="B11" s="220">
        <v>3372100</v>
      </c>
      <c r="C11" s="221">
        <v>329900</v>
      </c>
      <c r="D11" s="222">
        <v>401600</v>
      </c>
      <c r="E11" s="223">
        <v>4103500</v>
      </c>
      <c r="F11" s="220">
        <v>164100</v>
      </c>
      <c r="G11" s="222">
        <v>183600</v>
      </c>
      <c r="H11" s="223">
        <v>4451100</v>
      </c>
    </row>
    <row r="12" spans="1:8">
      <c r="A12" s="27" t="s">
        <v>65</v>
      </c>
      <c r="B12" s="62">
        <v>3391500</v>
      </c>
      <c r="C12" s="63">
        <v>336200</v>
      </c>
      <c r="D12" s="64">
        <v>427100</v>
      </c>
      <c r="E12" s="219">
        <v>4154700</v>
      </c>
      <c r="F12" s="62">
        <v>160400</v>
      </c>
      <c r="G12" s="64">
        <v>175400</v>
      </c>
      <c r="H12" s="219">
        <v>4490600</v>
      </c>
    </row>
    <row r="13" spans="1:8">
      <c r="A13" s="27" t="s">
        <v>66</v>
      </c>
      <c r="B13" s="62">
        <v>3401400</v>
      </c>
      <c r="C13" s="63">
        <v>346400</v>
      </c>
      <c r="D13" s="64">
        <v>453400</v>
      </c>
      <c r="E13" s="219">
        <v>4201300</v>
      </c>
      <c r="F13" s="62">
        <v>156700</v>
      </c>
      <c r="G13" s="64">
        <v>169500</v>
      </c>
      <c r="H13" s="219">
        <v>4527500</v>
      </c>
    </row>
    <row r="14" spans="1:8">
      <c r="A14" s="27" t="s">
        <v>67</v>
      </c>
      <c r="B14" s="62">
        <v>3375800</v>
      </c>
      <c r="C14" s="63">
        <v>353600</v>
      </c>
      <c r="D14" s="64">
        <v>502200</v>
      </c>
      <c r="E14" s="219">
        <v>4231600</v>
      </c>
      <c r="F14" s="62">
        <v>154100</v>
      </c>
      <c r="G14" s="64">
        <v>167900</v>
      </c>
      <c r="H14" s="219">
        <v>4553600</v>
      </c>
    </row>
    <row r="15" spans="1:8">
      <c r="A15" s="80" t="s">
        <v>68</v>
      </c>
      <c r="B15" s="220">
        <v>3366200</v>
      </c>
      <c r="C15" s="221">
        <v>360800</v>
      </c>
      <c r="D15" s="222">
        <v>518000</v>
      </c>
      <c r="E15" s="223">
        <v>4245000</v>
      </c>
      <c r="F15" s="220">
        <v>149800</v>
      </c>
      <c r="G15" s="222">
        <v>167500</v>
      </c>
      <c r="H15" s="223">
        <v>4562400</v>
      </c>
    </row>
    <row r="16" spans="1:8">
      <c r="A16" s="27" t="s">
        <v>69</v>
      </c>
      <c r="B16" s="62">
        <v>3339000</v>
      </c>
      <c r="C16" s="63">
        <v>365300</v>
      </c>
      <c r="D16" s="64">
        <v>548700</v>
      </c>
      <c r="E16" s="219">
        <v>4253000</v>
      </c>
      <c r="F16" s="62">
        <v>154700</v>
      </c>
      <c r="G16" s="64">
        <v>167300</v>
      </c>
      <c r="H16" s="219">
        <v>4575000</v>
      </c>
    </row>
    <row r="17" spans="1:8">
      <c r="A17" s="27" t="s">
        <v>70</v>
      </c>
      <c r="B17" s="62">
        <v>3316600</v>
      </c>
      <c r="C17" s="63">
        <v>368500</v>
      </c>
      <c r="D17" s="64">
        <v>565600</v>
      </c>
      <c r="E17" s="219">
        <v>4250700</v>
      </c>
      <c r="F17" s="62">
        <v>154800</v>
      </c>
      <c r="G17" s="64">
        <v>171400</v>
      </c>
      <c r="H17" s="219">
        <v>4576800</v>
      </c>
    </row>
    <row r="18" spans="1:8">
      <c r="A18" s="27" t="s">
        <v>71</v>
      </c>
      <c r="B18" s="62">
        <v>3301800</v>
      </c>
      <c r="C18" s="63">
        <v>370900</v>
      </c>
      <c r="D18" s="64">
        <v>574900</v>
      </c>
      <c r="E18" s="219">
        <v>4247600</v>
      </c>
      <c r="F18" s="62">
        <v>160100</v>
      </c>
      <c r="G18" s="64">
        <v>171100</v>
      </c>
      <c r="H18" s="219">
        <v>4578700</v>
      </c>
    </row>
    <row r="19" spans="1:8">
      <c r="A19" s="80" t="s">
        <v>72</v>
      </c>
      <c r="B19" s="220">
        <v>3303200</v>
      </c>
      <c r="C19" s="221">
        <v>381800</v>
      </c>
      <c r="D19" s="222">
        <v>581100</v>
      </c>
      <c r="E19" s="223">
        <v>4266000</v>
      </c>
      <c r="F19" s="220">
        <v>159700</v>
      </c>
      <c r="G19" s="222">
        <v>173200</v>
      </c>
      <c r="H19" s="223">
        <v>4598900</v>
      </c>
    </row>
    <row r="20" spans="1:8">
      <c r="A20" s="27" t="s">
        <v>73</v>
      </c>
      <c r="B20" s="62">
        <v>3293100</v>
      </c>
      <c r="C20" s="63">
        <v>393200</v>
      </c>
      <c r="D20" s="64">
        <v>587900</v>
      </c>
      <c r="E20" s="219">
        <v>4274200</v>
      </c>
      <c r="F20" s="62">
        <v>160200</v>
      </c>
      <c r="G20" s="64">
        <v>169800</v>
      </c>
      <c r="H20" s="219">
        <v>4604200</v>
      </c>
    </row>
    <row r="21" spans="1:8">
      <c r="A21" s="27" t="s">
        <v>74</v>
      </c>
      <c r="B21" s="62">
        <v>3270200</v>
      </c>
      <c r="C21" s="63">
        <v>402000</v>
      </c>
      <c r="D21" s="64">
        <v>607600</v>
      </c>
      <c r="E21" s="219">
        <v>4279800</v>
      </c>
      <c r="F21" s="62">
        <v>164200</v>
      </c>
      <c r="G21" s="64">
        <v>169500</v>
      </c>
      <c r="H21" s="219">
        <v>4613500</v>
      </c>
    </row>
    <row r="22" spans="1:8">
      <c r="A22" s="27" t="s">
        <v>75</v>
      </c>
      <c r="B22" s="62">
        <v>3160000</v>
      </c>
      <c r="C22" s="63">
        <v>401200</v>
      </c>
      <c r="D22" s="64">
        <v>637200</v>
      </c>
      <c r="E22" s="219">
        <v>4198400</v>
      </c>
      <c r="F22" s="62">
        <v>167900</v>
      </c>
      <c r="G22" s="64">
        <v>171000</v>
      </c>
      <c r="H22" s="219">
        <v>4537400</v>
      </c>
    </row>
    <row r="23" spans="1:8">
      <c r="A23" s="80" t="s">
        <v>76</v>
      </c>
      <c r="B23" s="220">
        <v>3074000</v>
      </c>
      <c r="C23" s="221">
        <v>395700</v>
      </c>
      <c r="D23" s="222">
        <v>641700</v>
      </c>
      <c r="E23" s="223">
        <v>4111400</v>
      </c>
      <c r="F23" s="220">
        <v>171900</v>
      </c>
      <c r="G23" s="222">
        <v>172800</v>
      </c>
      <c r="H23" s="223">
        <v>4456200</v>
      </c>
    </row>
    <row r="24" spans="1:8">
      <c r="A24" s="27" t="s">
        <v>77</v>
      </c>
      <c r="B24" s="62">
        <v>2996400</v>
      </c>
      <c r="C24" s="63">
        <v>389300</v>
      </c>
      <c r="D24" s="64">
        <v>633000</v>
      </c>
      <c r="E24" s="219">
        <v>4018600</v>
      </c>
      <c r="F24" s="62">
        <v>174000</v>
      </c>
      <c r="G24" s="64">
        <v>170800</v>
      </c>
      <c r="H24" s="219">
        <v>4363500</v>
      </c>
    </row>
    <row r="25" spans="1:8">
      <c r="A25" s="27" t="s">
        <v>78</v>
      </c>
      <c r="B25" s="62">
        <v>2893800</v>
      </c>
      <c r="C25" s="63">
        <v>378300</v>
      </c>
      <c r="D25" s="64">
        <v>618000</v>
      </c>
      <c r="E25" s="219">
        <v>3890000</v>
      </c>
      <c r="F25" s="62">
        <v>166300</v>
      </c>
      <c r="G25" s="64">
        <v>166400</v>
      </c>
      <c r="H25" s="219">
        <v>4222700</v>
      </c>
    </row>
    <row r="26" spans="1:8">
      <c r="A26" s="27" t="s">
        <v>79</v>
      </c>
      <c r="B26" s="62">
        <v>2808700</v>
      </c>
      <c r="C26" s="63">
        <v>389100</v>
      </c>
      <c r="D26" s="64">
        <v>610100</v>
      </c>
      <c r="E26" s="219">
        <v>3807900</v>
      </c>
      <c r="F26" s="62">
        <v>147100</v>
      </c>
      <c r="G26" s="64">
        <v>157400</v>
      </c>
      <c r="H26" s="219">
        <v>4112400</v>
      </c>
    </row>
    <row r="27" spans="1:8">
      <c r="A27" s="80" t="s">
        <v>80</v>
      </c>
      <c r="B27" s="220">
        <v>2683600</v>
      </c>
      <c r="C27" s="221">
        <v>385200</v>
      </c>
      <c r="D27" s="222">
        <v>621500</v>
      </c>
      <c r="E27" s="223">
        <v>3690300</v>
      </c>
      <c r="F27" s="220">
        <v>147200</v>
      </c>
      <c r="G27" s="222">
        <v>150100</v>
      </c>
      <c r="H27" s="223">
        <v>3987600</v>
      </c>
    </row>
    <row r="28" spans="1:8">
      <c r="A28" s="27" t="s">
        <v>81</v>
      </c>
      <c r="B28" s="62">
        <v>2595900</v>
      </c>
      <c r="C28" s="63">
        <v>388700</v>
      </c>
      <c r="D28" s="64">
        <v>624900</v>
      </c>
      <c r="E28" s="219">
        <v>3609500</v>
      </c>
      <c r="F28" s="62">
        <v>138200</v>
      </c>
      <c r="G28" s="64">
        <v>136500</v>
      </c>
      <c r="H28" s="219">
        <v>3884200</v>
      </c>
    </row>
    <row r="29" spans="1:8">
      <c r="A29" s="27" t="s">
        <v>82</v>
      </c>
      <c r="B29" s="62">
        <v>2568200</v>
      </c>
      <c r="C29" s="63">
        <v>393400</v>
      </c>
      <c r="D29" s="64">
        <v>619500</v>
      </c>
      <c r="E29" s="219">
        <v>3580900</v>
      </c>
      <c r="F29" s="62">
        <v>138300</v>
      </c>
      <c r="G29" s="64">
        <v>122500</v>
      </c>
      <c r="H29" s="219">
        <v>3841600</v>
      </c>
    </row>
    <row r="30" spans="1:8">
      <c r="A30" s="27" t="s">
        <v>83</v>
      </c>
      <c r="B30" s="62">
        <v>2607300</v>
      </c>
      <c r="C30" s="63">
        <v>394500</v>
      </c>
      <c r="D30" s="64">
        <v>590600</v>
      </c>
      <c r="E30" s="219">
        <v>3592400</v>
      </c>
      <c r="F30" s="62">
        <v>137700</v>
      </c>
      <c r="G30" s="64">
        <v>111000</v>
      </c>
      <c r="H30" s="219">
        <v>3841000</v>
      </c>
    </row>
    <row r="31" spans="1:8">
      <c r="A31" s="80" t="s">
        <v>84</v>
      </c>
      <c r="B31" s="220">
        <v>2670000</v>
      </c>
      <c r="C31" s="221">
        <v>401100</v>
      </c>
      <c r="D31" s="222">
        <v>587400</v>
      </c>
      <c r="E31" s="223">
        <v>3658500</v>
      </c>
      <c r="F31" s="220">
        <v>126700</v>
      </c>
      <c r="G31" s="222">
        <v>106200</v>
      </c>
      <c r="H31" s="223">
        <v>3891400</v>
      </c>
    </row>
    <row r="32" spans="1:8">
      <c r="A32" s="27" t="s">
        <v>85</v>
      </c>
      <c r="B32" s="62">
        <v>2696800</v>
      </c>
      <c r="C32" s="63">
        <v>412000</v>
      </c>
      <c r="D32" s="64">
        <v>584800</v>
      </c>
      <c r="E32" s="219">
        <v>3693700</v>
      </c>
      <c r="F32" s="62">
        <v>142300</v>
      </c>
      <c r="G32" s="64">
        <v>111800</v>
      </c>
      <c r="H32" s="219">
        <v>3947700</v>
      </c>
    </row>
    <row r="33" spans="1:8">
      <c r="A33" s="27" t="s">
        <v>86</v>
      </c>
      <c r="B33" s="62">
        <v>2730000</v>
      </c>
      <c r="C33" s="63">
        <v>414600</v>
      </c>
      <c r="D33" s="64">
        <v>579600</v>
      </c>
      <c r="E33" s="219">
        <v>3724100</v>
      </c>
      <c r="F33" s="62">
        <v>146400</v>
      </c>
      <c r="G33" s="64">
        <v>124500</v>
      </c>
      <c r="H33" s="219">
        <v>3995000</v>
      </c>
    </row>
    <row r="34" spans="1:8">
      <c r="A34" s="27" t="s">
        <v>87</v>
      </c>
      <c r="B34" s="62">
        <v>2757500</v>
      </c>
      <c r="C34" s="63">
        <v>422000</v>
      </c>
      <c r="D34" s="64">
        <v>567000</v>
      </c>
      <c r="E34" s="219">
        <v>3746500</v>
      </c>
      <c r="F34" s="62">
        <v>144100</v>
      </c>
      <c r="G34" s="64">
        <v>133500</v>
      </c>
      <c r="H34" s="219">
        <v>4024100</v>
      </c>
    </row>
    <row r="35" spans="1:8">
      <c r="A35" s="80" t="s">
        <v>88</v>
      </c>
      <c r="B35" s="220">
        <v>2775900</v>
      </c>
      <c r="C35" s="221">
        <v>424900</v>
      </c>
      <c r="D35" s="222">
        <v>575200</v>
      </c>
      <c r="E35" s="223">
        <v>3776000</v>
      </c>
      <c r="F35" s="220">
        <v>137500</v>
      </c>
      <c r="G35" s="222">
        <v>130200</v>
      </c>
      <c r="H35" s="223">
        <v>4043700</v>
      </c>
    </row>
    <row r="36" spans="1:8">
      <c r="A36" s="27" t="s">
        <v>89</v>
      </c>
      <c r="B36" s="62">
        <v>2824400</v>
      </c>
      <c r="C36" s="63">
        <v>434700</v>
      </c>
      <c r="D36" s="64">
        <v>574700</v>
      </c>
      <c r="E36" s="219">
        <v>3833800</v>
      </c>
      <c r="F36" s="62">
        <v>149800</v>
      </c>
      <c r="G36" s="64">
        <v>127700</v>
      </c>
      <c r="H36" s="219">
        <v>4111300</v>
      </c>
    </row>
    <row r="37" spans="1:8">
      <c r="A37" s="27" t="s">
        <v>90</v>
      </c>
      <c r="B37" s="62">
        <v>2851000</v>
      </c>
      <c r="C37" s="63">
        <v>439800</v>
      </c>
      <c r="D37" s="64">
        <v>575600</v>
      </c>
      <c r="E37" s="219">
        <v>3866500</v>
      </c>
      <c r="F37" s="62">
        <v>152500</v>
      </c>
      <c r="G37" s="64">
        <v>125400</v>
      </c>
      <c r="H37" s="219">
        <v>4144300</v>
      </c>
    </row>
    <row r="38" spans="1:8">
      <c r="A38" s="27" t="s">
        <v>91</v>
      </c>
      <c r="B38" s="62">
        <v>2881600</v>
      </c>
      <c r="C38" s="63">
        <v>450100</v>
      </c>
      <c r="D38" s="64">
        <v>582400</v>
      </c>
      <c r="E38" s="219">
        <v>3914200</v>
      </c>
      <c r="F38" s="62">
        <v>154800</v>
      </c>
      <c r="G38" s="64">
        <v>118600</v>
      </c>
      <c r="H38" s="219">
        <v>4187600</v>
      </c>
    </row>
    <row r="39" spans="1:8">
      <c r="A39" s="80" t="s">
        <v>92</v>
      </c>
      <c r="B39" s="220">
        <v>2906500</v>
      </c>
      <c r="C39" s="221">
        <v>463800</v>
      </c>
      <c r="D39" s="222">
        <v>596000</v>
      </c>
      <c r="E39" s="223">
        <v>3966400</v>
      </c>
      <c r="F39" s="220">
        <v>158900</v>
      </c>
      <c r="G39" s="222">
        <v>122200</v>
      </c>
      <c r="H39" s="223">
        <v>4247500</v>
      </c>
    </row>
    <row r="40" spans="1:8">
      <c r="A40" s="27" t="s">
        <v>93</v>
      </c>
      <c r="B40" s="62">
        <v>2861200</v>
      </c>
      <c r="C40" s="63">
        <v>455700</v>
      </c>
      <c r="D40" s="64">
        <v>622000</v>
      </c>
      <c r="E40" s="219">
        <v>3938900</v>
      </c>
      <c r="F40" s="62">
        <v>160900</v>
      </c>
      <c r="G40" s="64">
        <v>116100</v>
      </c>
      <c r="H40" s="219">
        <v>4215900</v>
      </c>
    </row>
    <row r="41" spans="1:8">
      <c r="A41" s="27" t="s">
        <v>94</v>
      </c>
      <c r="B41" s="62">
        <v>2860500</v>
      </c>
      <c r="C41" s="63">
        <v>479500</v>
      </c>
      <c r="D41" s="64">
        <v>639500</v>
      </c>
      <c r="E41" s="219">
        <v>3979500</v>
      </c>
      <c r="F41" s="62">
        <v>163900</v>
      </c>
      <c r="G41" s="64">
        <v>112100</v>
      </c>
      <c r="H41" s="219">
        <v>4255500</v>
      </c>
    </row>
    <row r="42" spans="1:8">
      <c r="A42" s="27" t="s">
        <v>95</v>
      </c>
      <c r="B42" s="62">
        <v>2882600</v>
      </c>
      <c r="C42" s="63">
        <v>489200</v>
      </c>
      <c r="D42" s="64">
        <v>657600</v>
      </c>
      <c r="E42" s="219">
        <v>4029400</v>
      </c>
      <c r="F42" s="62">
        <v>161900</v>
      </c>
      <c r="G42" s="64">
        <v>106400</v>
      </c>
      <c r="H42" s="219">
        <v>4297800</v>
      </c>
    </row>
    <row r="43" spans="1:8">
      <c r="A43" s="80" t="s">
        <v>96</v>
      </c>
      <c r="B43" s="220">
        <v>2891300</v>
      </c>
      <c r="C43" s="221">
        <v>496300</v>
      </c>
      <c r="D43" s="222">
        <v>679000</v>
      </c>
      <c r="E43" s="223">
        <v>4066600</v>
      </c>
      <c r="F43" s="220">
        <v>164200</v>
      </c>
      <c r="G43" s="222">
        <v>107600</v>
      </c>
      <c r="H43" s="223">
        <v>4338300</v>
      </c>
    </row>
    <row r="44" spans="1:8">
      <c r="A44" s="27" t="s">
        <v>97</v>
      </c>
      <c r="B44" s="62">
        <v>2894300</v>
      </c>
      <c r="C44" s="63">
        <v>507300</v>
      </c>
      <c r="D44" s="64">
        <v>683700</v>
      </c>
      <c r="E44" s="219">
        <v>4085300</v>
      </c>
      <c r="F44" s="62">
        <v>162500</v>
      </c>
      <c r="G44" s="64">
        <v>113400</v>
      </c>
      <c r="H44" s="219">
        <v>4361200</v>
      </c>
    </row>
    <row r="45" spans="1:8">
      <c r="A45" s="27" t="s">
        <v>98</v>
      </c>
      <c r="B45" s="62">
        <v>2893400</v>
      </c>
      <c r="C45" s="63">
        <v>516900</v>
      </c>
      <c r="D45" s="64">
        <v>687100</v>
      </c>
      <c r="E45" s="219">
        <v>4097400</v>
      </c>
      <c r="F45" s="62">
        <v>160600</v>
      </c>
      <c r="G45" s="64">
        <v>124300</v>
      </c>
      <c r="H45" s="219">
        <v>4382200</v>
      </c>
    </row>
    <row r="46" spans="1:8">
      <c r="A46" s="27" t="s">
        <v>99</v>
      </c>
      <c r="B46" s="62">
        <v>2838900</v>
      </c>
      <c r="C46" s="63">
        <v>521200</v>
      </c>
      <c r="D46" s="64">
        <v>692400</v>
      </c>
      <c r="E46" s="219">
        <v>4052600</v>
      </c>
      <c r="F46" s="62">
        <v>166400</v>
      </c>
      <c r="G46" s="64">
        <v>115700</v>
      </c>
      <c r="H46" s="219">
        <v>4334600</v>
      </c>
    </row>
    <row r="47" spans="1:8">
      <c r="A47" s="80" t="s">
        <v>100</v>
      </c>
      <c r="B47" s="220">
        <v>2774900</v>
      </c>
      <c r="C47" s="221">
        <v>513600</v>
      </c>
      <c r="D47" s="222">
        <v>684400</v>
      </c>
      <c r="E47" s="223">
        <v>3972900</v>
      </c>
      <c r="F47" s="220">
        <v>175100</v>
      </c>
      <c r="G47" s="222">
        <v>134300</v>
      </c>
      <c r="H47" s="223">
        <v>4282200</v>
      </c>
    </row>
    <row r="48" spans="1:8">
      <c r="A48" s="27" t="s">
        <v>101</v>
      </c>
      <c r="B48" s="62">
        <v>2708900</v>
      </c>
      <c r="C48" s="63">
        <v>513900</v>
      </c>
      <c r="D48" s="64">
        <v>667400</v>
      </c>
      <c r="E48" s="219">
        <v>3890200</v>
      </c>
      <c r="F48" s="62">
        <v>183700</v>
      </c>
      <c r="G48" s="64">
        <v>148800</v>
      </c>
      <c r="H48" s="219">
        <v>4222700</v>
      </c>
    </row>
    <row r="49" spans="1:8">
      <c r="A49" s="27" t="s">
        <v>102</v>
      </c>
      <c r="B49" s="62">
        <v>2606100</v>
      </c>
      <c r="C49" s="63">
        <v>511500</v>
      </c>
      <c r="D49" s="64">
        <v>665100</v>
      </c>
      <c r="E49" s="219">
        <v>3782700</v>
      </c>
      <c r="F49" s="62">
        <v>187900</v>
      </c>
      <c r="G49" s="64">
        <v>160900</v>
      </c>
      <c r="H49" s="219">
        <v>4131500</v>
      </c>
    </row>
    <row r="50" spans="1:8">
      <c r="A50" s="27" t="s">
        <v>103</v>
      </c>
      <c r="B50" s="62">
        <v>2523800</v>
      </c>
      <c r="C50" s="63">
        <v>505900</v>
      </c>
      <c r="D50" s="64">
        <v>656900</v>
      </c>
      <c r="E50" s="219">
        <v>3686600</v>
      </c>
      <c r="F50" s="62">
        <v>184900</v>
      </c>
      <c r="G50" s="64">
        <v>181300</v>
      </c>
      <c r="H50" s="219">
        <v>4052800</v>
      </c>
    </row>
    <row r="51" spans="1:8">
      <c r="A51" s="80" t="s">
        <v>104</v>
      </c>
      <c r="B51" s="220">
        <v>2466300</v>
      </c>
      <c r="C51" s="221">
        <v>504600</v>
      </c>
      <c r="D51" s="222">
        <v>636000</v>
      </c>
      <c r="E51" s="223">
        <v>3606800</v>
      </c>
      <c r="F51" s="220">
        <v>184800</v>
      </c>
      <c r="G51" s="222">
        <v>200500</v>
      </c>
      <c r="H51" s="223">
        <v>3992100</v>
      </c>
    </row>
    <row r="52" spans="1:8">
      <c r="A52" s="27" t="s">
        <v>105</v>
      </c>
      <c r="B52" s="62">
        <v>2376400</v>
      </c>
      <c r="C52" s="63">
        <v>492000</v>
      </c>
      <c r="D52" s="64">
        <v>640800</v>
      </c>
      <c r="E52" s="219">
        <v>3509200</v>
      </c>
      <c r="F52" s="62">
        <v>183900</v>
      </c>
      <c r="G52" s="64">
        <v>218800</v>
      </c>
      <c r="H52" s="219">
        <v>3911900</v>
      </c>
    </row>
    <row r="53" spans="1:8">
      <c r="A53" s="27" t="s">
        <v>106</v>
      </c>
      <c r="B53" s="62">
        <v>2304200</v>
      </c>
      <c r="C53" s="63">
        <v>474300</v>
      </c>
      <c r="D53" s="64">
        <v>644400</v>
      </c>
      <c r="E53" s="219">
        <v>3422900</v>
      </c>
      <c r="F53" s="62">
        <v>183000</v>
      </c>
      <c r="G53" s="64">
        <v>234700</v>
      </c>
      <c r="H53" s="219">
        <v>3840600</v>
      </c>
    </row>
    <row r="54" spans="1:8">
      <c r="A54" s="27" t="s">
        <v>107</v>
      </c>
      <c r="B54" s="62">
        <v>2269300</v>
      </c>
      <c r="C54" s="63">
        <v>473500</v>
      </c>
      <c r="D54" s="64">
        <v>625500</v>
      </c>
      <c r="E54" s="219">
        <v>3368300</v>
      </c>
      <c r="F54" s="62">
        <v>181100</v>
      </c>
      <c r="G54" s="64">
        <v>243400</v>
      </c>
      <c r="H54" s="219">
        <v>3792900</v>
      </c>
    </row>
    <row r="55" spans="1:8">
      <c r="A55" s="80" t="s">
        <v>108</v>
      </c>
      <c r="B55" s="220">
        <v>2206200</v>
      </c>
      <c r="C55" s="221">
        <v>463400</v>
      </c>
      <c r="D55" s="222">
        <v>635000</v>
      </c>
      <c r="E55" s="223">
        <v>3304600</v>
      </c>
      <c r="F55" s="220">
        <v>177100</v>
      </c>
      <c r="G55" s="222">
        <v>244300</v>
      </c>
      <c r="H55" s="223">
        <v>3726000</v>
      </c>
    </row>
    <row r="56" spans="1:8">
      <c r="A56" s="27" t="s">
        <v>109</v>
      </c>
      <c r="B56" s="62">
        <v>2160200</v>
      </c>
      <c r="C56" s="63">
        <v>466200</v>
      </c>
      <c r="D56" s="64">
        <v>640700</v>
      </c>
      <c r="E56" s="219">
        <v>3267100</v>
      </c>
      <c r="F56" s="62">
        <v>177600</v>
      </c>
      <c r="G56" s="64">
        <v>241300</v>
      </c>
      <c r="H56" s="219">
        <v>3685900</v>
      </c>
    </row>
    <row r="57" spans="1:8">
      <c r="A57" s="27" t="s">
        <v>110</v>
      </c>
      <c r="B57" s="62">
        <v>2163500</v>
      </c>
      <c r="C57" s="63">
        <v>465200</v>
      </c>
      <c r="D57" s="64">
        <v>616500</v>
      </c>
      <c r="E57" s="219">
        <v>3245200</v>
      </c>
      <c r="F57" s="62">
        <v>177300</v>
      </c>
      <c r="G57" s="64">
        <v>239800</v>
      </c>
      <c r="H57" s="219">
        <v>3662200</v>
      </c>
    </row>
    <row r="58" spans="1:8">
      <c r="A58" s="27" t="s">
        <v>111</v>
      </c>
      <c r="B58" s="62">
        <v>2218400</v>
      </c>
      <c r="C58" s="63">
        <v>469600</v>
      </c>
      <c r="D58" s="64">
        <v>592600</v>
      </c>
      <c r="E58" s="219">
        <v>3280600</v>
      </c>
      <c r="F58" s="62">
        <v>180300</v>
      </c>
      <c r="G58" s="64">
        <v>234700</v>
      </c>
      <c r="H58" s="219">
        <v>3695600</v>
      </c>
    </row>
    <row r="59" spans="1:8">
      <c r="A59" s="80" t="s">
        <v>112</v>
      </c>
      <c r="B59" s="220">
        <v>2339400</v>
      </c>
      <c r="C59" s="221">
        <v>476600</v>
      </c>
      <c r="D59" s="222">
        <v>581400</v>
      </c>
      <c r="E59" s="223">
        <v>3397400</v>
      </c>
      <c r="F59" s="220">
        <v>181200</v>
      </c>
      <c r="G59" s="222">
        <v>236800</v>
      </c>
      <c r="H59" s="223">
        <v>3815400</v>
      </c>
    </row>
    <row r="60" spans="1:8">
      <c r="A60" s="27" t="s">
        <v>113</v>
      </c>
      <c r="B60" s="62">
        <v>2537600</v>
      </c>
      <c r="C60" s="63">
        <v>484900</v>
      </c>
      <c r="D60" s="64">
        <v>570400</v>
      </c>
      <c r="E60" s="219">
        <v>3592900</v>
      </c>
      <c r="F60" s="62">
        <v>195400</v>
      </c>
      <c r="G60" s="64">
        <v>239900</v>
      </c>
      <c r="H60" s="219">
        <v>4028100</v>
      </c>
    </row>
    <row r="61" spans="1:8">
      <c r="A61" s="27" t="s">
        <v>114</v>
      </c>
      <c r="B61" s="62">
        <v>2695800</v>
      </c>
      <c r="C61" s="63">
        <v>508800</v>
      </c>
      <c r="D61" s="64">
        <v>598900</v>
      </c>
      <c r="E61" s="219">
        <v>3803400</v>
      </c>
      <c r="F61" s="62">
        <v>216800</v>
      </c>
      <c r="G61" s="64">
        <v>248500</v>
      </c>
      <c r="H61" s="219">
        <v>4268600</v>
      </c>
    </row>
    <row r="62" spans="1:8">
      <c r="A62" s="27" t="s">
        <v>115</v>
      </c>
      <c r="B62" s="62">
        <v>2771500</v>
      </c>
      <c r="C62" s="63">
        <v>508100</v>
      </c>
      <c r="D62" s="64">
        <v>655700</v>
      </c>
      <c r="E62" s="219">
        <v>3935300</v>
      </c>
      <c r="F62" s="62">
        <v>234600</v>
      </c>
      <c r="G62" s="64">
        <v>263100</v>
      </c>
      <c r="H62" s="219">
        <v>4432900</v>
      </c>
    </row>
    <row r="63" spans="1:8">
      <c r="A63" s="80" t="s">
        <v>116</v>
      </c>
      <c r="B63" s="220">
        <v>2844400</v>
      </c>
      <c r="C63" s="221">
        <v>521900</v>
      </c>
      <c r="D63" s="222">
        <v>686400</v>
      </c>
      <c r="E63" s="223">
        <v>4052700</v>
      </c>
      <c r="F63" s="220">
        <v>234900</v>
      </c>
      <c r="G63" s="222">
        <v>293100</v>
      </c>
      <c r="H63" s="223">
        <v>4580600</v>
      </c>
    </row>
    <row r="64" spans="1:8">
      <c r="A64" s="27" t="s">
        <v>117</v>
      </c>
      <c r="B64" s="62">
        <v>2873200</v>
      </c>
      <c r="C64" s="63">
        <v>527500</v>
      </c>
      <c r="D64" s="64">
        <v>715400</v>
      </c>
      <c r="E64" s="219">
        <v>4116100</v>
      </c>
      <c r="F64" s="62">
        <v>256500</v>
      </c>
      <c r="G64" s="64">
        <v>313100</v>
      </c>
      <c r="H64" s="219">
        <v>4685600</v>
      </c>
    </row>
    <row r="65" spans="1:8">
      <c r="A65" s="27" t="s">
        <v>118</v>
      </c>
      <c r="B65" s="62">
        <v>2898800</v>
      </c>
      <c r="C65" s="63">
        <v>533100</v>
      </c>
      <c r="D65" s="64">
        <v>743700</v>
      </c>
      <c r="E65" s="219">
        <v>4175700</v>
      </c>
      <c r="F65" s="62">
        <v>270300</v>
      </c>
      <c r="G65" s="64">
        <v>349400</v>
      </c>
      <c r="H65" s="219">
        <v>4795300</v>
      </c>
    </row>
    <row r="66" spans="1:8">
      <c r="A66" s="27" t="s">
        <v>119</v>
      </c>
      <c r="B66" s="62">
        <v>2906900</v>
      </c>
      <c r="C66" s="63">
        <v>540500</v>
      </c>
      <c r="D66" s="64">
        <v>772800</v>
      </c>
      <c r="E66" s="219">
        <v>4220100</v>
      </c>
      <c r="F66" s="62">
        <v>264900</v>
      </c>
      <c r="G66" s="64">
        <v>375400</v>
      </c>
      <c r="H66" s="219">
        <v>4860500</v>
      </c>
    </row>
    <row r="67" spans="1:8">
      <c r="A67" s="80" t="s">
        <v>120</v>
      </c>
      <c r="B67" s="220">
        <v>2909000</v>
      </c>
      <c r="C67" s="221">
        <v>545300</v>
      </c>
      <c r="D67" s="222">
        <v>799800</v>
      </c>
      <c r="E67" s="223">
        <v>4254100</v>
      </c>
      <c r="F67" s="220">
        <v>251500</v>
      </c>
      <c r="G67" s="222">
        <v>370900</v>
      </c>
      <c r="H67" s="223">
        <v>4876500</v>
      </c>
    </row>
    <row r="68" spans="1:8">
      <c r="A68" s="27" t="s">
        <v>121</v>
      </c>
      <c r="B68" s="62">
        <v>2924300</v>
      </c>
      <c r="C68" s="63">
        <v>552400</v>
      </c>
      <c r="D68" s="64">
        <v>825300</v>
      </c>
      <c r="E68" s="219">
        <v>4302000</v>
      </c>
      <c r="F68" s="62">
        <v>246900</v>
      </c>
      <c r="G68" s="64">
        <v>364800</v>
      </c>
      <c r="H68" s="219">
        <v>4913700</v>
      </c>
    </row>
    <row r="69" spans="1:8">
      <c r="A69" s="27" t="s">
        <v>122</v>
      </c>
      <c r="B69" s="62">
        <v>2937600</v>
      </c>
      <c r="C69" s="63">
        <v>562300</v>
      </c>
      <c r="D69" s="64">
        <v>845600</v>
      </c>
      <c r="E69" s="219">
        <v>4345500</v>
      </c>
      <c r="F69" s="62">
        <v>242100</v>
      </c>
      <c r="G69" s="64">
        <v>366700</v>
      </c>
      <c r="H69" s="219">
        <v>4954200</v>
      </c>
    </row>
    <row r="70" spans="1:8">
      <c r="A70" s="27" t="s">
        <v>123</v>
      </c>
      <c r="B70" s="62">
        <v>2992900</v>
      </c>
      <c r="C70" s="63">
        <v>567300</v>
      </c>
      <c r="D70" s="64">
        <v>847400</v>
      </c>
      <c r="E70" s="219">
        <v>4407500</v>
      </c>
      <c r="F70" s="62">
        <v>239700</v>
      </c>
      <c r="G70" s="64">
        <v>363900</v>
      </c>
      <c r="H70" s="219">
        <v>5011100</v>
      </c>
    </row>
    <row r="71" spans="1:8">
      <c r="A71" s="80" t="s">
        <v>124</v>
      </c>
      <c r="B71" s="220">
        <v>3053300</v>
      </c>
      <c r="C71" s="221">
        <v>570800</v>
      </c>
      <c r="D71" s="222">
        <v>856300</v>
      </c>
      <c r="E71" s="223">
        <v>4480300</v>
      </c>
      <c r="F71" s="220">
        <v>236300</v>
      </c>
      <c r="G71" s="222">
        <v>371200</v>
      </c>
      <c r="H71" s="223">
        <v>5087800</v>
      </c>
    </row>
    <row r="72" spans="1:8">
      <c r="A72" s="27" t="s">
        <v>125</v>
      </c>
      <c r="B72" s="62">
        <v>3110200</v>
      </c>
      <c r="C72" s="63">
        <v>581200</v>
      </c>
      <c r="D72" s="64">
        <v>863800</v>
      </c>
      <c r="E72" s="219">
        <v>4555300</v>
      </c>
      <c r="F72" s="62">
        <v>244000</v>
      </c>
      <c r="G72" s="64">
        <v>383900</v>
      </c>
      <c r="H72" s="219">
        <v>5183200</v>
      </c>
    </row>
    <row r="73" spans="1:8">
      <c r="A73" s="27" t="s">
        <v>126</v>
      </c>
      <c r="B73" s="62">
        <v>3159800</v>
      </c>
      <c r="C73" s="63">
        <v>595400</v>
      </c>
      <c r="D73" s="64">
        <v>877300</v>
      </c>
      <c r="E73" s="219">
        <v>4632400</v>
      </c>
      <c r="F73" s="62">
        <v>250500</v>
      </c>
      <c r="G73" s="64">
        <v>382900</v>
      </c>
      <c r="H73" s="219">
        <v>5265700</v>
      </c>
    </row>
    <row r="74" spans="1:8">
      <c r="A74" s="27" t="s">
        <v>127</v>
      </c>
      <c r="B74" s="62">
        <v>3258300</v>
      </c>
      <c r="C74" s="63">
        <v>611300</v>
      </c>
      <c r="D74" s="64">
        <v>886800</v>
      </c>
      <c r="E74" s="219">
        <v>4756300</v>
      </c>
      <c r="F74" s="62">
        <v>252600</v>
      </c>
      <c r="G74" s="64">
        <v>375300</v>
      </c>
      <c r="H74" s="219">
        <v>5384200</v>
      </c>
    </row>
    <row r="75" spans="1:8">
      <c r="A75" s="80" t="s">
        <v>128</v>
      </c>
      <c r="B75" s="220">
        <v>3361600</v>
      </c>
      <c r="C75" s="221">
        <v>628000</v>
      </c>
      <c r="D75" s="222">
        <v>892900</v>
      </c>
      <c r="E75" s="223">
        <v>4882500</v>
      </c>
      <c r="F75" s="220">
        <v>263000</v>
      </c>
      <c r="G75" s="222">
        <v>369100</v>
      </c>
      <c r="H75" s="223">
        <v>5514600</v>
      </c>
    </row>
    <row r="76" spans="1:8">
      <c r="A76" s="27" t="s">
        <v>129</v>
      </c>
      <c r="B76" s="62">
        <v>3448500</v>
      </c>
      <c r="C76" s="63">
        <v>647100</v>
      </c>
      <c r="D76" s="64">
        <v>904300</v>
      </c>
      <c r="E76" s="219">
        <v>4999800</v>
      </c>
      <c r="F76" s="62">
        <v>264300</v>
      </c>
      <c r="G76" s="64">
        <v>364900</v>
      </c>
      <c r="H76" s="219">
        <v>5629100</v>
      </c>
    </row>
    <row r="77" spans="1:8">
      <c r="A77" s="27" t="s">
        <v>130</v>
      </c>
      <c r="B77" s="62">
        <v>3520600</v>
      </c>
      <c r="C77" s="63">
        <v>647900</v>
      </c>
      <c r="D77" s="64">
        <v>917900</v>
      </c>
      <c r="E77" s="219">
        <v>5086300</v>
      </c>
      <c r="F77" s="62">
        <v>273200</v>
      </c>
      <c r="G77" s="64">
        <v>367100</v>
      </c>
      <c r="H77" s="219">
        <v>5726700</v>
      </c>
    </row>
    <row r="78" spans="1:8">
      <c r="A78" s="27" t="s">
        <v>131</v>
      </c>
      <c r="B78" s="62">
        <v>3526700</v>
      </c>
      <c r="C78" s="63">
        <v>651900</v>
      </c>
      <c r="D78" s="64">
        <v>935300</v>
      </c>
      <c r="E78" s="219">
        <v>5113900</v>
      </c>
      <c r="F78" s="62">
        <v>269700</v>
      </c>
      <c r="G78" s="64">
        <v>371200</v>
      </c>
      <c r="H78" s="219">
        <v>5754700</v>
      </c>
    </row>
    <row r="79" spans="1:8">
      <c r="A79" s="80" t="s">
        <v>132</v>
      </c>
      <c r="B79" s="220">
        <v>3548800</v>
      </c>
      <c r="C79" s="221">
        <v>665700</v>
      </c>
      <c r="D79" s="222">
        <v>965400</v>
      </c>
      <c r="E79" s="223">
        <v>5180000</v>
      </c>
      <c r="F79" s="220">
        <v>281000</v>
      </c>
      <c r="G79" s="222">
        <v>392900</v>
      </c>
      <c r="H79" s="223">
        <v>5853900</v>
      </c>
    </row>
    <row r="80" spans="1:8">
      <c r="A80" s="27" t="s">
        <v>133</v>
      </c>
      <c r="B80" s="62">
        <v>3599100</v>
      </c>
      <c r="C80" s="63">
        <v>669000</v>
      </c>
      <c r="D80" s="64">
        <v>972600</v>
      </c>
      <c r="E80" s="219">
        <v>5240700</v>
      </c>
      <c r="F80" s="62">
        <v>284500</v>
      </c>
      <c r="G80" s="64">
        <v>410200</v>
      </c>
      <c r="H80" s="219">
        <v>5935400</v>
      </c>
    </row>
    <row r="81" spans="1:8">
      <c r="A81" s="27" t="s">
        <v>134</v>
      </c>
      <c r="B81" s="62">
        <v>3646200</v>
      </c>
      <c r="C81" s="63">
        <v>676900</v>
      </c>
      <c r="D81" s="64">
        <v>992800</v>
      </c>
      <c r="E81" s="219">
        <v>5315800</v>
      </c>
      <c r="F81" s="62">
        <v>286700</v>
      </c>
      <c r="G81" s="64">
        <v>417000</v>
      </c>
      <c r="H81" s="219">
        <v>6019500</v>
      </c>
    </row>
    <row r="82" spans="1:8">
      <c r="A82" s="27" t="s">
        <v>135</v>
      </c>
      <c r="B82" s="62">
        <v>3679600</v>
      </c>
      <c r="C82" s="63">
        <v>679600</v>
      </c>
      <c r="D82" s="64">
        <v>1022000</v>
      </c>
      <c r="E82" s="219">
        <v>5381300</v>
      </c>
      <c r="F82" s="62">
        <v>282700</v>
      </c>
      <c r="G82" s="64">
        <v>412800</v>
      </c>
      <c r="H82" s="219">
        <v>6076900</v>
      </c>
    </row>
    <row r="83" spans="1:8">
      <c r="A83" s="80" t="s">
        <v>136</v>
      </c>
      <c r="B83" s="220">
        <v>3734500</v>
      </c>
      <c r="C83" s="221">
        <v>691700</v>
      </c>
      <c r="D83" s="222">
        <v>1053600</v>
      </c>
      <c r="E83" s="223">
        <v>5479700</v>
      </c>
      <c r="F83" s="220">
        <v>282300</v>
      </c>
      <c r="G83" s="222">
        <v>405000</v>
      </c>
      <c r="H83" s="223">
        <v>6167000</v>
      </c>
    </row>
    <row r="84" spans="1:8">
      <c r="A84" s="27" t="s">
        <v>137</v>
      </c>
      <c r="B84" s="62">
        <v>3766300</v>
      </c>
      <c r="C84" s="63">
        <v>704000</v>
      </c>
      <c r="D84" s="64">
        <v>1101200</v>
      </c>
      <c r="E84" s="219">
        <v>5571600</v>
      </c>
      <c r="F84" s="62">
        <v>284500</v>
      </c>
      <c r="G84" s="64">
        <v>401400</v>
      </c>
      <c r="H84" s="219">
        <v>6257500</v>
      </c>
    </row>
    <row r="85" spans="1:8">
      <c r="A85" s="27" t="s">
        <v>138</v>
      </c>
      <c r="B85" s="62">
        <v>3816400</v>
      </c>
      <c r="C85" s="63">
        <v>719500</v>
      </c>
      <c r="D85" s="64">
        <v>1156500</v>
      </c>
      <c r="E85" s="219">
        <v>5692400</v>
      </c>
      <c r="F85" s="62">
        <v>287300</v>
      </c>
      <c r="G85" s="64">
        <v>408700</v>
      </c>
      <c r="H85" s="219">
        <v>6388400</v>
      </c>
    </row>
    <row r="86" spans="1:8">
      <c r="A86" s="27" t="s">
        <v>139</v>
      </c>
      <c r="B86" s="62">
        <v>3807500</v>
      </c>
      <c r="C86" s="63">
        <v>722100</v>
      </c>
      <c r="D86" s="64">
        <v>1177000</v>
      </c>
      <c r="E86" s="219">
        <v>5706600</v>
      </c>
      <c r="F86" s="62">
        <v>287600</v>
      </c>
      <c r="G86" s="64">
        <v>425200</v>
      </c>
      <c r="H86" s="219">
        <v>6419400</v>
      </c>
    </row>
    <row r="87" spans="1:8">
      <c r="A87" s="80" t="s">
        <v>140</v>
      </c>
      <c r="B87" s="220">
        <v>3835800</v>
      </c>
      <c r="C87" s="221">
        <v>731500</v>
      </c>
      <c r="D87" s="222">
        <v>1186300</v>
      </c>
      <c r="E87" s="223">
        <v>5753700</v>
      </c>
      <c r="F87" s="220">
        <v>280200</v>
      </c>
      <c r="G87" s="222">
        <v>439400</v>
      </c>
      <c r="H87" s="223">
        <v>6473200</v>
      </c>
    </row>
    <row r="88" spans="1:8">
      <c r="A88" s="27" t="s">
        <v>141</v>
      </c>
      <c r="B88" s="62">
        <v>3824300</v>
      </c>
      <c r="C88" s="63">
        <v>734900</v>
      </c>
      <c r="D88" s="64">
        <v>1209200</v>
      </c>
      <c r="E88" s="219">
        <v>5768400</v>
      </c>
      <c r="F88" s="62">
        <v>280800</v>
      </c>
      <c r="G88" s="64">
        <v>446900</v>
      </c>
      <c r="H88" s="219">
        <v>6496100</v>
      </c>
    </row>
    <row r="89" spans="1:8">
      <c r="A89" s="27" t="s">
        <v>142</v>
      </c>
      <c r="B89" s="62">
        <v>3779400</v>
      </c>
      <c r="C89" s="63">
        <v>742300</v>
      </c>
      <c r="D89" s="64">
        <v>1210500</v>
      </c>
      <c r="E89" s="219">
        <v>5732100</v>
      </c>
      <c r="F89" s="62">
        <v>304800</v>
      </c>
      <c r="G89" s="64">
        <v>452400</v>
      </c>
      <c r="H89" s="219">
        <v>6489400</v>
      </c>
    </row>
    <row r="90" spans="1:8">
      <c r="A90" s="27" t="s">
        <v>143</v>
      </c>
      <c r="B90" s="62">
        <v>3756800</v>
      </c>
      <c r="C90" s="63">
        <v>740600</v>
      </c>
      <c r="D90" s="64">
        <v>1261900</v>
      </c>
      <c r="E90" s="219">
        <v>5759400</v>
      </c>
      <c r="F90" s="62">
        <v>325700</v>
      </c>
      <c r="G90" s="64">
        <v>452500</v>
      </c>
      <c r="H90" s="219">
        <v>6537600</v>
      </c>
    </row>
    <row r="91" spans="1:8">
      <c r="A91" s="80" t="s">
        <v>144</v>
      </c>
      <c r="B91" s="220">
        <v>3726300</v>
      </c>
      <c r="C91" s="221">
        <v>744000</v>
      </c>
      <c r="D91" s="222">
        <v>1302200</v>
      </c>
      <c r="E91" s="223">
        <v>5772500</v>
      </c>
      <c r="F91" s="220">
        <v>335700</v>
      </c>
      <c r="G91" s="222">
        <v>446200</v>
      </c>
      <c r="H91" s="223">
        <v>6554500</v>
      </c>
    </row>
    <row r="92" spans="1:8">
      <c r="A92" s="27" t="s">
        <v>145</v>
      </c>
      <c r="B92" s="62">
        <v>3749900</v>
      </c>
      <c r="C92" s="63">
        <v>739200</v>
      </c>
      <c r="D92" s="64">
        <v>1327700</v>
      </c>
      <c r="E92" s="219">
        <v>5816800</v>
      </c>
      <c r="F92" s="62">
        <v>331300</v>
      </c>
      <c r="G92" s="64">
        <v>441400</v>
      </c>
      <c r="H92" s="219">
        <v>6589400</v>
      </c>
    </row>
    <row r="93" spans="1:8">
      <c r="A93" s="27" t="s">
        <v>146</v>
      </c>
      <c r="B93" s="62">
        <v>3744200</v>
      </c>
      <c r="C93" s="63">
        <v>750100</v>
      </c>
      <c r="D93" s="64">
        <v>1363300</v>
      </c>
      <c r="E93" s="219">
        <v>5857600</v>
      </c>
      <c r="F93" s="62">
        <v>319400</v>
      </c>
      <c r="G93" s="64">
        <v>443400</v>
      </c>
      <c r="H93" s="219">
        <v>6620400</v>
      </c>
    </row>
    <row r="94" spans="1:8">
      <c r="A94" s="27" t="s">
        <v>147</v>
      </c>
      <c r="B94" s="62">
        <v>3742700</v>
      </c>
      <c r="C94" s="63">
        <v>764600</v>
      </c>
      <c r="D94" s="64">
        <v>1396000</v>
      </c>
      <c r="E94" s="219">
        <v>5903300</v>
      </c>
      <c r="F94" s="62">
        <v>288400</v>
      </c>
      <c r="G94" s="64">
        <v>436900</v>
      </c>
      <c r="H94" s="219">
        <v>6628700</v>
      </c>
    </row>
    <row r="95" spans="1:8">
      <c r="A95" s="80" t="s">
        <v>148</v>
      </c>
      <c r="B95" s="220">
        <v>3728200</v>
      </c>
      <c r="C95" s="221">
        <v>771400</v>
      </c>
      <c r="D95" s="222">
        <v>1434300</v>
      </c>
      <c r="E95" s="223">
        <v>5933900</v>
      </c>
      <c r="F95" s="220">
        <v>273900</v>
      </c>
      <c r="G95" s="222">
        <v>410700</v>
      </c>
      <c r="H95" s="223">
        <v>6618500</v>
      </c>
    </row>
    <row r="96" spans="1:8">
      <c r="A96" s="27" t="s">
        <v>149</v>
      </c>
      <c r="B96" s="62">
        <v>3709700</v>
      </c>
      <c r="C96" s="63">
        <v>782900</v>
      </c>
      <c r="D96" s="64">
        <v>1450100</v>
      </c>
      <c r="E96" s="219">
        <v>5942800</v>
      </c>
      <c r="F96" s="62">
        <v>273900</v>
      </c>
      <c r="G96" s="64">
        <v>388800</v>
      </c>
      <c r="H96" s="219">
        <v>6605500</v>
      </c>
    </row>
    <row r="97" spans="1:8">
      <c r="A97" s="27" t="s">
        <v>150</v>
      </c>
      <c r="B97" s="62">
        <v>3703800</v>
      </c>
      <c r="C97" s="63">
        <v>781400</v>
      </c>
      <c r="D97" s="64">
        <v>1457400</v>
      </c>
      <c r="E97" s="219">
        <v>5942600</v>
      </c>
      <c r="F97" s="62">
        <v>272400</v>
      </c>
      <c r="G97" s="64">
        <v>374300</v>
      </c>
      <c r="H97" s="219">
        <v>6589300</v>
      </c>
    </row>
    <row r="98" spans="1:8">
      <c r="A98" s="27" t="s">
        <v>151</v>
      </c>
      <c r="B98" s="62">
        <v>3698200</v>
      </c>
      <c r="C98" s="63">
        <v>781200</v>
      </c>
      <c r="D98" s="64">
        <v>1456500</v>
      </c>
      <c r="E98" s="219">
        <v>5935800</v>
      </c>
      <c r="F98" s="62">
        <v>272400</v>
      </c>
      <c r="G98" s="64">
        <v>366400</v>
      </c>
      <c r="H98" s="219">
        <v>6574600</v>
      </c>
    </row>
    <row r="99" spans="1:8">
      <c r="A99" s="80" t="s">
        <v>152</v>
      </c>
      <c r="B99" s="220">
        <v>3682700</v>
      </c>
      <c r="C99" s="221">
        <v>779100</v>
      </c>
      <c r="D99" s="222">
        <v>1468100</v>
      </c>
      <c r="E99" s="223">
        <v>5930000</v>
      </c>
      <c r="F99" s="220">
        <v>280500</v>
      </c>
      <c r="G99" s="222">
        <v>360300</v>
      </c>
      <c r="H99" s="223">
        <v>6570800</v>
      </c>
    </row>
    <row r="100" spans="1:8">
      <c r="A100" s="27" t="s">
        <v>153</v>
      </c>
      <c r="B100" s="62">
        <v>3658600</v>
      </c>
      <c r="C100" s="63">
        <v>783200</v>
      </c>
      <c r="D100" s="64">
        <v>1482800</v>
      </c>
      <c r="E100" s="219">
        <v>5924600</v>
      </c>
      <c r="F100" s="62">
        <v>288700</v>
      </c>
      <c r="G100" s="64">
        <v>359800</v>
      </c>
      <c r="H100" s="219">
        <v>6573000</v>
      </c>
    </row>
    <row r="101" spans="1:8">
      <c r="A101" s="27" t="s">
        <v>154</v>
      </c>
      <c r="B101" s="62">
        <v>3624400</v>
      </c>
      <c r="C101" s="63">
        <v>769100</v>
      </c>
      <c r="D101" s="64">
        <v>1486000</v>
      </c>
      <c r="E101" s="219">
        <v>5879500</v>
      </c>
      <c r="F101" s="62">
        <v>295400</v>
      </c>
      <c r="G101" s="64">
        <v>370700</v>
      </c>
      <c r="H101" s="219">
        <v>6545500</v>
      </c>
    </row>
    <row r="102" spans="1:8">
      <c r="A102" s="27" t="s">
        <v>155</v>
      </c>
      <c r="B102" s="62">
        <v>3604800</v>
      </c>
      <c r="C102" s="63">
        <v>757900</v>
      </c>
      <c r="D102" s="64">
        <v>1451400</v>
      </c>
      <c r="E102" s="219">
        <v>5814200</v>
      </c>
      <c r="F102" s="62">
        <v>302000</v>
      </c>
      <c r="G102" s="64">
        <v>374700</v>
      </c>
      <c r="H102" s="219">
        <v>6490800</v>
      </c>
    </row>
    <row r="103" spans="1:8">
      <c r="A103" s="80" t="s">
        <v>156</v>
      </c>
      <c r="B103" s="220">
        <v>3565000</v>
      </c>
      <c r="C103" s="221">
        <v>747100</v>
      </c>
      <c r="D103" s="222">
        <v>1448000</v>
      </c>
      <c r="E103" s="223">
        <v>5760100</v>
      </c>
      <c r="F103" s="220">
        <v>305200</v>
      </c>
      <c r="G103" s="222">
        <v>369400</v>
      </c>
      <c r="H103" s="223">
        <v>6434700</v>
      </c>
    </row>
    <row r="104" spans="1:8">
      <c r="A104" s="27" t="s">
        <v>157</v>
      </c>
      <c r="B104" s="62">
        <v>3581900</v>
      </c>
      <c r="C104" s="63">
        <v>800800</v>
      </c>
      <c r="D104" s="64">
        <v>1373000</v>
      </c>
      <c r="E104" s="219">
        <v>5755600</v>
      </c>
      <c r="F104" s="62">
        <v>308000</v>
      </c>
      <c r="G104" s="64">
        <v>363200</v>
      </c>
      <c r="H104" s="219">
        <v>6426800</v>
      </c>
    </row>
    <row r="105" spans="1:8">
      <c r="A105" s="27" t="s">
        <v>158</v>
      </c>
      <c r="B105" s="62">
        <v>4391800</v>
      </c>
      <c r="C105" s="63">
        <v>670700</v>
      </c>
      <c r="D105" s="64">
        <v>1044700</v>
      </c>
      <c r="E105" s="219">
        <v>6107200</v>
      </c>
      <c r="F105" s="62">
        <v>300600</v>
      </c>
      <c r="G105" s="64">
        <v>341500</v>
      </c>
      <c r="H105" s="219">
        <v>6749300</v>
      </c>
    </row>
    <row r="106" spans="1:8">
      <c r="A106" s="27" t="s">
        <v>159</v>
      </c>
      <c r="B106" s="62">
        <v>3917100</v>
      </c>
      <c r="C106" s="63">
        <v>730700</v>
      </c>
      <c r="D106" s="64">
        <v>1418000</v>
      </c>
      <c r="E106" s="219">
        <v>6065800</v>
      </c>
      <c r="F106" s="62">
        <v>313500</v>
      </c>
      <c r="G106" s="64">
        <v>328100</v>
      </c>
      <c r="H106" s="219">
        <v>6707300</v>
      </c>
    </row>
    <row r="107" spans="1:8">
      <c r="A107" s="80" t="s">
        <v>160</v>
      </c>
      <c r="B107" s="220">
        <v>3836500</v>
      </c>
      <c r="C107" s="221">
        <v>735600</v>
      </c>
      <c r="D107" s="222">
        <v>1453000</v>
      </c>
      <c r="E107" s="223">
        <v>6025100</v>
      </c>
      <c r="F107" s="220">
        <v>346400</v>
      </c>
      <c r="G107" s="222">
        <v>334700</v>
      </c>
      <c r="H107" s="223">
        <v>6706100</v>
      </c>
    </row>
    <row r="108" spans="1:8">
      <c r="A108" s="27" t="s">
        <v>161</v>
      </c>
      <c r="B108" s="62">
        <v>3805200</v>
      </c>
      <c r="C108" s="63">
        <v>741900</v>
      </c>
      <c r="D108" s="64">
        <v>1479700</v>
      </c>
      <c r="E108" s="219">
        <v>6026800</v>
      </c>
      <c r="F108" s="62">
        <v>367500</v>
      </c>
      <c r="G108" s="64">
        <v>342500</v>
      </c>
      <c r="H108" s="219">
        <v>6736900</v>
      </c>
    </row>
    <row r="109" spans="1:8">
      <c r="A109" s="27" t="s">
        <v>162</v>
      </c>
      <c r="B109" s="62">
        <v>3728100</v>
      </c>
      <c r="C109" s="63">
        <v>765700</v>
      </c>
      <c r="D109" s="64">
        <v>1481900</v>
      </c>
      <c r="E109" s="219">
        <v>5975700</v>
      </c>
      <c r="F109" s="62">
        <v>381600</v>
      </c>
      <c r="G109" s="64">
        <v>362100</v>
      </c>
      <c r="H109" s="219">
        <v>6719300</v>
      </c>
    </row>
    <row r="110" spans="1:8">
      <c r="A110" s="27" t="s">
        <v>163</v>
      </c>
      <c r="B110" s="62">
        <v>3534500</v>
      </c>
      <c r="C110" s="63">
        <v>754100</v>
      </c>
      <c r="D110" s="64">
        <v>1557100</v>
      </c>
      <c r="E110" s="219">
        <v>5845800</v>
      </c>
      <c r="F110" s="62">
        <v>384600</v>
      </c>
      <c r="G110" s="64">
        <v>372400</v>
      </c>
      <c r="H110" s="219">
        <v>6602700</v>
      </c>
    </row>
    <row r="111" spans="1:8">
      <c r="A111" s="80" t="s">
        <v>164</v>
      </c>
      <c r="B111" s="220">
        <v>3364800</v>
      </c>
      <c r="C111" s="221">
        <v>740300</v>
      </c>
      <c r="D111" s="222">
        <v>1572900</v>
      </c>
      <c r="E111" s="223">
        <v>5678000</v>
      </c>
      <c r="F111" s="220">
        <v>367800</v>
      </c>
      <c r="G111" s="222">
        <v>376800</v>
      </c>
      <c r="H111" s="223">
        <v>6422600</v>
      </c>
    </row>
    <row r="112" spans="1:8">
      <c r="A112" s="27" t="s">
        <v>165</v>
      </c>
      <c r="B112" s="62">
        <v>3210300</v>
      </c>
      <c r="C112" s="63">
        <v>761900</v>
      </c>
      <c r="D112" s="64">
        <v>1561000</v>
      </c>
      <c r="E112" s="219">
        <v>5533200</v>
      </c>
      <c r="F112" s="62">
        <v>364800</v>
      </c>
      <c r="G112" s="64">
        <v>386600</v>
      </c>
      <c r="H112" s="219">
        <v>6284500</v>
      </c>
    </row>
    <row r="113" spans="1:8">
      <c r="A113" s="27" t="s">
        <v>166</v>
      </c>
      <c r="B113" s="62">
        <v>3164900</v>
      </c>
      <c r="C113" s="63">
        <v>751300</v>
      </c>
      <c r="D113" s="64">
        <v>1534000</v>
      </c>
      <c r="E113" s="219">
        <v>5450200</v>
      </c>
      <c r="F113" s="62">
        <v>364300</v>
      </c>
      <c r="G113" s="64">
        <v>385800</v>
      </c>
      <c r="H113" s="219">
        <v>6200300</v>
      </c>
    </row>
    <row r="114" spans="1:8">
      <c r="A114" s="27" t="s">
        <v>167</v>
      </c>
      <c r="B114" s="62">
        <v>3147700</v>
      </c>
      <c r="C114" s="63">
        <v>772900</v>
      </c>
      <c r="D114" s="64">
        <v>1512100</v>
      </c>
      <c r="E114" s="219">
        <v>5432700</v>
      </c>
      <c r="F114" s="62">
        <v>365800</v>
      </c>
      <c r="G114" s="64">
        <v>384100</v>
      </c>
      <c r="H114" s="219">
        <v>6182600</v>
      </c>
    </row>
    <row r="115" spans="1:8">
      <c r="A115" s="80" t="s">
        <v>168</v>
      </c>
      <c r="B115" s="220">
        <v>3049900</v>
      </c>
      <c r="C115" s="221">
        <v>806200</v>
      </c>
      <c r="D115" s="222">
        <v>1526600</v>
      </c>
      <c r="E115" s="223">
        <v>5382600</v>
      </c>
      <c r="F115" s="220">
        <v>360500</v>
      </c>
      <c r="G115" s="222">
        <v>379400</v>
      </c>
      <c r="H115" s="223">
        <v>6122500</v>
      </c>
    </row>
    <row r="116" spans="1:8">
      <c r="A116" s="27" t="s">
        <v>169</v>
      </c>
      <c r="B116" s="62">
        <v>3021700</v>
      </c>
      <c r="C116" s="63">
        <v>809000</v>
      </c>
      <c r="D116" s="64">
        <v>1532600</v>
      </c>
      <c r="E116" s="219">
        <v>5363300</v>
      </c>
      <c r="F116" s="62">
        <v>363600</v>
      </c>
      <c r="G116" s="64">
        <v>379100</v>
      </c>
      <c r="H116" s="219">
        <v>6106000</v>
      </c>
    </row>
    <row r="117" spans="1:8">
      <c r="A117" s="27" t="s">
        <v>170</v>
      </c>
      <c r="B117" s="62">
        <v>3008300</v>
      </c>
      <c r="C117" s="63">
        <v>810700</v>
      </c>
      <c r="D117" s="64">
        <v>1528900</v>
      </c>
      <c r="E117" s="219">
        <v>5347900</v>
      </c>
      <c r="F117" s="62">
        <v>367400</v>
      </c>
      <c r="G117" s="64">
        <v>386700</v>
      </c>
      <c r="H117" s="219">
        <v>6102000</v>
      </c>
    </row>
    <row r="118" spans="1:8">
      <c r="A118" s="27" t="s">
        <v>171</v>
      </c>
      <c r="B118" s="62">
        <v>3029400</v>
      </c>
      <c r="C118" s="63">
        <v>823400</v>
      </c>
      <c r="D118" s="64">
        <v>1512200</v>
      </c>
      <c r="E118" s="219">
        <v>5365000</v>
      </c>
      <c r="F118" s="62">
        <v>367000</v>
      </c>
      <c r="G118" s="64">
        <v>390900</v>
      </c>
      <c r="H118" s="219">
        <v>6122900</v>
      </c>
    </row>
    <row r="119" spans="1:8">
      <c r="A119" s="80" t="s">
        <v>172</v>
      </c>
      <c r="B119" s="220">
        <v>3030200</v>
      </c>
      <c r="C119" s="221">
        <v>838100</v>
      </c>
      <c r="D119" s="222">
        <v>1526800</v>
      </c>
      <c r="E119" s="223">
        <v>5395100</v>
      </c>
      <c r="F119" s="220">
        <v>364100</v>
      </c>
      <c r="G119" s="222">
        <v>398800</v>
      </c>
      <c r="H119" s="223">
        <v>6158000</v>
      </c>
    </row>
    <row r="120" spans="1:8">
      <c r="A120" s="27" t="s">
        <v>173</v>
      </c>
      <c r="B120" s="62">
        <v>3022100</v>
      </c>
      <c r="C120" s="63">
        <v>845900</v>
      </c>
      <c r="D120" s="64">
        <v>1524000</v>
      </c>
      <c r="E120" s="219">
        <v>5392000</v>
      </c>
      <c r="F120" s="62">
        <v>356900</v>
      </c>
      <c r="G120" s="64">
        <v>403600</v>
      </c>
      <c r="H120" s="219">
        <v>6152500</v>
      </c>
    </row>
    <row r="121" spans="1:8">
      <c r="A121" s="27" t="s">
        <v>174</v>
      </c>
      <c r="B121" s="62">
        <v>3014200</v>
      </c>
      <c r="C121" s="63">
        <v>849100</v>
      </c>
      <c r="D121" s="64">
        <v>1526500</v>
      </c>
      <c r="E121" s="219">
        <v>5389800</v>
      </c>
      <c r="F121" s="62">
        <v>352600</v>
      </c>
      <c r="G121" s="64">
        <v>403000</v>
      </c>
      <c r="H121" s="219">
        <v>6145300</v>
      </c>
    </row>
    <row r="122" spans="1:8">
      <c r="A122" s="27" t="s">
        <v>175</v>
      </c>
      <c r="B122" s="62">
        <v>3032800</v>
      </c>
      <c r="C122" s="63">
        <v>855600</v>
      </c>
      <c r="D122" s="64">
        <v>1524000</v>
      </c>
      <c r="E122" s="219">
        <v>5412400</v>
      </c>
      <c r="F122" s="62">
        <v>354100</v>
      </c>
      <c r="G122" s="64">
        <v>408100</v>
      </c>
      <c r="H122" s="219">
        <v>6174500</v>
      </c>
    </row>
    <row r="123" spans="1:8">
      <c r="A123" s="80" t="s">
        <v>176</v>
      </c>
      <c r="B123" s="220">
        <v>3135000</v>
      </c>
      <c r="C123" s="221">
        <v>833700</v>
      </c>
      <c r="D123" s="222">
        <v>1523000</v>
      </c>
      <c r="E123" s="223">
        <v>5491700</v>
      </c>
      <c r="F123" s="220">
        <v>348900</v>
      </c>
      <c r="G123" s="222">
        <v>410700</v>
      </c>
      <c r="H123" s="223">
        <v>6251200</v>
      </c>
    </row>
    <row r="124" spans="1:8">
      <c r="A124" s="27" t="s">
        <v>177</v>
      </c>
      <c r="B124" s="62">
        <v>3408100</v>
      </c>
      <c r="C124" s="63">
        <v>813300</v>
      </c>
      <c r="D124" s="64">
        <v>1516700</v>
      </c>
      <c r="E124" s="219">
        <v>5738100</v>
      </c>
      <c r="F124" s="62">
        <v>352600</v>
      </c>
      <c r="G124" s="64">
        <v>404000</v>
      </c>
      <c r="H124" s="219">
        <v>6494600</v>
      </c>
    </row>
    <row r="125" spans="1:8">
      <c r="A125" s="27" t="s">
        <v>178</v>
      </c>
      <c r="B125" s="62">
        <v>3212400</v>
      </c>
      <c r="C125" s="63">
        <v>840000</v>
      </c>
      <c r="D125" s="64">
        <v>1559700</v>
      </c>
      <c r="E125" s="219">
        <v>5612100</v>
      </c>
      <c r="F125" s="62">
        <v>348500</v>
      </c>
      <c r="G125" s="64">
        <v>392700</v>
      </c>
      <c r="H125" s="219">
        <v>6353400</v>
      </c>
    </row>
    <row r="126" spans="1:8">
      <c r="A126" s="117"/>
      <c r="B126" s="62"/>
      <c r="C126" s="63"/>
      <c r="D126" s="64"/>
      <c r="E126" s="219"/>
      <c r="F126" s="62"/>
      <c r="G126" s="64"/>
      <c r="H126" s="219"/>
    </row>
    <row r="127" spans="1:8">
      <c r="A127" s="118"/>
      <c r="B127" s="224"/>
      <c r="C127" s="225"/>
      <c r="D127" s="226"/>
      <c r="E127" s="227"/>
      <c r="F127" s="224"/>
      <c r="G127" s="226"/>
      <c r="H127" s="227"/>
    </row>
    <row r="128" spans="1:8">
      <c r="A128" s="117"/>
      <c r="B128" s="62"/>
      <c r="C128" s="63"/>
      <c r="D128" s="64"/>
      <c r="E128" s="219"/>
      <c r="F128" s="62"/>
      <c r="G128" s="64"/>
      <c r="H128" s="219"/>
    </row>
    <row r="129" spans="1:8">
      <c r="A129" s="117"/>
      <c r="B129" s="62"/>
      <c r="C129" s="63"/>
      <c r="D129" s="64"/>
      <c r="E129" s="219"/>
      <c r="F129" s="62"/>
      <c r="G129" s="64"/>
      <c r="H129" s="219"/>
    </row>
    <row r="130" spans="1:8">
      <c r="A130" s="117"/>
      <c r="B130" s="62"/>
      <c r="C130" s="63"/>
      <c r="D130" s="64"/>
      <c r="E130" s="219"/>
      <c r="F130" s="62"/>
      <c r="G130" s="64"/>
      <c r="H130" s="219"/>
    </row>
    <row r="131" spans="1:8">
      <c r="A131" s="117"/>
      <c r="B131" s="62"/>
      <c r="C131" s="63"/>
      <c r="D131" s="64"/>
      <c r="E131" s="219"/>
      <c r="F131" s="62"/>
      <c r="G131" s="64"/>
      <c r="H131" s="219"/>
    </row>
    <row r="132" spans="1:8">
      <c r="A132" s="117"/>
      <c r="B132" s="62"/>
      <c r="C132" s="63"/>
      <c r="D132" s="64"/>
      <c r="E132" s="219"/>
      <c r="F132" s="62"/>
      <c r="G132" s="64"/>
      <c r="H132" s="219"/>
    </row>
    <row r="133" spans="1:8">
      <c r="A133" s="117"/>
      <c r="B133" s="62"/>
      <c r="C133" s="63"/>
      <c r="D133" s="64"/>
      <c r="E133" s="219"/>
      <c r="F133" s="62"/>
      <c r="G133" s="64"/>
      <c r="H133" s="219"/>
    </row>
    <row r="134" spans="1:8">
      <c r="A134" s="117"/>
      <c r="B134" s="62"/>
      <c r="C134" s="63"/>
      <c r="D134" s="64"/>
      <c r="E134" s="219"/>
      <c r="F134" s="62"/>
      <c r="G134" s="64"/>
      <c r="H134" s="219"/>
    </row>
    <row r="135" spans="1:8">
      <c r="A135" s="117"/>
      <c r="B135" s="62"/>
      <c r="C135" s="63"/>
      <c r="D135" s="64"/>
      <c r="E135" s="219"/>
      <c r="F135" s="62"/>
      <c r="G135" s="64"/>
      <c r="H135" s="219"/>
    </row>
    <row r="136" spans="1:8">
      <c r="A136" s="117"/>
      <c r="B136" s="62"/>
      <c r="C136" s="63"/>
      <c r="D136" s="64"/>
      <c r="E136" s="219"/>
      <c r="F136" s="62"/>
      <c r="G136" s="64"/>
      <c r="H136" s="219"/>
    </row>
    <row r="137" spans="1:8">
      <c r="A137" s="117"/>
      <c r="B137" s="62"/>
      <c r="C137" s="63"/>
      <c r="D137" s="64"/>
      <c r="E137" s="219"/>
      <c r="F137" s="62"/>
      <c r="G137" s="64"/>
      <c r="H137" s="219"/>
    </row>
    <row r="138" spans="1:8">
      <c r="A138" s="117"/>
      <c r="B138" s="62"/>
      <c r="C138" s="63"/>
      <c r="D138" s="64"/>
      <c r="E138" s="219"/>
      <c r="F138" s="62"/>
      <c r="G138" s="64"/>
      <c r="H138" s="219"/>
    </row>
    <row r="139" spans="1:8">
      <c r="A139" s="118"/>
      <c r="B139" s="224"/>
      <c r="C139" s="225"/>
      <c r="D139" s="226"/>
      <c r="E139" s="227"/>
      <c r="F139" s="224"/>
      <c r="G139" s="226"/>
      <c r="H139" s="227"/>
    </row>
    <row r="140" spans="1:8">
      <c r="A140" s="117"/>
      <c r="B140" s="62"/>
      <c r="C140" s="63"/>
      <c r="D140" s="64"/>
      <c r="E140" s="219"/>
      <c r="F140" s="62"/>
      <c r="G140" s="64"/>
      <c r="H140" s="219"/>
    </row>
    <row r="141" spans="1:8">
      <c r="A141" s="117"/>
      <c r="B141" s="62"/>
      <c r="C141" s="63"/>
      <c r="D141" s="64"/>
      <c r="E141" s="219"/>
      <c r="F141" s="62"/>
      <c r="G141" s="64"/>
      <c r="H141" s="219"/>
    </row>
    <row r="142" spans="1:8">
      <c r="A142" s="117"/>
      <c r="B142" s="62"/>
      <c r="C142" s="63"/>
      <c r="D142" s="64"/>
      <c r="E142" s="219"/>
      <c r="F142" s="62"/>
      <c r="G142" s="64"/>
      <c r="H142" s="219"/>
    </row>
    <row r="143" spans="1:8">
      <c r="A143" s="117"/>
      <c r="B143" s="62"/>
      <c r="C143" s="63"/>
      <c r="D143" s="64"/>
      <c r="E143" s="219"/>
      <c r="F143" s="62"/>
      <c r="G143" s="64"/>
      <c r="H143" s="219"/>
    </row>
    <row r="144" spans="1:8">
      <c r="A144" s="117"/>
      <c r="B144" s="62"/>
      <c r="C144" s="63"/>
      <c r="D144" s="64"/>
      <c r="E144" s="219"/>
      <c r="F144" s="62"/>
      <c r="G144" s="64"/>
      <c r="H144" s="219"/>
    </row>
    <row r="145" spans="1:8">
      <c r="A145" s="117"/>
      <c r="B145" s="62"/>
      <c r="C145" s="63"/>
      <c r="D145" s="64"/>
      <c r="E145" s="219"/>
      <c r="F145" s="62"/>
      <c r="G145" s="64"/>
      <c r="H145" s="219"/>
    </row>
    <row r="146" spans="1:8">
      <c r="A146" s="117"/>
      <c r="B146" s="62"/>
      <c r="C146" s="63"/>
      <c r="D146" s="64"/>
      <c r="E146" s="219"/>
      <c r="F146" s="62"/>
      <c r="G146" s="64"/>
      <c r="H146" s="219"/>
    </row>
    <row r="147" spans="1:8">
      <c r="A147" s="117"/>
      <c r="B147" s="62"/>
      <c r="C147" s="63"/>
      <c r="D147" s="64"/>
      <c r="E147" s="219"/>
      <c r="F147" s="62"/>
      <c r="G147" s="64"/>
      <c r="H147" s="219"/>
    </row>
    <row r="148" spans="1:8">
      <c r="A148" s="117"/>
      <c r="B148" s="62"/>
      <c r="C148" s="63"/>
      <c r="D148" s="64"/>
      <c r="E148" s="219"/>
      <c r="F148" s="62"/>
      <c r="G148" s="64"/>
      <c r="H148" s="219"/>
    </row>
    <row r="149" spans="1:8">
      <c r="A149" s="117"/>
      <c r="B149" s="62"/>
      <c r="C149" s="63"/>
      <c r="D149" s="64"/>
      <c r="E149" s="219"/>
      <c r="F149" s="62"/>
      <c r="G149" s="64"/>
      <c r="H149" s="219"/>
    </row>
    <row r="150" spans="1:8">
      <c r="A150" s="117"/>
      <c r="B150" s="62"/>
      <c r="C150" s="63"/>
      <c r="D150" s="64"/>
      <c r="E150" s="219"/>
      <c r="F150" s="62"/>
      <c r="G150" s="64"/>
      <c r="H150" s="219"/>
    </row>
    <row r="151" spans="1:8">
      <c r="A151" s="118"/>
      <c r="B151" s="224"/>
      <c r="C151" s="225"/>
      <c r="D151" s="226"/>
      <c r="E151" s="227"/>
      <c r="F151" s="224"/>
      <c r="G151" s="226"/>
      <c r="H151" s="227"/>
    </row>
    <row r="152" spans="1:8">
      <c r="A152" s="117"/>
      <c r="B152" s="62"/>
      <c r="C152" s="63"/>
      <c r="D152" s="64"/>
      <c r="E152" s="219"/>
      <c r="F152" s="62"/>
      <c r="G152" s="64"/>
      <c r="H152" s="219"/>
    </row>
    <row r="153" spans="1:8">
      <c r="A153" s="117"/>
      <c r="B153" s="62"/>
      <c r="C153" s="63"/>
      <c r="D153" s="64"/>
      <c r="E153" s="219"/>
      <c r="F153" s="62"/>
      <c r="G153" s="64"/>
      <c r="H153" s="219"/>
    </row>
    <row r="154" spans="1:8">
      <c r="A154" s="117"/>
      <c r="B154" s="62"/>
      <c r="C154" s="63"/>
      <c r="D154" s="64"/>
      <c r="E154" s="219"/>
      <c r="F154" s="62"/>
      <c r="G154" s="64"/>
      <c r="H154" s="219"/>
    </row>
    <row r="155" spans="1:8">
      <c r="A155" s="117"/>
      <c r="B155" s="62"/>
      <c r="C155" s="63"/>
      <c r="D155" s="64"/>
      <c r="E155" s="219"/>
      <c r="F155" s="62"/>
      <c r="G155" s="64"/>
      <c r="H155" s="219"/>
    </row>
    <row r="156" spans="1:8">
      <c r="A156" s="117"/>
      <c r="B156" s="62"/>
      <c r="C156" s="63"/>
      <c r="D156" s="64"/>
      <c r="E156" s="219"/>
      <c r="F156" s="62"/>
      <c r="G156" s="64"/>
      <c r="H156" s="219"/>
    </row>
    <row r="157" spans="1:8">
      <c r="A157" s="117"/>
      <c r="B157" s="62"/>
      <c r="C157" s="63"/>
      <c r="D157" s="64"/>
      <c r="E157" s="219"/>
      <c r="F157" s="62"/>
      <c r="G157" s="64"/>
      <c r="H157" s="219"/>
    </row>
    <row r="158" spans="1:8">
      <c r="A158" s="117"/>
      <c r="B158" s="62"/>
      <c r="C158" s="63"/>
      <c r="D158" s="64"/>
      <c r="E158" s="219"/>
      <c r="F158" s="62"/>
      <c r="G158" s="64"/>
      <c r="H158" s="219"/>
    </row>
    <row r="159" spans="1:8">
      <c r="A159" s="117"/>
      <c r="B159" s="62"/>
      <c r="C159" s="63"/>
      <c r="D159" s="64"/>
      <c r="E159" s="219"/>
      <c r="F159" s="62"/>
      <c r="G159" s="64"/>
      <c r="H159" s="219"/>
    </row>
    <row r="160" spans="1:8">
      <c r="A160" s="117"/>
      <c r="B160" s="62"/>
      <c r="C160" s="63"/>
      <c r="D160" s="64"/>
      <c r="E160" s="219"/>
      <c r="F160" s="62"/>
      <c r="G160" s="64"/>
      <c r="H160" s="219"/>
    </row>
    <row r="161" spans="1:8">
      <c r="A161" s="117"/>
      <c r="B161" s="62"/>
      <c r="C161" s="63"/>
      <c r="D161" s="64"/>
      <c r="E161" s="219"/>
      <c r="F161" s="62"/>
      <c r="G161" s="64"/>
      <c r="H161" s="219"/>
    </row>
    <row r="162" spans="1:8">
      <c r="A162" s="117"/>
      <c r="B162" s="62"/>
      <c r="C162" s="63"/>
      <c r="D162" s="64"/>
      <c r="E162" s="219"/>
      <c r="F162" s="62"/>
      <c r="G162" s="64"/>
      <c r="H162" s="219"/>
    </row>
    <row r="163" spans="1:8">
      <c r="A163" s="118"/>
      <c r="B163" s="224"/>
      <c r="C163" s="225"/>
      <c r="D163" s="226"/>
      <c r="E163" s="227"/>
      <c r="F163" s="224"/>
      <c r="G163" s="226"/>
      <c r="H163" s="227"/>
    </row>
    <row r="164" spans="1:8">
      <c r="A164" s="117"/>
      <c r="B164" s="62"/>
      <c r="C164" s="63"/>
      <c r="D164" s="64"/>
      <c r="E164" s="219"/>
      <c r="F164" s="62"/>
      <c r="G164" s="64"/>
      <c r="H164" s="219"/>
    </row>
    <row r="165" spans="1:8">
      <c r="A165" s="117"/>
      <c r="B165" s="62"/>
      <c r="C165" s="63"/>
      <c r="D165" s="64"/>
      <c r="E165" s="219"/>
      <c r="F165" s="62"/>
      <c r="G165" s="64"/>
      <c r="H165" s="219"/>
    </row>
    <row r="166" spans="1:8">
      <c r="A166" s="117"/>
      <c r="B166" s="62"/>
      <c r="C166" s="63"/>
      <c r="D166" s="64"/>
      <c r="E166" s="219"/>
      <c r="F166" s="62"/>
      <c r="G166" s="64"/>
      <c r="H166" s="219"/>
    </row>
    <row r="167" spans="1:8">
      <c r="A167" s="117"/>
      <c r="B167" s="62"/>
      <c r="C167" s="63"/>
      <c r="D167" s="64"/>
      <c r="E167" s="219"/>
      <c r="F167" s="62"/>
      <c r="G167" s="64"/>
      <c r="H167" s="219"/>
    </row>
    <row r="168" spans="1:8">
      <c r="A168" s="117"/>
      <c r="B168" s="62"/>
      <c r="C168" s="63"/>
      <c r="D168" s="64"/>
      <c r="E168" s="219"/>
      <c r="F168" s="62"/>
      <c r="G168" s="64"/>
      <c r="H168" s="219"/>
    </row>
    <row r="169" spans="1:8">
      <c r="A169" s="117"/>
      <c r="B169" s="62"/>
      <c r="C169" s="63"/>
      <c r="D169" s="64"/>
      <c r="E169" s="219"/>
      <c r="F169" s="62"/>
      <c r="G169" s="64"/>
      <c r="H169" s="219"/>
    </row>
    <row r="170" spans="1:8">
      <c r="A170" s="117"/>
      <c r="B170" s="62"/>
      <c r="C170" s="63"/>
      <c r="D170" s="64"/>
      <c r="E170" s="219"/>
      <c r="F170" s="62"/>
      <c r="G170" s="64"/>
      <c r="H170" s="219"/>
    </row>
    <row r="171" spans="1:8">
      <c r="A171" s="117"/>
      <c r="B171" s="62"/>
      <c r="C171" s="63"/>
      <c r="D171" s="64"/>
      <c r="E171" s="219"/>
      <c r="F171" s="62"/>
      <c r="G171" s="64"/>
      <c r="H171" s="219"/>
    </row>
    <row r="172" spans="1:8">
      <c r="A172" s="117"/>
      <c r="B172" s="62"/>
      <c r="C172" s="63"/>
      <c r="D172" s="64"/>
      <c r="E172" s="219"/>
      <c r="F172" s="62"/>
      <c r="G172" s="64"/>
      <c r="H172" s="219"/>
    </row>
    <row r="173" spans="1:8">
      <c r="A173" s="117"/>
      <c r="B173" s="62"/>
      <c r="C173" s="63"/>
      <c r="D173" s="64"/>
      <c r="E173" s="219"/>
      <c r="F173" s="62"/>
      <c r="G173" s="64"/>
      <c r="H173" s="219"/>
    </row>
    <row r="174" spans="1:8">
      <c r="A174" s="117"/>
      <c r="B174" s="62"/>
      <c r="C174" s="63"/>
      <c r="D174" s="64"/>
      <c r="E174" s="219"/>
      <c r="F174" s="62"/>
      <c r="G174" s="64"/>
      <c r="H174" s="219"/>
    </row>
    <row r="175" spans="1:8">
      <c r="A175" s="118"/>
      <c r="B175" s="224"/>
      <c r="C175" s="225"/>
      <c r="D175" s="226"/>
      <c r="E175" s="227"/>
      <c r="F175" s="224"/>
      <c r="G175" s="226"/>
      <c r="H175" s="227"/>
    </row>
    <row r="176" spans="1:8">
      <c r="A176" s="117"/>
      <c r="B176" s="62"/>
      <c r="C176" s="63"/>
      <c r="D176" s="64"/>
      <c r="E176" s="219"/>
      <c r="F176" s="62"/>
      <c r="G176" s="64"/>
      <c r="H176" s="219"/>
    </row>
    <row r="177" spans="1:8">
      <c r="A177" s="117"/>
      <c r="B177" s="62"/>
      <c r="C177" s="63"/>
      <c r="D177" s="64"/>
      <c r="E177" s="219"/>
      <c r="F177" s="62"/>
      <c r="G177" s="64"/>
      <c r="H177" s="219"/>
    </row>
    <row r="178" spans="1:8">
      <c r="A178" s="117"/>
      <c r="B178" s="62"/>
      <c r="C178" s="63"/>
      <c r="D178" s="64"/>
      <c r="E178" s="219"/>
      <c r="F178" s="62"/>
      <c r="G178" s="64"/>
      <c r="H178" s="219"/>
    </row>
    <row r="179" spans="1:8">
      <c r="A179" s="117"/>
      <c r="B179" s="62"/>
      <c r="C179" s="63"/>
      <c r="D179" s="64"/>
      <c r="E179" s="219"/>
      <c r="F179" s="62"/>
      <c r="G179" s="64"/>
      <c r="H179" s="219"/>
    </row>
    <row r="180" spans="1:8">
      <c r="A180" s="27"/>
      <c r="B180" s="62"/>
      <c r="C180" s="63"/>
      <c r="D180" s="64"/>
      <c r="E180" s="219"/>
      <c r="F180" s="62"/>
      <c r="G180" s="64"/>
      <c r="H180" s="219"/>
    </row>
    <row r="181" spans="1:8">
      <c r="A181" s="27"/>
      <c r="B181" s="62"/>
      <c r="C181" s="63"/>
      <c r="D181" s="64"/>
      <c r="E181" s="219"/>
      <c r="F181" s="62"/>
      <c r="G181" s="64"/>
      <c r="H181" s="219"/>
    </row>
    <row r="182" spans="1:8">
      <c r="A182" s="27"/>
      <c r="B182" s="62"/>
      <c r="C182" s="63"/>
      <c r="D182" s="64"/>
      <c r="E182" s="219"/>
      <c r="F182" s="62"/>
      <c r="G182" s="64"/>
      <c r="H182" s="219"/>
    </row>
    <row r="183" spans="1:8">
      <c r="A183" s="27"/>
      <c r="B183" s="62"/>
      <c r="C183" s="63"/>
      <c r="D183" s="64"/>
      <c r="E183" s="219"/>
      <c r="F183" s="62"/>
      <c r="G183" s="64"/>
      <c r="H183" s="219"/>
    </row>
    <row r="184" spans="1:8">
      <c r="A184" s="27"/>
      <c r="B184" s="62"/>
      <c r="C184" s="63"/>
      <c r="D184" s="64"/>
      <c r="E184" s="219"/>
      <c r="F184" s="62"/>
      <c r="G184" s="64"/>
      <c r="H184" s="219"/>
    </row>
    <row r="185" spans="1:8">
      <c r="A185" s="27"/>
      <c r="B185" s="62"/>
      <c r="C185" s="63"/>
      <c r="D185" s="64"/>
      <c r="E185" s="219"/>
      <c r="F185" s="62"/>
      <c r="G185" s="64"/>
      <c r="H185" s="219"/>
    </row>
    <row r="186" spans="1:8">
      <c r="A186" s="27"/>
      <c r="B186" s="62"/>
      <c r="C186" s="63"/>
      <c r="D186" s="64"/>
      <c r="E186" s="219"/>
      <c r="F186" s="62"/>
      <c r="G186" s="64"/>
      <c r="H186" s="219"/>
    </row>
    <row r="187" spans="1:8">
      <c r="A187" s="99"/>
      <c r="B187" s="224"/>
      <c r="C187" s="225"/>
      <c r="D187" s="226"/>
      <c r="E187" s="227"/>
      <c r="F187" s="224"/>
      <c r="G187" s="226"/>
      <c r="H187" s="227"/>
    </row>
    <row r="188" spans="1:8">
      <c r="A188" s="27"/>
      <c r="B188" s="62"/>
      <c r="C188" s="63"/>
      <c r="D188" s="64"/>
      <c r="E188" s="219"/>
      <c r="F188" s="62"/>
      <c r="G188" s="64"/>
      <c r="H188" s="219"/>
    </row>
    <row r="189" spans="1:8">
      <c r="A189" s="27"/>
      <c r="B189" s="62"/>
      <c r="C189" s="63"/>
      <c r="D189" s="64"/>
      <c r="E189" s="219"/>
      <c r="F189" s="62"/>
      <c r="G189" s="64"/>
      <c r="H189" s="219"/>
    </row>
    <row r="190" spans="1:8">
      <c r="A190" s="27"/>
      <c r="B190" s="62"/>
      <c r="C190" s="63"/>
      <c r="D190" s="64"/>
      <c r="E190" s="219"/>
      <c r="F190" s="62"/>
      <c r="G190" s="64"/>
      <c r="H190" s="219"/>
    </row>
    <row r="191" spans="1:8">
      <c r="A191" s="27"/>
      <c r="B191" s="62"/>
      <c r="C191" s="63"/>
      <c r="D191" s="64"/>
      <c r="E191" s="219"/>
      <c r="F191" s="62"/>
      <c r="G191" s="64"/>
      <c r="H191" s="219"/>
    </row>
    <row r="192" spans="1:8">
      <c r="A192" s="27"/>
      <c r="B192" s="62"/>
      <c r="C192" s="63"/>
      <c r="D192" s="64"/>
      <c r="E192" s="219"/>
      <c r="F192" s="62"/>
      <c r="G192" s="64"/>
      <c r="H192" s="219"/>
    </row>
    <row r="193" spans="1:8">
      <c r="A193" s="27"/>
      <c r="B193" s="62"/>
      <c r="C193" s="63"/>
      <c r="D193" s="64"/>
      <c r="E193" s="219"/>
      <c r="F193" s="62"/>
      <c r="G193" s="64"/>
      <c r="H193" s="219"/>
    </row>
    <row r="194" spans="1:8">
      <c r="A194" s="27"/>
      <c r="B194" s="62"/>
      <c r="C194" s="63"/>
      <c r="D194" s="64"/>
      <c r="E194" s="219"/>
      <c r="F194" s="62"/>
      <c r="G194" s="64"/>
      <c r="H194" s="219"/>
    </row>
    <row r="195" spans="1:8">
      <c r="A195" s="27"/>
      <c r="B195" s="62"/>
      <c r="C195" s="63"/>
      <c r="D195" s="64"/>
      <c r="E195" s="219"/>
      <c r="F195" s="62"/>
      <c r="G195" s="64"/>
      <c r="H195" s="219"/>
    </row>
    <row r="196" spans="1:8">
      <c r="A196" s="27"/>
      <c r="B196" s="62"/>
      <c r="C196" s="63"/>
      <c r="D196" s="64"/>
      <c r="E196" s="219"/>
      <c r="F196" s="62"/>
      <c r="G196" s="64"/>
      <c r="H196" s="219"/>
    </row>
    <row r="197" spans="1:8">
      <c r="A197" s="27"/>
      <c r="B197" s="62"/>
      <c r="C197" s="63"/>
      <c r="D197" s="64"/>
      <c r="E197" s="219"/>
      <c r="F197" s="62"/>
      <c r="G197" s="64"/>
      <c r="H197" s="219"/>
    </row>
    <row r="198" spans="1:8">
      <c r="A198" s="27"/>
      <c r="B198" s="62"/>
      <c r="C198" s="63"/>
      <c r="D198" s="64"/>
      <c r="E198" s="219"/>
      <c r="F198" s="62"/>
      <c r="G198" s="64"/>
      <c r="H198" s="219"/>
    </row>
    <row r="199" spans="1:8">
      <c r="A199" s="99"/>
      <c r="B199" s="224"/>
      <c r="C199" s="225"/>
      <c r="D199" s="226"/>
      <c r="E199" s="227"/>
      <c r="F199" s="224"/>
      <c r="G199" s="226"/>
      <c r="H199" s="227"/>
    </row>
    <row r="200" spans="1:8">
      <c r="A200" s="27"/>
      <c r="B200" s="62"/>
      <c r="C200" s="63"/>
      <c r="D200" s="64"/>
      <c r="E200" s="219"/>
      <c r="F200" s="62"/>
      <c r="G200" s="64"/>
      <c r="H200" s="219"/>
    </row>
    <row r="201" spans="1:8">
      <c r="A201" s="27"/>
      <c r="B201" s="62"/>
      <c r="C201" s="63"/>
      <c r="D201" s="64"/>
      <c r="E201" s="219"/>
      <c r="F201" s="62"/>
      <c r="G201" s="64"/>
      <c r="H201" s="219"/>
    </row>
    <row r="202" spans="1:8">
      <c r="A202" s="27"/>
      <c r="B202" s="62"/>
      <c r="C202" s="63"/>
      <c r="D202" s="64"/>
      <c r="E202" s="219"/>
      <c r="F202" s="62"/>
      <c r="G202" s="64"/>
      <c r="H202" s="219"/>
    </row>
    <row r="203" spans="1:8">
      <c r="A203" s="27"/>
      <c r="B203" s="62"/>
      <c r="C203" s="63"/>
      <c r="D203" s="64"/>
      <c r="E203" s="219"/>
      <c r="F203" s="62"/>
      <c r="G203" s="64"/>
      <c r="H203" s="219"/>
    </row>
    <row r="204" spans="1:8">
      <c r="A204" s="27"/>
      <c r="B204" s="62"/>
      <c r="C204" s="63"/>
      <c r="D204" s="64"/>
      <c r="E204" s="219"/>
      <c r="F204" s="62"/>
      <c r="G204" s="64"/>
      <c r="H204" s="219"/>
    </row>
    <row r="205" spans="1:8">
      <c r="A205" s="27"/>
      <c r="B205" s="62"/>
      <c r="C205" s="63"/>
      <c r="D205" s="64"/>
      <c r="E205" s="219"/>
      <c r="F205" s="62"/>
      <c r="G205" s="64"/>
      <c r="H205" s="219"/>
    </row>
    <row r="206" spans="1:8">
      <c r="A206" s="27"/>
      <c r="B206" s="62"/>
      <c r="C206" s="63"/>
      <c r="D206" s="64"/>
      <c r="E206" s="219"/>
      <c r="F206" s="62"/>
      <c r="G206" s="64"/>
      <c r="H206" s="219"/>
    </row>
    <row r="207" spans="1:8">
      <c r="A207" s="27"/>
      <c r="B207" s="62"/>
      <c r="C207" s="63"/>
      <c r="D207" s="64"/>
      <c r="E207" s="219"/>
      <c r="F207" s="62"/>
      <c r="G207" s="64"/>
      <c r="H207" s="219"/>
    </row>
    <row r="208" spans="1:8">
      <c r="A208" s="27"/>
      <c r="B208" s="62"/>
      <c r="C208" s="63"/>
      <c r="D208" s="64"/>
      <c r="E208" s="219"/>
      <c r="F208" s="62"/>
      <c r="G208" s="64"/>
      <c r="H208" s="219"/>
    </row>
    <row r="209" spans="1:8">
      <c r="A209" s="27"/>
      <c r="B209" s="62"/>
      <c r="C209" s="63"/>
      <c r="D209" s="64"/>
      <c r="E209" s="219"/>
      <c r="F209" s="62"/>
      <c r="G209" s="64"/>
      <c r="H209" s="219"/>
    </row>
    <row r="210" spans="1:8">
      <c r="A210" s="27"/>
      <c r="B210" s="62"/>
      <c r="C210" s="63"/>
      <c r="D210" s="64"/>
      <c r="E210" s="219"/>
      <c r="F210" s="62"/>
      <c r="G210" s="64"/>
      <c r="H210" s="219"/>
    </row>
    <row r="211" spans="1:8">
      <c r="A211" s="99"/>
      <c r="B211" s="224"/>
      <c r="C211" s="225"/>
      <c r="D211" s="226"/>
      <c r="E211" s="227"/>
      <c r="F211" s="224"/>
      <c r="G211" s="226"/>
      <c r="H211" s="227"/>
    </row>
    <row r="212" spans="1:8">
      <c r="A212" s="27"/>
      <c r="B212" s="62"/>
      <c r="C212" s="63"/>
      <c r="D212" s="64"/>
      <c r="E212" s="219"/>
      <c r="F212" s="62"/>
      <c r="G212" s="64"/>
      <c r="H212" s="219"/>
    </row>
    <row r="213" spans="1:8">
      <c r="A213" s="27"/>
      <c r="B213" s="62"/>
      <c r="C213" s="63"/>
      <c r="D213" s="64"/>
      <c r="E213" s="219"/>
      <c r="F213" s="62"/>
      <c r="G213" s="64"/>
      <c r="H213" s="219"/>
    </row>
    <row r="214" spans="1:8">
      <c r="A214" s="27"/>
      <c r="B214" s="62"/>
      <c r="C214" s="63"/>
      <c r="D214" s="64"/>
      <c r="E214" s="219"/>
      <c r="F214" s="62"/>
      <c r="G214" s="64"/>
      <c r="H214" s="219"/>
    </row>
    <row r="215" spans="1:8">
      <c r="A215" s="27"/>
      <c r="B215" s="62"/>
      <c r="C215" s="63"/>
      <c r="D215" s="64"/>
      <c r="E215" s="219"/>
      <c r="F215" s="62"/>
      <c r="G215" s="64"/>
      <c r="H215" s="219"/>
    </row>
    <row r="216" spans="1:8">
      <c r="A216" s="27"/>
      <c r="B216" s="62"/>
      <c r="C216" s="63"/>
      <c r="D216" s="64"/>
      <c r="E216" s="219"/>
      <c r="F216" s="62"/>
      <c r="G216" s="64"/>
      <c r="H216" s="219"/>
    </row>
    <row r="217" spans="1:8">
      <c r="A217" s="27"/>
      <c r="B217" s="62"/>
      <c r="C217" s="63"/>
      <c r="D217" s="64"/>
      <c r="E217" s="219"/>
      <c r="F217" s="62"/>
      <c r="G217" s="64"/>
      <c r="H217" s="219"/>
    </row>
    <row r="218" spans="1:8">
      <c r="A218" s="27"/>
      <c r="B218" s="62"/>
      <c r="C218" s="63"/>
      <c r="D218" s="64"/>
      <c r="E218" s="219"/>
      <c r="F218" s="62"/>
      <c r="G218" s="64"/>
      <c r="H218" s="219"/>
    </row>
    <row r="219" spans="1:8">
      <c r="A219" s="27"/>
      <c r="B219" s="62"/>
      <c r="C219" s="63"/>
      <c r="D219" s="64"/>
      <c r="E219" s="219"/>
      <c r="F219" s="62"/>
      <c r="G219" s="64"/>
      <c r="H219" s="219"/>
    </row>
    <row r="220" spans="1:8">
      <c r="A220" s="27"/>
      <c r="B220" s="62"/>
      <c r="C220" s="63"/>
      <c r="D220" s="64"/>
      <c r="E220" s="219"/>
      <c r="F220" s="62"/>
      <c r="G220" s="64"/>
      <c r="H220" s="219"/>
    </row>
    <row r="221" spans="1:8">
      <c r="A221" s="27"/>
      <c r="B221" s="62"/>
      <c r="C221" s="63"/>
      <c r="D221" s="64"/>
      <c r="E221" s="219"/>
      <c r="F221" s="62"/>
      <c r="G221" s="64"/>
      <c r="H221" s="219"/>
    </row>
    <row r="222" spans="1:8">
      <c r="A222" s="27"/>
      <c r="B222" s="62"/>
      <c r="C222" s="63"/>
      <c r="D222" s="64"/>
      <c r="E222" s="219"/>
      <c r="F222" s="62"/>
      <c r="G222" s="64"/>
      <c r="H222" s="219"/>
    </row>
    <row r="223" spans="1:8">
      <c r="A223" s="99"/>
      <c r="B223" s="224"/>
      <c r="C223" s="225"/>
      <c r="D223" s="226"/>
      <c r="E223" s="227"/>
      <c r="F223" s="224"/>
      <c r="G223" s="226"/>
      <c r="H223" s="227"/>
    </row>
    <row r="224" spans="1:8">
      <c r="A224" s="27"/>
      <c r="B224" s="62"/>
      <c r="C224" s="63"/>
      <c r="D224" s="64"/>
      <c r="E224" s="219"/>
      <c r="F224" s="62"/>
      <c r="G224" s="64"/>
      <c r="H224" s="219"/>
    </row>
    <row r="225" spans="1:8">
      <c r="A225" s="27"/>
      <c r="B225" s="62"/>
      <c r="C225" s="63"/>
      <c r="D225" s="64"/>
      <c r="E225" s="219"/>
      <c r="F225" s="62"/>
      <c r="G225" s="64"/>
      <c r="H225" s="219"/>
    </row>
    <row r="226" spans="1:8">
      <c r="A226" s="27"/>
      <c r="B226" s="62"/>
      <c r="C226" s="63"/>
      <c r="D226" s="64"/>
      <c r="E226" s="219"/>
      <c r="F226" s="62"/>
      <c r="G226" s="64"/>
      <c r="H226" s="219"/>
    </row>
    <row r="227" spans="1:8">
      <c r="A227" s="27"/>
      <c r="B227" s="62"/>
      <c r="C227" s="63"/>
      <c r="D227" s="64"/>
      <c r="E227" s="219"/>
      <c r="F227" s="62"/>
      <c r="G227" s="64"/>
      <c r="H227" s="219"/>
    </row>
    <row r="228" spans="1:8">
      <c r="A228" s="27"/>
      <c r="B228" s="62"/>
      <c r="C228" s="63"/>
      <c r="D228" s="64"/>
      <c r="E228" s="219"/>
      <c r="F228" s="62"/>
      <c r="G228" s="64"/>
      <c r="H228" s="219"/>
    </row>
    <row r="229" spans="1:8">
      <c r="A229" s="27"/>
      <c r="B229" s="62"/>
      <c r="C229" s="63"/>
      <c r="D229" s="64"/>
      <c r="E229" s="219"/>
      <c r="F229" s="62"/>
      <c r="G229" s="64"/>
      <c r="H229" s="219"/>
    </row>
    <row r="230" spans="1:8">
      <c r="A230" s="27"/>
      <c r="B230" s="62"/>
      <c r="C230" s="63"/>
      <c r="D230" s="64"/>
      <c r="E230" s="219"/>
      <c r="F230" s="62"/>
      <c r="G230" s="64"/>
      <c r="H230" s="219"/>
    </row>
    <row r="231" spans="1:8">
      <c r="A231" s="27"/>
      <c r="B231" s="62"/>
      <c r="C231" s="63"/>
      <c r="D231" s="64"/>
      <c r="E231" s="219"/>
      <c r="F231" s="62"/>
      <c r="G231" s="64"/>
      <c r="H231" s="219"/>
    </row>
    <row r="232" spans="1:8">
      <c r="A232" s="27"/>
      <c r="B232" s="62"/>
      <c r="C232" s="63"/>
      <c r="D232" s="64"/>
      <c r="E232" s="219"/>
      <c r="F232" s="62"/>
      <c r="G232" s="64"/>
      <c r="H232" s="219"/>
    </row>
    <row r="233" spans="1:8">
      <c r="A233" s="27"/>
      <c r="B233" s="62"/>
      <c r="C233" s="63"/>
      <c r="D233" s="64"/>
      <c r="E233" s="219"/>
      <c r="F233" s="62"/>
      <c r="G233" s="64"/>
      <c r="H233" s="219"/>
    </row>
    <row r="234" spans="1:8">
      <c r="A234" s="27"/>
      <c r="B234" s="62"/>
      <c r="C234" s="63"/>
      <c r="D234" s="64"/>
      <c r="E234" s="219"/>
      <c r="F234" s="62"/>
      <c r="G234" s="64"/>
      <c r="H234" s="219"/>
    </row>
    <row r="235" spans="1:8">
      <c r="A235" s="99"/>
      <c r="B235" s="224"/>
      <c r="C235" s="225"/>
      <c r="D235" s="226"/>
      <c r="E235" s="227"/>
      <c r="F235" s="224"/>
      <c r="G235" s="226"/>
      <c r="H235" s="227"/>
    </row>
    <row r="236" spans="1:8">
      <c r="A236" s="27"/>
      <c r="B236" s="62"/>
      <c r="C236" s="63"/>
      <c r="D236" s="64"/>
      <c r="E236" s="219"/>
      <c r="F236" s="62"/>
      <c r="G236" s="64"/>
      <c r="H236" s="219"/>
    </row>
    <row r="237" spans="1:8">
      <c r="A237" s="27"/>
      <c r="B237" s="62"/>
      <c r="C237" s="63"/>
      <c r="D237" s="64"/>
      <c r="E237" s="219"/>
      <c r="F237" s="62"/>
      <c r="G237" s="64"/>
      <c r="H237" s="219"/>
    </row>
    <row r="238" spans="1:8">
      <c r="A238" s="27"/>
      <c r="B238" s="62"/>
      <c r="C238" s="63"/>
      <c r="D238" s="64"/>
      <c r="E238" s="219"/>
      <c r="F238" s="62"/>
      <c r="G238" s="64"/>
      <c r="H238" s="219"/>
    </row>
    <row r="239" spans="1:8">
      <c r="A239" s="27"/>
      <c r="B239" s="62"/>
      <c r="C239" s="63"/>
      <c r="D239" s="64"/>
      <c r="E239" s="219"/>
      <c r="F239" s="62"/>
      <c r="G239" s="64"/>
      <c r="H239" s="219"/>
    </row>
    <row r="240" spans="1:8">
      <c r="A240" s="27"/>
      <c r="B240" s="62"/>
      <c r="C240" s="63"/>
      <c r="D240" s="64"/>
      <c r="E240" s="219"/>
      <c r="F240" s="62"/>
      <c r="G240" s="64"/>
      <c r="H240" s="219"/>
    </row>
    <row r="241" spans="1:8">
      <c r="A241" s="27"/>
      <c r="B241" s="62"/>
      <c r="C241" s="63"/>
      <c r="D241" s="64"/>
      <c r="E241" s="219"/>
      <c r="F241" s="62"/>
      <c r="G241" s="64"/>
      <c r="H241" s="219"/>
    </row>
    <row r="242" spans="1:8">
      <c r="A242" s="27"/>
      <c r="B242" s="62"/>
      <c r="C242" s="63"/>
      <c r="D242" s="64"/>
      <c r="E242" s="219"/>
      <c r="F242" s="62"/>
      <c r="G242" s="64"/>
      <c r="H242" s="219"/>
    </row>
    <row r="243" spans="1:8">
      <c r="A243" s="27"/>
      <c r="B243" s="62"/>
      <c r="C243" s="63"/>
      <c r="D243" s="64"/>
      <c r="E243" s="219"/>
      <c r="F243" s="62"/>
      <c r="G243" s="64"/>
      <c r="H243" s="219"/>
    </row>
    <row r="244" spans="1:8">
      <c r="A244" s="27"/>
      <c r="B244" s="62"/>
      <c r="C244" s="63"/>
      <c r="D244" s="64"/>
      <c r="E244" s="219"/>
      <c r="F244" s="62"/>
      <c r="G244" s="64"/>
      <c r="H244" s="219"/>
    </row>
    <row r="245" spans="1:8">
      <c r="A245" s="27"/>
      <c r="B245" s="62"/>
      <c r="C245" s="63"/>
      <c r="D245" s="64"/>
      <c r="E245" s="219"/>
      <c r="F245" s="62"/>
      <c r="G245" s="64"/>
      <c r="H245" s="219"/>
    </row>
    <row r="246" spans="1:8">
      <c r="A246" s="27"/>
      <c r="B246" s="62"/>
      <c r="C246" s="63"/>
      <c r="D246" s="64"/>
      <c r="E246" s="219"/>
      <c r="F246" s="62"/>
      <c r="G246" s="64"/>
      <c r="H246" s="219"/>
    </row>
    <row r="247" spans="1:8">
      <c r="A247" s="99"/>
      <c r="B247" s="224"/>
      <c r="C247" s="225"/>
      <c r="D247" s="226"/>
      <c r="E247" s="227"/>
      <c r="F247" s="224"/>
      <c r="G247" s="226"/>
      <c r="H247" s="227"/>
    </row>
    <row r="248" spans="1:8">
      <c r="A248" s="27"/>
      <c r="B248" s="62"/>
      <c r="C248" s="63"/>
      <c r="D248" s="64"/>
      <c r="E248" s="219"/>
      <c r="F248" s="62"/>
      <c r="G248" s="64"/>
      <c r="H248" s="219"/>
    </row>
    <row r="249" spans="1:8">
      <c r="A249" s="27"/>
      <c r="B249" s="62"/>
      <c r="C249" s="63"/>
      <c r="D249" s="64"/>
      <c r="E249" s="219"/>
      <c r="F249" s="62"/>
      <c r="G249" s="64"/>
      <c r="H249" s="219"/>
    </row>
    <row r="250" spans="1:8">
      <c r="A250" s="27"/>
      <c r="B250" s="62"/>
      <c r="C250" s="63"/>
      <c r="D250" s="64"/>
      <c r="E250" s="219"/>
      <c r="F250" s="62"/>
      <c r="G250" s="64"/>
      <c r="H250" s="219"/>
    </row>
    <row r="251" spans="1:8">
      <c r="A251" s="27"/>
      <c r="B251" s="62"/>
      <c r="C251" s="63"/>
      <c r="D251" s="64"/>
      <c r="E251" s="219"/>
      <c r="F251" s="62"/>
      <c r="G251" s="64"/>
      <c r="H251" s="219"/>
    </row>
    <row r="252" spans="1:8">
      <c r="A252" s="104"/>
      <c r="B252" s="62"/>
      <c r="C252" s="63"/>
      <c r="D252" s="64"/>
      <c r="E252" s="219"/>
      <c r="F252" s="62"/>
      <c r="G252" s="64"/>
      <c r="H252" s="219"/>
    </row>
    <row r="253" spans="1:8">
      <c r="A253" s="104"/>
      <c r="B253" s="62"/>
      <c r="C253" s="63"/>
      <c r="D253" s="64"/>
      <c r="E253" s="219"/>
      <c r="F253" s="62"/>
      <c r="G253" s="64"/>
      <c r="H253" s="219"/>
    </row>
    <row r="254" spans="1:8">
      <c r="A254" s="104"/>
      <c r="B254" s="62"/>
      <c r="C254" s="63"/>
      <c r="D254" s="64"/>
      <c r="E254" s="219"/>
      <c r="F254" s="62"/>
      <c r="G254" s="64"/>
      <c r="H254" s="219"/>
    </row>
    <row r="255" spans="1:8">
      <c r="A255" s="104"/>
      <c r="B255" s="62"/>
      <c r="C255" s="63"/>
      <c r="D255" s="64"/>
      <c r="E255" s="219"/>
      <c r="F255" s="62"/>
      <c r="G255" s="64"/>
      <c r="H255" s="219"/>
    </row>
  </sheetData>
  <mergeCells count="1">
    <mergeCell ref="B6:H6"/>
  </mergeCells>
  <phoneticPr fontId="2" type="noConversion"/>
  <pageMargins left="0.78740157499999996" right="0.78740157499999996" top="0.984251969" bottom="0.984251969" header="0.4921259845" footer="0.492125984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7">
    <tabColor rgb="FF92D050"/>
  </sheetPr>
  <dimension ref="A1:H282"/>
  <sheetViews>
    <sheetView workbookViewId="0">
      <pane xSplit="1" ySplit="7" topLeftCell="B121" activePane="bottomRight" state="frozen"/>
      <selection pane="bottomRight" activeCell="A121" sqref="A121"/>
      <selection pane="bottomLeft" activeCell="A259" sqref="A259"/>
      <selection pane="topRight" activeCell="A259" sqref="A259"/>
    </sheetView>
  </sheetViews>
  <sheetFormatPr defaultColWidth="11.42578125" defaultRowHeight="10.15"/>
  <cols>
    <col min="1" max="1" width="15.5703125" style="2" bestFit="1" customWidth="1"/>
    <col min="2" max="2" width="13.7109375" style="20" customWidth="1"/>
    <col min="3" max="6" width="13.7109375" style="21" customWidth="1"/>
    <col min="7" max="7" width="13.7109375" style="22" customWidth="1"/>
    <col min="8" max="8" width="16.140625" style="45" customWidth="1"/>
    <col min="9" max="16384" width="11.42578125" style="34"/>
  </cols>
  <sheetData>
    <row r="1" spans="1:8">
      <c r="A1" s="23" t="s">
        <v>44</v>
      </c>
      <c r="B1" s="23" t="s">
        <v>245</v>
      </c>
      <c r="C1" s="23"/>
      <c r="D1" s="23"/>
      <c r="E1" s="23"/>
      <c r="F1" s="23"/>
      <c r="G1" s="23"/>
      <c r="H1" s="23"/>
    </row>
    <row r="2" spans="1:8">
      <c r="A2" s="23" t="s">
        <v>46</v>
      </c>
      <c r="B2" s="23" t="s">
        <v>47</v>
      </c>
      <c r="C2" s="23"/>
      <c r="D2" s="23"/>
      <c r="E2" s="23"/>
      <c r="F2" s="23"/>
      <c r="G2" s="23"/>
      <c r="H2" s="23"/>
    </row>
    <row r="3" spans="1:8">
      <c r="A3" s="23" t="s">
        <v>48</v>
      </c>
      <c r="B3" s="23" t="s">
        <v>246</v>
      </c>
      <c r="C3" s="23"/>
      <c r="D3" s="23"/>
      <c r="E3" s="23"/>
      <c r="F3" s="23"/>
      <c r="G3" s="23"/>
      <c r="H3" s="23"/>
    </row>
    <row r="4" spans="1:8">
      <c r="A4" s="23" t="s">
        <v>50</v>
      </c>
      <c r="B4" s="23" t="s">
        <v>51</v>
      </c>
      <c r="C4" s="23"/>
      <c r="D4" s="23"/>
      <c r="E4" s="23"/>
      <c r="F4" s="23"/>
      <c r="G4" s="23"/>
      <c r="H4" s="23"/>
    </row>
    <row r="5" spans="1:8">
      <c r="A5" s="19"/>
      <c r="B5" s="23"/>
      <c r="C5" s="23"/>
      <c r="D5" s="23"/>
      <c r="E5" s="23"/>
      <c r="F5" s="23"/>
      <c r="G5" s="23"/>
      <c r="H5" s="23"/>
    </row>
    <row r="6" spans="1:8" s="73" customFormat="1" ht="25.5" customHeight="1">
      <c r="A6" s="268" t="s">
        <v>53</v>
      </c>
      <c r="B6" s="270" t="s">
        <v>247</v>
      </c>
      <c r="C6" s="271"/>
      <c r="D6" s="271"/>
      <c r="E6" s="271"/>
      <c r="F6" s="271"/>
      <c r="G6" s="271"/>
      <c r="H6" s="272"/>
    </row>
    <row r="7" spans="1:8" s="73" customFormat="1" ht="45.75" customHeight="1">
      <c r="A7" s="269"/>
      <c r="B7" s="228" t="s">
        <v>248</v>
      </c>
      <c r="C7" s="229" t="s">
        <v>249</v>
      </c>
      <c r="D7" s="229" t="s">
        <v>250</v>
      </c>
      <c r="E7" s="229" t="s">
        <v>251</v>
      </c>
      <c r="F7" s="229" t="s">
        <v>252</v>
      </c>
      <c r="G7" s="230" t="s">
        <v>253</v>
      </c>
      <c r="H7" s="231" t="s">
        <v>254</v>
      </c>
    </row>
    <row r="8" spans="1:8">
      <c r="A8" s="27" t="s">
        <v>61</v>
      </c>
      <c r="B8" s="95">
        <v>1003100</v>
      </c>
      <c r="C8" s="96">
        <v>695600</v>
      </c>
      <c r="D8" s="96">
        <v>813200</v>
      </c>
      <c r="E8" s="96">
        <v>744200</v>
      </c>
      <c r="F8" s="96">
        <v>350600</v>
      </c>
      <c r="G8" s="81">
        <v>354500</v>
      </c>
      <c r="H8" s="219">
        <v>1449300</v>
      </c>
    </row>
    <row r="9" spans="1:8">
      <c r="A9" s="27" t="s">
        <v>62</v>
      </c>
      <c r="B9" s="95">
        <v>982900</v>
      </c>
      <c r="C9" s="96">
        <v>697700</v>
      </c>
      <c r="D9" s="96">
        <v>870600</v>
      </c>
      <c r="E9" s="96">
        <v>738600</v>
      </c>
      <c r="F9" s="96">
        <v>342500</v>
      </c>
      <c r="G9" s="81">
        <v>364700</v>
      </c>
      <c r="H9" s="219">
        <v>1445800</v>
      </c>
    </row>
    <row r="10" spans="1:8">
      <c r="A10" s="27" t="s">
        <v>63</v>
      </c>
      <c r="B10" s="95">
        <v>998900</v>
      </c>
      <c r="C10" s="96">
        <v>684300</v>
      </c>
      <c r="D10" s="96">
        <v>895100</v>
      </c>
      <c r="E10" s="96">
        <v>772600</v>
      </c>
      <c r="F10" s="96">
        <v>335900</v>
      </c>
      <c r="G10" s="81">
        <v>370500</v>
      </c>
      <c r="H10" s="219">
        <v>1479100</v>
      </c>
    </row>
    <row r="11" spans="1:8">
      <c r="A11" s="60" t="s">
        <v>64</v>
      </c>
      <c r="B11" s="232">
        <v>995300</v>
      </c>
      <c r="C11" s="233">
        <v>693900</v>
      </c>
      <c r="D11" s="233">
        <v>895200</v>
      </c>
      <c r="E11" s="233">
        <v>816800</v>
      </c>
      <c r="F11" s="233">
        <v>327600</v>
      </c>
      <c r="G11" s="234">
        <v>374800</v>
      </c>
      <c r="H11" s="235">
        <v>1519100</v>
      </c>
    </row>
    <row r="12" spans="1:8">
      <c r="A12" s="27" t="s">
        <v>65</v>
      </c>
      <c r="B12" s="95">
        <v>978700</v>
      </c>
      <c r="C12" s="96">
        <v>699000</v>
      </c>
      <c r="D12" s="96">
        <v>906300</v>
      </c>
      <c r="E12" s="96">
        <v>864100</v>
      </c>
      <c r="F12" s="96">
        <v>325900</v>
      </c>
      <c r="G12" s="81">
        <v>380700</v>
      </c>
      <c r="H12" s="219">
        <v>1570800</v>
      </c>
    </row>
    <row r="13" spans="1:8">
      <c r="A13" s="27" t="s">
        <v>66</v>
      </c>
      <c r="B13" s="95">
        <v>975800</v>
      </c>
      <c r="C13" s="96">
        <v>690700</v>
      </c>
      <c r="D13" s="96">
        <v>917400</v>
      </c>
      <c r="E13" s="96">
        <v>898300</v>
      </c>
      <c r="F13" s="96">
        <v>331300</v>
      </c>
      <c r="G13" s="81">
        <v>387900</v>
      </c>
      <c r="H13" s="219">
        <v>1617400</v>
      </c>
    </row>
    <row r="14" spans="1:8">
      <c r="A14" s="27" t="s">
        <v>67</v>
      </c>
      <c r="B14" s="95">
        <v>966000</v>
      </c>
      <c r="C14" s="96">
        <v>689400</v>
      </c>
      <c r="D14" s="96">
        <v>912400</v>
      </c>
      <c r="E14" s="96">
        <v>922600</v>
      </c>
      <c r="F14" s="96">
        <v>349700</v>
      </c>
      <c r="G14" s="81">
        <v>391500</v>
      </c>
      <c r="H14" s="219">
        <v>1663700</v>
      </c>
    </row>
    <row r="15" spans="1:8">
      <c r="A15" s="60" t="s">
        <v>68</v>
      </c>
      <c r="B15" s="232">
        <v>962200</v>
      </c>
      <c r="C15" s="233">
        <v>677400</v>
      </c>
      <c r="D15" s="233">
        <v>905000</v>
      </c>
      <c r="E15" s="233">
        <v>932800</v>
      </c>
      <c r="F15" s="233">
        <v>373500</v>
      </c>
      <c r="G15" s="234">
        <v>394100</v>
      </c>
      <c r="H15" s="235">
        <v>1700400</v>
      </c>
    </row>
    <row r="16" spans="1:8">
      <c r="A16" s="27" t="s">
        <v>69</v>
      </c>
      <c r="B16" s="95">
        <v>938900</v>
      </c>
      <c r="C16" s="96">
        <v>678900</v>
      </c>
      <c r="D16" s="96">
        <v>898000</v>
      </c>
      <c r="E16" s="96">
        <v>935600</v>
      </c>
      <c r="F16" s="96">
        <v>399300</v>
      </c>
      <c r="G16" s="81">
        <v>402200</v>
      </c>
      <c r="H16" s="219">
        <v>1737100</v>
      </c>
    </row>
    <row r="17" spans="1:8">
      <c r="A17" s="27" t="s">
        <v>70</v>
      </c>
      <c r="B17" s="95">
        <v>931600</v>
      </c>
      <c r="C17" s="96">
        <v>665100</v>
      </c>
      <c r="D17" s="96">
        <v>889600</v>
      </c>
      <c r="E17" s="96">
        <v>935900</v>
      </c>
      <c r="F17" s="96">
        <v>417400</v>
      </c>
      <c r="G17" s="81">
        <v>411100</v>
      </c>
      <c r="H17" s="219">
        <v>1764400</v>
      </c>
    </row>
    <row r="18" spans="1:8">
      <c r="A18" s="27" t="s">
        <v>71</v>
      </c>
      <c r="B18" s="95">
        <v>938700</v>
      </c>
      <c r="C18" s="96">
        <v>656000</v>
      </c>
      <c r="D18" s="96">
        <v>876400</v>
      </c>
      <c r="E18" s="96">
        <v>926600</v>
      </c>
      <c r="F18" s="96">
        <v>426100</v>
      </c>
      <c r="G18" s="81">
        <v>423800</v>
      </c>
      <c r="H18" s="219">
        <v>1776500</v>
      </c>
    </row>
    <row r="19" spans="1:8">
      <c r="A19" s="60" t="s">
        <v>72</v>
      </c>
      <c r="B19" s="232">
        <v>954900</v>
      </c>
      <c r="C19" s="233">
        <v>663400</v>
      </c>
      <c r="D19" s="233">
        <v>862700</v>
      </c>
      <c r="E19" s="233">
        <v>917300</v>
      </c>
      <c r="F19" s="233">
        <v>429000</v>
      </c>
      <c r="G19" s="234">
        <v>438800</v>
      </c>
      <c r="H19" s="235">
        <v>1785000</v>
      </c>
    </row>
    <row r="20" spans="1:8">
      <c r="A20" s="27" t="s">
        <v>73</v>
      </c>
      <c r="B20" s="95">
        <v>951200</v>
      </c>
      <c r="C20" s="96">
        <v>674200</v>
      </c>
      <c r="D20" s="96">
        <v>861700</v>
      </c>
      <c r="E20" s="96">
        <v>904300</v>
      </c>
      <c r="F20" s="96">
        <v>428400</v>
      </c>
      <c r="G20" s="81">
        <v>454300</v>
      </c>
      <c r="H20" s="219">
        <v>1787000</v>
      </c>
    </row>
    <row r="21" spans="1:8">
      <c r="A21" s="27" t="s">
        <v>74</v>
      </c>
      <c r="B21" s="95">
        <v>953600</v>
      </c>
      <c r="C21" s="96">
        <v>672400</v>
      </c>
      <c r="D21" s="96">
        <v>870500</v>
      </c>
      <c r="E21" s="96">
        <v>889600</v>
      </c>
      <c r="F21" s="96">
        <v>428000</v>
      </c>
      <c r="G21" s="81">
        <v>465800</v>
      </c>
      <c r="H21" s="219">
        <v>1783300</v>
      </c>
    </row>
    <row r="22" spans="1:8">
      <c r="A22" s="27" t="s">
        <v>75</v>
      </c>
      <c r="B22" s="95">
        <v>931100</v>
      </c>
      <c r="C22" s="96">
        <v>662800</v>
      </c>
      <c r="D22" s="96">
        <v>860700</v>
      </c>
      <c r="E22" s="96">
        <v>862900</v>
      </c>
      <c r="F22" s="96">
        <v>414400</v>
      </c>
      <c r="G22" s="81">
        <v>466600</v>
      </c>
      <c r="H22" s="219">
        <v>1743900</v>
      </c>
    </row>
    <row r="23" spans="1:8">
      <c r="A23" s="60" t="s">
        <v>76</v>
      </c>
      <c r="B23" s="232">
        <v>915800</v>
      </c>
      <c r="C23" s="233">
        <v>645700</v>
      </c>
      <c r="D23" s="233">
        <v>843400</v>
      </c>
      <c r="E23" s="233">
        <v>838300</v>
      </c>
      <c r="F23" s="233">
        <v>401100</v>
      </c>
      <c r="G23" s="234">
        <v>467200</v>
      </c>
      <c r="H23" s="235">
        <v>1706600</v>
      </c>
    </row>
    <row r="24" spans="1:8">
      <c r="A24" s="27" t="s">
        <v>77</v>
      </c>
      <c r="B24" s="95">
        <v>922400</v>
      </c>
      <c r="C24" s="96">
        <v>624900</v>
      </c>
      <c r="D24" s="96">
        <v>811500</v>
      </c>
      <c r="E24" s="96">
        <v>814400</v>
      </c>
      <c r="F24" s="96">
        <v>384200</v>
      </c>
      <c r="G24" s="81">
        <v>461300</v>
      </c>
      <c r="H24" s="219">
        <v>1659900</v>
      </c>
    </row>
    <row r="25" spans="1:8">
      <c r="A25" s="27" t="s">
        <v>78</v>
      </c>
      <c r="B25" s="95">
        <v>903300</v>
      </c>
      <c r="C25" s="96">
        <v>621100</v>
      </c>
      <c r="D25" s="96">
        <v>774600</v>
      </c>
      <c r="E25" s="96">
        <v>780200</v>
      </c>
      <c r="F25" s="96">
        <v>360600</v>
      </c>
      <c r="G25" s="81">
        <v>450300</v>
      </c>
      <c r="H25" s="219">
        <v>1591100</v>
      </c>
    </row>
    <row r="26" spans="1:8">
      <c r="A26" s="27" t="s">
        <v>79</v>
      </c>
      <c r="B26" s="95">
        <v>906100</v>
      </c>
      <c r="C26" s="96">
        <v>613100</v>
      </c>
      <c r="D26" s="96">
        <v>761400</v>
      </c>
      <c r="E26" s="96">
        <v>748100</v>
      </c>
      <c r="F26" s="96">
        <v>342000</v>
      </c>
      <c r="G26" s="81">
        <v>437400</v>
      </c>
      <c r="H26" s="219">
        <v>1527400</v>
      </c>
    </row>
    <row r="27" spans="1:8">
      <c r="A27" s="60" t="s">
        <v>80</v>
      </c>
      <c r="B27" s="232">
        <v>883800</v>
      </c>
      <c r="C27" s="233">
        <v>601300</v>
      </c>
      <c r="D27" s="233">
        <v>750300</v>
      </c>
      <c r="E27" s="233">
        <v>711500</v>
      </c>
      <c r="F27" s="233">
        <v>321600</v>
      </c>
      <c r="G27" s="234">
        <v>421900</v>
      </c>
      <c r="H27" s="235">
        <v>1455000</v>
      </c>
    </row>
    <row r="28" spans="1:8">
      <c r="A28" s="27" t="s">
        <v>81</v>
      </c>
      <c r="B28" s="95">
        <v>901400</v>
      </c>
      <c r="C28" s="96">
        <v>583600</v>
      </c>
      <c r="D28" s="96">
        <v>731800</v>
      </c>
      <c r="E28" s="96">
        <v>685100</v>
      </c>
      <c r="F28" s="96">
        <v>305800</v>
      </c>
      <c r="G28" s="81">
        <v>401800</v>
      </c>
      <c r="H28" s="219">
        <v>1392700</v>
      </c>
    </row>
    <row r="29" spans="1:8">
      <c r="A29" s="27" t="s">
        <v>82</v>
      </c>
      <c r="B29" s="95">
        <v>912300</v>
      </c>
      <c r="C29" s="96">
        <v>604700</v>
      </c>
      <c r="D29" s="96">
        <v>718500</v>
      </c>
      <c r="E29" s="96">
        <v>670500</v>
      </c>
      <c r="F29" s="96">
        <v>293300</v>
      </c>
      <c r="G29" s="81">
        <v>381700</v>
      </c>
      <c r="H29" s="219">
        <v>1345600</v>
      </c>
    </row>
    <row r="30" spans="1:8">
      <c r="A30" s="27" t="s">
        <v>83</v>
      </c>
      <c r="B30" s="95">
        <v>918900</v>
      </c>
      <c r="C30" s="96">
        <v>622600</v>
      </c>
      <c r="D30" s="96">
        <v>732700</v>
      </c>
      <c r="E30" s="96">
        <v>667000</v>
      </c>
      <c r="F30" s="96">
        <v>284900</v>
      </c>
      <c r="G30" s="81">
        <v>366400</v>
      </c>
      <c r="H30" s="219">
        <v>1318200</v>
      </c>
    </row>
    <row r="31" spans="1:8">
      <c r="A31" s="60" t="s">
        <v>84</v>
      </c>
      <c r="B31" s="232">
        <v>953800</v>
      </c>
      <c r="C31" s="233">
        <v>631400</v>
      </c>
      <c r="D31" s="233">
        <v>765800</v>
      </c>
      <c r="E31" s="233">
        <v>672700</v>
      </c>
      <c r="F31" s="233">
        <v>278900</v>
      </c>
      <c r="G31" s="234">
        <v>355900</v>
      </c>
      <c r="H31" s="235">
        <v>1307500</v>
      </c>
    </row>
    <row r="32" spans="1:8">
      <c r="A32" s="27" t="s">
        <v>85</v>
      </c>
      <c r="B32" s="95">
        <v>957100</v>
      </c>
      <c r="C32" s="96">
        <v>652900</v>
      </c>
      <c r="D32" s="96">
        <v>779700</v>
      </c>
      <c r="E32" s="96">
        <v>684400</v>
      </c>
      <c r="F32" s="96">
        <v>275400</v>
      </c>
      <c r="G32" s="81">
        <v>344300</v>
      </c>
      <c r="H32" s="219">
        <v>1304000</v>
      </c>
    </row>
    <row r="33" spans="1:8">
      <c r="A33" s="27" t="s">
        <v>86</v>
      </c>
      <c r="B33" s="95">
        <v>960200</v>
      </c>
      <c r="C33" s="96">
        <v>660300</v>
      </c>
      <c r="D33" s="96">
        <v>792900</v>
      </c>
      <c r="E33" s="96">
        <v>702800</v>
      </c>
      <c r="F33" s="96">
        <v>273700</v>
      </c>
      <c r="G33" s="81">
        <v>334200</v>
      </c>
      <c r="H33" s="219">
        <v>1310800</v>
      </c>
    </row>
    <row r="34" spans="1:8">
      <c r="A34" s="27" t="s">
        <v>87</v>
      </c>
      <c r="B34" s="95">
        <v>961300</v>
      </c>
      <c r="C34" s="96">
        <v>666800</v>
      </c>
      <c r="D34" s="96">
        <v>804200</v>
      </c>
      <c r="E34" s="96">
        <v>716500</v>
      </c>
      <c r="F34" s="96">
        <v>273300</v>
      </c>
      <c r="G34" s="81">
        <v>324300</v>
      </c>
      <c r="H34" s="219">
        <v>1314100</v>
      </c>
    </row>
    <row r="35" spans="1:8">
      <c r="A35" s="60" t="s">
        <v>88</v>
      </c>
      <c r="B35" s="232">
        <v>965900</v>
      </c>
      <c r="C35" s="233">
        <v>664300</v>
      </c>
      <c r="D35" s="233">
        <v>815100</v>
      </c>
      <c r="E35" s="233">
        <v>739300</v>
      </c>
      <c r="F35" s="233">
        <v>275100</v>
      </c>
      <c r="G35" s="234">
        <v>316400</v>
      </c>
      <c r="H35" s="235">
        <v>1330800</v>
      </c>
    </row>
    <row r="36" spans="1:8">
      <c r="A36" s="27" t="s">
        <v>89</v>
      </c>
      <c r="B36" s="95">
        <v>984900</v>
      </c>
      <c r="C36" s="96">
        <v>677000</v>
      </c>
      <c r="D36" s="96">
        <v>821500</v>
      </c>
      <c r="E36" s="96">
        <v>760700</v>
      </c>
      <c r="F36" s="96">
        <v>280700</v>
      </c>
      <c r="G36" s="81">
        <v>309100</v>
      </c>
      <c r="H36" s="219">
        <v>1350400</v>
      </c>
    </row>
    <row r="37" spans="1:8">
      <c r="A37" s="27" t="s">
        <v>90</v>
      </c>
      <c r="B37" s="95">
        <v>972300</v>
      </c>
      <c r="C37" s="96">
        <v>682900</v>
      </c>
      <c r="D37" s="96">
        <v>836800</v>
      </c>
      <c r="E37" s="96">
        <v>777600</v>
      </c>
      <c r="F37" s="96">
        <v>292000</v>
      </c>
      <c r="G37" s="81">
        <v>304900</v>
      </c>
      <c r="H37" s="219">
        <v>1374500</v>
      </c>
    </row>
    <row r="38" spans="1:8">
      <c r="A38" s="27" t="s">
        <v>91</v>
      </c>
      <c r="B38" s="95">
        <v>998200</v>
      </c>
      <c r="C38" s="96">
        <v>676100</v>
      </c>
      <c r="D38" s="96">
        <v>848900</v>
      </c>
      <c r="E38" s="96">
        <v>790600</v>
      </c>
      <c r="F38" s="96">
        <v>299800</v>
      </c>
      <c r="G38" s="81">
        <v>300600</v>
      </c>
      <c r="H38" s="219">
        <v>1391000</v>
      </c>
    </row>
    <row r="39" spans="1:8">
      <c r="A39" s="60" t="s">
        <v>92</v>
      </c>
      <c r="B39" s="232">
        <v>1007600</v>
      </c>
      <c r="C39" s="233">
        <v>699900</v>
      </c>
      <c r="D39" s="233">
        <v>845800</v>
      </c>
      <c r="E39" s="233">
        <v>803400</v>
      </c>
      <c r="F39" s="233">
        <v>310000</v>
      </c>
      <c r="G39" s="234">
        <v>299700</v>
      </c>
      <c r="H39" s="235">
        <v>1413100</v>
      </c>
    </row>
    <row r="40" spans="1:8">
      <c r="A40" s="27" t="s">
        <v>93</v>
      </c>
      <c r="B40" s="95">
        <v>988400</v>
      </c>
      <c r="C40" s="96">
        <v>697100</v>
      </c>
      <c r="D40" s="96">
        <v>848500</v>
      </c>
      <c r="E40" s="96">
        <v>795500</v>
      </c>
      <c r="F40" s="96">
        <v>308600</v>
      </c>
      <c r="G40" s="81">
        <v>300900</v>
      </c>
      <c r="H40" s="219">
        <v>1405000</v>
      </c>
    </row>
    <row r="41" spans="1:8">
      <c r="A41" s="27" t="s">
        <v>94</v>
      </c>
      <c r="B41" s="95">
        <v>1008600</v>
      </c>
      <c r="C41" s="96">
        <v>692500</v>
      </c>
      <c r="D41" s="96">
        <v>861900</v>
      </c>
      <c r="E41" s="96">
        <v>795800</v>
      </c>
      <c r="F41" s="96">
        <v>314400</v>
      </c>
      <c r="G41" s="81">
        <v>306200</v>
      </c>
      <c r="H41" s="219">
        <v>1416500</v>
      </c>
    </row>
    <row r="42" spans="1:8">
      <c r="A42" s="27" t="s">
        <v>95</v>
      </c>
      <c r="B42" s="95">
        <v>1009000</v>
      </c>
      <c r="C42" s="96">
        <v>702300</v>
      </c>
      <c r="D42" s="96">
        <v>861500</v>
      </c>
      <c r="E42" s="96">
        <v>817000</v>
      </c>
      <c r="F42" s="96">
        <v>328400</v>
      </c>
      <c r="G42" s="81">
        <v>311300</v>
      </c>
      <c r="H42" s="219">
        <v>1456700</v>
      </c>
    </row>
    <row r="43" spans="1:8">
      <c r="A43" s="60" t="s">
        <v>96</v>
      </c>
      <c r="B43" s="232">
        <v>994900</v>
      </c>
      <c r="C43" s="233">
        <v>705100</v>
      </c>
      <c r="D43" s="233">
        <v>870600</v>
      </c>
      <c r="E43" s="233">
        <v>831900</v>
      </c>
      <c r="F43" s="233">
        <v>345000</v>
      </c>
      <c r="G43" s="234">
        <v>319200</v>
      </c>
      <c r="H43" s="235">
        <v>1496200</v>
      </c>
    </row>
    <row r="44" spans="1:8">
      <c r="A44" s="27" t="s">
        <v>97</v>
      </c>
      <c r="B44" s="95">
        <v>985000</v>
      </c>
      <c r="C44" s="96">
        <v>694100</v>
      </c>
      <c r="D44" s="96">
        <v>877500</v>
      </c>
      <c r="E44" s="96">
        <v>843300</v>
      </c>
      <c r="F44" s="96">
        <v>356200</v>
      </c>
      <c r="G44" s="81">
        <v>329200</v>
      </c>
      <c r="H44" s="219">
        <v>1528700</v>
      </c>
    </row>
    <row r="45" spans="1:8">
      <c r="A45" s="27" t="s">
        <v>98</v>
      </c>
      <c r="B45" s="95">
        <v>1005900</v>
      </c>
      <c r="C45" s="96">
        <v>685800</v>
      </c>
      <c r="D45" s="96">
        <v>865000</v>
      </c>
      <c r="E45" s="96">
        <v>847200</v>
      </c>
      <c r="F45" s="96">
        <v>355100</v>
      </c>
      <c r="G45" s="81">
        <v>338400</v>
      </c>
      <c r="H45" s="219">
        <v>1540700</v>
      </c>
    </row>
    <row r="46" spans="1:8">
      <c r="A46" s="27" t="s">
        <v>99</v>
      </c>
      <c r="B46" s="95">
        <v>989200</v>
      </c>
      <c r="C46" s="96">
        <v>692900</v>
      </c>
      <c r="D46" s="96">
        <v>842400</v>
      </c>
      <c r="E46" s="96">
        <v>831500</v>
      </c>
      <c r="F46" s="96">
        <v>349900</v>
      </c>
      <c r="G46" s="81">
        <v>346600</v>
      </c>
      <c r="H46" s="219">
        <v>1528000</v>
      </c>
    </row>
    <row r="47" spans="1:8">
      <c r="A47" s="60" t="s">
        <v>100</v>
      </c>
      <c r="B47" s="232">
        <v>967700</v>
      </c>
      <c r="C47" s="233">
        <v>668500</v>
      </c>
      <c r="D47" s="233">
        <v>834600</v>
      </c>
      <c r="E47" s="233">
        <v>810200</v>
      </c>
      <c r="F47" s="233">
        <v>340000</v>
      </c>
      <c r="G47" s="234">
        <v>352000</v>
      </c>
      <c r="H47" s="235">
        <v>1502200</v>
      </c>
    </row>
    <row r="48" spans="1:8">
      <c r="A48" s="27" t="s">
        <v>101</v>
      </c>
      <c r="B48" s="95">
        <v>971600</v>
      </c>
      <c r="C48" s="96">
        <v>633200</v>
      </c>
      <c r="D48" s="96">
        <v>811500</v>
      </c>
      <c r="E48" s="96">
        <v>787400</v>
      </c>
      <c r="F48" s="96">
        <v>333400</v>
      </c>
      <c r="G48" s="81">
        <v>353200</v>
      </c>
      <c r="H48" s="219">
        <v>1474000</v>
      </c>
    </row>
    <row r="49" spans="1:8">
      <c r="A49" s="27" t="s">
        <v>102</v>
      </c>
      <c r="B49" s="95">
        <v>937700</v>
      </c>
      <c r="C49" s="96">
        <v>621700</v>
      </c>
      <c r="D49" s="96">
        <v>760700</v>
      </c>
      <c r="E49" s="96">
        <v>775300</v>
      </c>
      <c r="F49" s="96">
        <v>331200</v>
      </c>
      <c r="G49" s="81">
        <v>356100</v>
      </c>
      <c r="H49" s="219">
        <v>1462700</v>
      </c>
    </row>
    <row r="50" spans="1:8">
      <c r="A50" s="27" t="s">
        <v>103</v>
      </c>
      <c r="B50" s="95">
        <v>942700</v>
      </c>
      <c r="C50" s="96">
        <v>597500</v>
      </c>
      <c r="D50" s="96">
        <v>718300</v>
      </c>
      <c r="E50" s="96">
        <v>745900</v>
      </c>
      <c r="F50" s="96">
        <v>324300</v>
      </c>
      <c r="G50" s="81">
        <v>358000</v>
      </c>
      <c r="H50" s="219">
        <v>1428200</v>
      </c>
    </row>
    <row r="51" spans="1:8">
      <c r="A51" s="60" t="s">
        <v>104</v>
      </c>
      <c r="B51" s="232">
        <v>966700</v>
      </c>
      <c r="C51" s="233">
        <v>599200</v>
      </c>
      <c r="D51" s="233">
        <v>685200</v>
      </c>
      <c r="E51" s="233">
        <v>692800</v>
      </c>
      <c r="F51" s="233">
        <v>309800</v>
      </c>
      <c r="G51" s="234">
        <v>353200</v>
      </c>
      <c r="H51" s="235">
        <v>1355800</v>
      </c>
    </row>
    <row r="52" spans="1:8">
      <c r="A52" s="27" t="s">
        <v>105</v>
      </c>
      <c r="B52" s="95">
        <v>959800</v>
      </c>
      <c r="C52" s="96">
        <v>605500</v>
      </c>
      <c r="D52" s="96">
        <v>668300</v>
      </c>
      <c r="E52" s="96">
        <v>642700</v>
      </c>
      <c r="F52" s="96">
        <v>290700</v>
      </c>
      <c r="G52" s="81">
        <v>342200</v>
      </c>
      <c r="H52" s="219">
        <v>1275600</v>
      </c>
    </row>
    <row r="53" spans="1:8">
      <c r="A53" s="27" t="s">
        <v>106</v>
      </c>
      <c r="B53" s="95">
        <v>941500</v>
      </c>
      <c r="C53" s="96">
        <v>602500</v>
      </c>
      <c r="D53" s="96">
        <v>668200</v>
      </c>
      <c r="E53" s="96">
        <v>601500</v>
      </c>
      <c r="F53" s="96">
        <v>276500</v>
      </c>
      <c r="G53" s="81">
        <v>332700</v>
      </c>
      <c r="H53" s="219">
        <v>1210700</v>
      </c>
    </row>
    <row r="54" spans="1:8">
      <c r="A54" s="27" t="s">
        <v>107</v>
      </c>
      <c r="B54" s="95">
        <v>963900</v>
      </c>
      <c r="C54" s="96">
        <v>584400</v>
      </c>
      <c r="D54" s="96">
        <v>664200</v>
      </c>
      <c r="E54" s="96">
        <v>570000</v>
      </c>
      <c r="F54" s="96">
        <v>259600</v>
      </c>
      <c r="G54" s="81">
        <v>326200</v>
      </c>
      <c r="H54" s="219">
        <v>1155900</v>
      </c>
    </row>
    <row r="55" spans="1:8">
      <c r="A55" s="60" t="s">
        <v>108</v>
      </c>
      <c r="B55" s="232">
        <v>938800</v>
      </c>
      <c r="C55" s="233">
        <v>597200</v>
      </c>
      <c r="D55" s="233">
        <v>651100</v>
      </c>
      <c r="E55" s="233">
        <v>555900</v>
      </c>
      <c r="F55" s="233">
        <v>242600</v>
      </c>
      <c r="G55" s="234">
        <v>319200</v>
      </c>
      <c r="H55" s="235">
        <v>1117600</v>
      </c>
    </row>
    <row r="56" spans="1:8">
      <c r="A56" s="27" t="s">
        <v>109</v>
      </c>
      <c r="B56" s="95">
        <v>950800</v>
      </c>
      <c r="C56" s="96">
        <v>576500</v>
      </c>
      <c r="D56" s="96">
        <v>651900</v>
      </c>
      <c r="E56" s="96">
        <v>545400</v>
      </c>
      <c r="F56" s="96">
        <v>229700</v>
      </c>
      <c r="G56" s="81">
        <v>312600</v>
      </c>
      <c r="H56" s="219">
        <v>1087900</v>
      </c>
    </row>
    <row r="57" spans="1:8">
      <c r="A57" s="27" t="s">
        <v>110</v>
      </c>
      <c r="B57" s="95">
        <v>958400</v>
      </c>
      <c r="C57" s="96">
        <v>583700</v>
      </c>
      <c r="D57" s="96">
        <v>641800</v>
      </c>
      <c r="E57" s="96">
        <v>535600</v>
      </c>
      <c r="F57" s="96">
        <v>217300</v>
      </c>
      <c r="G57" s="81">
        <v>308400</v>
      </c>
      <c r="H57" s="219">
        <v>1061200</v>
      </c>
    </row>
    <row r="58" spans="1:8">
      <c r="A58" s="27" t="s">
        <v>111</v>
      </c>
      <c r="B58" s="95">
        <v>961800</v>
      </c>
      <c r="C58" s="96">
        <v>605000</v>
      </c>
      <c r="D58" s="96">
        <v>653300</v>
      </c>
      <c r="E58" s="96">
        <v>544700</v>
      </c>
      <c r="F58" s="96">
        <v>209900</v>
      </c>
      <c r="G58" s="81">
        <v>306100</v>
      </c>
      <c r="H58" s="219">
        <v>1060700</v>
      </c>
    </row>
    <row r="59" spans="1:8">
      <c r="A59" s="60" t="s">
        <v>112</v>
      </c>
      <c r="B59" s="232">
        <v>1017600</v>
      </c>
      <c r="C59" s="233">
        <v>620100</v>
      </c>
      <c r="D59" s="233">
        <v>687700</v>
      </c>
      <c r="E59" s="233">
        <v>557800</v>
      </c>
      <c r="F59" s="233">
        <v>209900</v>
      </c>
      <c r="G59" s="234">
        <v>304400</v>
      </c>
      <c r="H59" s="235">
        <v>1072100</v>
      </c>
    </row>
    <row r="60" spans="1:8">
      <c r="A60" s="27" t="s">
        <v>113</v>
      </c>
      <c r="B60" s="95">
        <v>1062300</v>
      </c>
      <c r="C60" s="96">
        <v>685500</v>
      </c>
      <c r="D60" s="96">
        <v>736100</v>
      </c>
      <c r="E60" s="96">
        <v>587500</v>
      </c>
      <c r="F60" s="96">
        <v>215100</v>
      </c>
      <c r="G60" s="81">
        <v>306400</v>
      </c>
      <c r="H60" s="219">
        <v>1108900</v>
      </c>
    </row>
    <row r="61" spans="1:8">
      <c r="A61" s="27" t="s">
        <v>114</v>
      </c>
      <c r="B61" s="95">
        <v>1077600</v>
      </c>
      <c r="C61" s="96">
        <v>733900</v>
      </c>
      <c r="D61" s="96">
        <v>819200</v>
      </c>
      <c r="E61" s="96">
        <v>634600</v>
      </c>
      <c r="F61" s="96">
        <v>226800</v>
      </c>
      <c r="G61" s="81">
        <v>311500</v>
      </c>
      <c r="H61" s="219">
        <v>1172900</v>
      </c>
    </row>
    <row r="62" spans="1:8">
      <c r="A62" s="27" t="s">
        <v>115</v>
      </c>
      <c r="B62" s="95">
        <v>1059700</v>
      </c>
      <c r="C62" s="96">
        <v>734400</v>
      </c>
      <c r="D62" s="96">
        <v>892900</v>
      </c>
      <c r="E62" s="96">
        <v>688200</v>
      </c>
      <c r="F62" s="96">
        <v>242500</v>
      </c>
      <c r="G62" s="81">
        <v>317600</v>
      </c>
      <c r="H62" s="219">
        <v>1248300</v>
      </c>
    </row>
    <row r="63" spans="1:8">
      <c r="A63" s="60" t="s">
        <v>116</v>
      </c>
      <c r="B63" s="232">
        <v>1074400</v>
      </c>
      <c r="C63" s="233">
        <v>721200</v>
      </c>
      <c r="D63" s="233">
        <v>916200</v>
      </c>
      <c r="E63" s="233">
        <v>759500</v>
      </c>
      <c r="F63" s="233">
        <v>256700</v>
      </c>
      <c r="G63" s="234">
        <v>324600</v>
      </c>
      <c r="H63" s="235">
        <v>1340900</v>
      </c>
    </row>
    <row r="64" spans="1:8">
      <c r="A64" s="27" t="s">
        <v>117</v>
      </c>
      <c r="B64" s="95">
        <v>1038600</v>
      </c>
      <c r="C64" s="96">
        <v>729700</v>
      </c>
      <c r="D64" s="96">
        <v>909800</v>
      </c>
      <c r="E64" s="96">
        <v>826400</v>
      </c>
      <c r="F64" s="96">
        <v>275700</v>
      </c>
      <c r="G64" s="81">
        <v>336000</v>
      </c>
      <c r="H64" s="219">
        <v>1438100</v>
      </c>
    </row>
    <row r="65" spans="1:8">
      <c r="A65" s="27" t="s">
        <v>118</v>
      </c>
      <c r="B65" s="95">
        <v>1059300</v>
      </c>
      <c r="C65" s="96">
        <v>697300</v>
      </c>
      <c r="D65" s="96">
        <v>906400</v>
      </c>
      <c r="E65" s="96">
        <v>866800</v>
      </c>
      <c r="F65" s="96">
        <v>296700</v>
      </c>
      <c r="G65" s="81">
        <v>349200</v>
      </c>
      <c r="H65" s="219">
        <v>1512700</v>
      </c>
    </row>
    <row r="66" spans="1:8">
      <c r="A66" s="27" t="s">
        <v>119</v>
      </c>
      <c r="B66" s="95">
        <v>1054000</v>
      </c>
      <c r="C66" s="96">
        <v>711200</v>
      </c>
      <c r="D66" s="96">
        <v>884400</v>
      </c>
      <c r="E66" s="96">
        <v>888600</v>
      </c>
      <c r="F66" s="96">
        <v>318800</v>
      </c>
      <c r="G66" s="81">
        <v>363100</v>
      </c>
      <c r="H66" s="219">
        <v>1570500</v>
      </c>
    </row>
    <row r="67" spans="1:8">
      <c r="A67" s="60" t="s">
        <v>120</v>
      </c>
      <c r="B67" s="232">
        <v>1031900</v>
      </c>
      <c r="C67" s="233">
        <v>717300</v>
      </c>
      <c r="D67" s="233">
        <v>881500</v>
      </c>
      <c r="E67" s="233">
        <v>895500</v>
      </c>
      <c r="F67" s="233">
        <v>350000</v>
      </c>
      <c r="G67" s="234">
        <v>377800</v>
      </c>
      <c r="H67" s="235">
        <v>1623300</v>
      </c>
    </row>
    <row r="68" spans="1:8">
      <c r="A68" s="27" t="s">
        <v>121</v>
      </c>
      <c r="B68" s="95">
        <v>1058100</v>
      </c>
      <c r="C68" s="96">
        <v>703100</v>
      </c>
      <c r="D68" s="96">
        <v>890000</v>
      </c>
      <c r="E68" s="96">
        <v>880300</v>
      </c>
      <c r="F68" s="96">
        <v>375900</v>
      </c>
      <c r="G68" s="81">
        <v>394700</v>
      </c>
      <c r="H68" s="219">
        <v>1650900</v>
      </c>
    </row>
    <row r="69" spans="1:8">
      <c r="A69" s="27" t="s">
        <v>122</v>
      </c>
      <c r="B69" s="95">
        <v>1058900</v>
      </c>
      <c r="C69" s="96">
        <v>721900</v>
      </c>
      <c r="D69" s="96">
        <v>887200</v>
      </c>
      <c r="E69" s="96">
        <v>874100</v>
      </c>
      <c r="F69" s="96">
        <v>390000</v>
      </c>
      <c r="G69" s="81">
        <v>413500</v>
      </c>
      <c r="H69" s="219">
        <v>1677600</v>
      </c>
    </row>
    <row r="70" spans="1:8">
      <c r="A70" s="27" t="s">
        <v>123</v>
      </c>
      <c r="B70" s="95">
        <v>1060800</v>
      </c>
      <c r="C70" s="96">
        <v>734700</v>
      </c>
      <c r="D70" s="96">
        <v>902100</v>
      </c>
      <c r="E70" s="96">
        <v>877400</v>
      </c>
      <c r="F70" s="96">
        <v>398000</v>
      </c>
      <c r="G70" s="81">
        <v>434500</v>
      </c>
      <c r="H70" s="219">
        <v>1709800</v>
      </c>
    </row>
    <row r="71" spans="1:8">
      <c r="A71" s="60" t="s">
        <v>124</v>
      </c>
      <c r="B71" s="232">
        <v>1083600</v>
      </c>
      <c r="C71" s="233">
        <v>737400</v>
      </c>
      <c r="D71" s="233">
        <v>921700</v>
      </c>
      <c r="E71" s="233">
        <v>879000</v>
      </c>
      <c r="F71" s="233">
        <v>398900</v>
      </c>
      <c r="G71" s="234">
        <v>459800</v>
      </c>
      <c r="H71" s="235">
        <v>1737700</v>
      </c>
    </row>
    <row r="72" spans="1:8">
      <c r="A72" s="27" t="s">
        <v>125</v>
      </c>
      <c r="B72" s="95">
        <v>1112100</v>
      </c>
      <c r="C72" s="96">
        <v>747800</v>
      </c>
      <c r="D72" s="96">
        <v>924900</v>
      </c>
      <c r="E72" s="96">
        <v>891300</v>
      </c>
      <c r="F72" s="96">
        <v>395600</v>
      </c>
      <c r="G72" s="81">
        <v>483700</v>
      </c>
      <c r="H72" s="219">
        <v>1770500</v>
      </c>
    </row>
    <row r="73" spans="1:8">
      <c r="A73" s="27" t="s">
        <v>126</v>
      </c>
      <c r="B73" s="95">
        <v>1096500</v>
      </c>
      <c r="C73" s="96">
        <v>774400</v>
      </c>
      <c r="D73" s="96">
        <v>945200</v>
      </c>
      <c r="E73" s="96">
        <v>911100</v>
      </c>
      <c r="F73" s="96">
        <v>400100</v>
      </c>
      <c r="G73" s="81">
        <v>505100</v>
      </c>
      <c r="H73" s="219">
        <v>1816200</v>
      </c>
    </row>
    <row r="74" spans="1:8">
      <c r="A74" s="27" t="s">
        <v>127</v>
      </c>
      <c r="B74" s="95">
        <v>1142500</v>
      </c>
      <c r="C74" s="96">
        <v>770900</v>
      </c>
      <c r="D74" s="96">
        <v>974500</v>
      </c>
      <c r="E74" s="96">
        <v>932400</v>
      </c>
      <c r="F74" s="96">
        <v>410100</v>
      </c>
      <c r="G74" s="81">
        <v>525900</v>
      </c>
      <c r="H74" s="219">
        <v>1868400</v>
      </c>
    </row>
    <row r="75" spans="1:8">
      <c r="A75" s="60" t="s">
        <v>128</v>
      </c>
      <c r="B75" s="232">
        <v>1145200</v>
      </c>
      <c r="C75" s="233">
        <v>800400</v>
      </c>
      <c r="D75" s="233">
        <v>997200</v>
      </c>
      <c r="E75" s="233">
        <v>968300</v>
      </c>
      <c r="F75" s="233">
        <v>422100</v>
      </c>
      <c r="G75" s="234">
        <v>549400</v>
      </c>
      <c r="H75" s="235">
        <v>1939700</v>
      </c>
    </row>
    <row r="76" spans="1:8">
      <c r="A76" s="27" t="s">
        <v>129</v>
      </c>
      <c r="B76" s="95">
        <v>1132600</v>
      </c>
      <c r="C76" s="96">
        <v>816000</v>
      </c>
      <c r="D76" s="96">
        <v>1032100</v>
      </c>
      <c r="E76" s="96">
        <v>1008100</v>
      </c>
      <c r="F76" s="96">
        <v>438600</v>
      </c>
      <c r="G76" s="81">
        <v>572700</v>
      </c>
      <c r="H76" s="219">
        <v>2019400</v>
      </c>
    </row>
    <row r="77" spans="1:8">
      <c r="A77" s="27" t="s">
        <v>130</v>
      </c>
      <c r="B77" s="95">
        <v>1137400</v>
      </c>
      <c r="C77" s="96">
        <v>803600</v>
      </c>
      <c r="D77" s="96">
        <v>1054600</v>
      </c>
      <c r="E77" s="96">
        <v>1034700</v>
      </c>
      <c r="F77" s="96">
        <v>455700</v>
      </c>
      <c r="G77" s="81">
        <v>600200</v>
      </c>
      <c r="H77" s="219">
        <v>2090700</v>
      </c>
    </row>
    <row r="78" spans="1:8">
      <c r="A78" s="27" t="s">
        <v>131</v>
      </c>
      <c r="B78" s="95">
        <v>1143700</v>
      </c>
      <c r="C78" s="96">
        <v>795500</v>
      </c>
      <c r="D78" s="96">
        <v>1032000</v>
      </c>
      <c r="E78" s="96">
        <v>1052000</v>
      </c>
      <c r="F78" s="96">
        <v>468400</v>
      </c>
      <c r="G78" s="81">
        <v>622300</v>
      </c>
      <c r="H78" s="219">
        <v>2142700</v>
      </c>
    </row>
    <row r="79" spans="1:8">
      <c r="A79" s="60" t="s">
        <v>132</v>
      </c>
      <c r="B79" s="232">
        <v>1157600</v>
      </c>
      <c r="C79" s="233">
        <v>806800</v>
      </c>
      <c r="D79" s="233">
        <v>1019300</v>
      </c>
      <c r="E79" s="233">
        <v>1063600</v>
      </c>
      <c r="F79" s="233">
        <v>486100</v>
      </c>
      <c r="G79" s="234">
        <v>646700</v>
      </c>
      <c r="H79" s="235">
        <v>2196400</v>
      </c>
    </row>
    <row r="80" spans="1:8">
      <c r="A80" s="27" t="s">
        <v>133</v>
      </c>
      <c r="B80" s="95">
        <v>1161000</v>
      </c>
      <c r="C80" s="96">
        <v>810900</v>
      </c>
      <c r="D80" s="96">
        <v>1024600</v>
      </c>
      <c r="E80" s="96">
        <v>1063800</v>
      </c>
      <c r="F80" s="96">
        <v>505100</v>
      </c>
      <c r="G80" s="81">
        <v>675200</v>
      </c>
      <c r="H80" s="219">
        <v>2244100</v>
      </c>
    </row>
    <row r="81" spans="1:8">
      <c r="A81" s="27" t="s">
        <v>134</v>
      </c>
      <c r="B81" s="95">
        <v>1171500</v>
      </c>
      <c r="C81" s="96">
        <v>816200</v>
      </c>
      <c r="D81" s="96">
        <v>1036600</v>
      </c>
      <c r="E81" s="96">
        <v>1070300</v>
      </c>
      <c r="F81" s="96">
        <v>517000</v>
      </c>
      <c r="G81" s="81">
        <v>704300</v>
      </c>
      <c r="H81" s="219">
        <v>2291600</v>
      </c>
    </row>
    <row r="82" spans="1:8">
      <c r="A82" s="27" t="s">
        <v>135</v>
      </c>
      <c r="B82" s="95">
        <v>1171000</v>
      </c>
      <c r="C82" s="96">
        <v>822600</v>
      </c>
      <c r="D82" s="96">
        <v>1045700</v>
      </c>
      <c r="E82" s="96">
        <v>1077800</v>
      </c>
      <c r="F82" s="96">
        <v>530600</v>
      </c>
      <c r="G82" s="81">
        <v>733600</v>
      </c>
      <c r="H82" s="219">
        <v>2342100</v>
      </c>
    </row>
    <row r="83" spans="1:8">
      <c r="A83" s="60" t="s">
        <v>136</v>
      </c>
      <c r="B83" s="232">
        <v>1192500</v>
      </c>
      <c r="C83" s="233">
        <v>832800</v>
      </c>
      <c r="D83" s="233">
        <v>1060900</v>
      </c>
      <c r="E83" s="233">
        <v>1087700</v>
      </c>
      <c r="F83" s="233">
        <v>541600</v>
      </c>
      <c r="G83" s="234">
        <v>764200</v>
      </c>
      <c r="H83" s="235">
        <v>2393500</v>
      </c>
    </row>
    <row r="84" spans="1:8">
      <c r="A84" s="27" t="s">
        <v>137</v>
      </c>
      <c r="B84" s="95">
        <v>1190800</v>
      </c>
      <c r="C84" s="96">
        <v>852100</v>
      </c>
      <c r="D84" s="96">
        <v>1079400</v>
      </c>
      <c r="E84" s="96">
        <v>1106600</v>
      </c>
      <c r="F84" s="96">
        <v>546600</v>
      </c>
      <c r="G84" s="81">
        <v>796100</v>
      </c>
      <c r="H84" s="219">
        <v>2449300</v>
      </c>
    </row>
    <row r="85" spans="1:8">
      <c r="A85" s="27" t="s">
        <v>138</v>
      </c>
      <c r="B85" s="95">
        <v>1186100</v>
      </c>
      <c r="C85" s="96">
        <v>864500</v>
      </c>
      <c r="D85" s="96">
        <v>1117400</v>
      </c>
      <c r="E85" s="96">
        <v>1136000</v>
      </c>
      <c r="F85" s="96">
        <v>557300</v>
      </c>
      <c r="G85" s="81">
        <v>831000</v>
      </c>
      <c r="H85" s="219">
        <v>2524300</v>
      </c>
    </row>
    <row r="86" spans="1:8">
      <c r="A86" s="27" t="s">
        <v>139</v>
      </c>
      <c r="B86" s="95">
        <v>1155200</v>
      </c>
      <c r="C86" s="96">
        <v>845100</v>
      </c>
      <c r="D86" s="96">
        <v>1130100</v>
      </c>
      <c r="E86" s="96">
        <v>1151600</v>
      </c>
      <c r="F86" s="96">
        <v>561800</v>
      </c>
      <c r="G86" s="81">
        <v>862900</v>
      </c>
      <c r="H86" s="219">
        <v>2576300</v>
      </c>
    </row>
    <row r="87" spans="1:8">
      <c r="A87" s="60" t="s">
        <v>140</v>
      </c>
      <c r="B87" s="232">
        <v>1195600</v>
      </c>
      <c r="C87" s="233">
        <v>824400</v>
      </c>
      <c r="D87" s="233">
        <v>1115900</v>
      </c>
      <c r="E87" s="233">
        <v>1169300</v>
      </c>
      <c r="F87" s="233">
        <v>562500</v>
      </c>
      <c r="G87" s="234">
        <v>886000</v>
      </c>
      <c r="H87" s="235">
        <v>2617800</v>
      </c>
    </row>
    <row r="88" spans="1:8">
      <c r="A88" s="27" t="s">
        <v>141</v>
      </c>
      <c r="B88" s="95">
        <v>1188600</v>
      </c>
      <c r="C88" s="96">
        <v>846600</v>
      </c>
      <c r="D88" s="96">
        <v>1090500</v>
      </c>
      <c r="E88" s="96">
        <v>1177800</v>
      </c>
      <c r="F88" s="96">
        <v>564000</v>
      </c>
      <c r="G88" s="81">
        <v>901000</v>
      </c>
      <c r="H88" s="219">
        <v>2642800</v>
      </c>
    </row>
    <row r="89" spans="1:8">
      <c r="A89" s="27" t="s">
        <v>142</v>
      </c>
      <c r="B89" s="95">
        <v>1222600</v>
      </c>
      <c r="C89" s="96">
        <v>821000</v>
      </c>
      <c r="D89" s="96">
        <v>1077400</v>
      </c>
      <c r="E89" s="96">
        <v>1151900</v>
      </c>
      <c r="F89" s="96">
        <v>556600</v>
      </c>
      <c r="G89" s="81">
        <v>902700</v>
      </c>
      <c r="H89" s="219">
        <v>2611200</v>
      </c>
    </row>
    <row r="90" spans="1:8">
      <c r="A90" s="27" t="s">
        <v>143</v>
      </c>
      <c r="B90" s="95">
        <v>1250800</v>
      </c>
      <c r="C90" s="96">
        <v>860000</v>
      </c>
      <c r="D90" s="96">
        <v>1070500</v>
      </c>
      <c r="E90" s="96">
        <v>1123300</v>
      </c>
      <c r="F90" s="96">
        <v>549700</v>
      </c>
      <c r="G90" s="81">
        <v>905200</v>
      </c>
      <c r="H90" s="219">
        <v>2578200</v>
      </c>
    </row>
    <row r="91" spans="1:8">
      <c r="A91" s="60" t="s">
        <v>144</v>
      </c>
      <c r="B91" s="232">
        <v>1235900</v>
      </c>
      <c r="C91" s="233">
        <v>870600</v>
      </c>
      <c r="D91" s="233">
        <v>1091100</v>
      </c>
      <c r="E91" s="233">
        <v>1111800</v>
      </c>
      <c r="F91" s="233">
        <v>551300</v>
      </c>
      <c r="G91" s="234">
        <v>911900</v>
      </c>
      <c r="H91" s="235">
        <v>2575000</v>
      </c>
    </row>
    <row r="92" spans="1:8">
      <c r="A92" s="27" t="s">
        <v>145</v>
      </c>
      <c r="B92" s="95">
        <v>1260100</v>
      </c>
      <c r="C92" s="96">
        <v>861700</v>
      </c>
      <c r="D92" s="96">
        <v>1124100</v>
      </c>
      <c r="E92" s="96">
        <v>1100400</v>
      </c>
      <c r="F92" s="96">
        <v>551200</v>
      </c>
      <c r="G92" s="81">
        <v>919400</v>
      </c>
      <c r="H92" s="219">
        <v>2570900</v>
      </c>
    </row>
    <row r="93" spans="1:8">
      <c r="A93" s="27" t="s">
        <v>146</v>
      </c>
      <c r="B93" s="95">
        <v>1246600</v>
      </c>
      <c r="C93" s="96">
        <v>884000</v>
      </c>
      <c r="D93" s="96">
        <v>1132000</v>
      </c>
      <c r="E93" s="96">
        <v>1119700</v>
      </c>
      <c r="F93" s="96">
        <v>548600</v>
      </c>
      <c r="G93" s="81">
        <v>926800</v>
      </c>
      <c r="H93" s="219">
        <v>2595000</v>
      </c>
    </row>
    <row r="94" spans="1:8">
      <c r="A94" s="27" t="s">
        <v>147</v>
      </c>
      <c r="B94" s="95">
        <v>1232100</v>
      </c>
      <c r="C94" s="96">
        <v>876500</v>
      </c>
      <c r="D94" s="96">
        <v>1156300</v>
      </c>
      <c r="E94" s="96">
        <v>1157700</v>
      </c>
      <c r="F94" s="96">
        <v>544700</v>
      </c>
      <c r="G94" s="81">
        <v>935900</v>
      </c>
      <c r="H94" s="219">
        <v>2638300</v>
      </c>
    </row>
    <row r="95" spans="1:8">
      <c r="A95" s="60" t="s">
        <v>148</v>
      </c>
      <c r="B95" s="232">
        <v>1210100</v>
      </c>
      <c r="C95" s="233">
        <v>865400</v>
      </c>
      <c r="D95" s="233">
        <v>1172400</v>
      </c>
      <c r="E95" s="233">
        <v>1193700</v>
      </c>
      <c r="F95" s="233">
        <v>546400</v>
      </c>
      <c r="G95" s="234">
        <v>945800</v>
      </c>
      <c r="H95" s="235">
        <v>2685900</v>
      </c>
    </row>
    <row r="96" spans="1:8">
      <c r="A96" s="27" t="s">
        <v>149</v>
      </c>
      <c r="B96" s="95">
        <v>1192600</v>
      </c>
      <c r="C96" s="96">
        <v>850000</v>
      </c>
      <c r="D96" s="96">
        <v>1161800</v>
      </c>
      <c r="E96" s="96">
        <v>1235100</v>
      </c>
      <c r="F96" s="96">
        <v>548600</v>
      </c>
      <c r="G96" s="81">
        <v>954800</v>
      </c>
      <c r="H96" s="219">
        <v>2738400</v>
      </c>
    </row>
    <row r="97" spans="1:8">
      <c r="A97" s="27" t="s">
        <v>150</v>
      </c>
      <c r="B97" s="95">
        <v>1184000</v>
      </c>
      <c r="C97" s="96">
        <v>838700</v>
      </c>
      <c r="D97" s="96">
        <v>1138100</v>
      </c>
      <c r="E97" s="96">
        <v>1254400</v>
      </c>
      <c r="F97" s="96">
        <v>563000</v>
      </c>
      <c r="G97" s="81">
        <v>964400</v>
      </c>
      <c r="H97" s="219">
        <v>2781800</v>
      </c>
    </row>
    <row r="98" spans="1:8">
      <c r="A98" s="27" t="s">
        <v>151</v>
      </c>
      <c r="B98" s="95">
        <v>1185600</v>
      </c>
      <c r="C98" s="96">
        <v>828100</v>
      </c>
      <c r="D98" s="96">
        <v>1115100</v>
      </c>
      <c r="E98" s="96">
        <v>1255500</v>
      </c>
      <c r="F98" s="96">
        <v>584700</v>
      </c>
      <c r="G98" s="81">
        <v>967000</v>
      </c>
      <c r="H98" s="219">
        <v>2807200</v>
      </c>
    </row>
    <row r="99" spans="1:8">
      <c r="A99" s="60" t="s">
        <v>152</v>
      </c>
      <c r="B99" s="232">
        <v>1169800</v>
      </c>
      <c r="C99" s="233">
        <v>829200</v>
      </c>
      <c r="D99" s="233">
        <v>1105300</v>
      </c>
      <c r="E99" s="233">
        <v>1248200</v>
      </c>
      <c r="F99" s="233">
        <v>603800</v>
      </c>
      <c r="G99" s="234">
        <v>973800</v>
      </c>
      <c r="H99" s="235">
        <v>2825700</v>
      </c>
    </row>
    <row r="100" spans="1:8">
      <c r="A100" s="27" t="s">
        <v>153</v>
      </c>
      <c r="B100" s="95">
        <v>1169700</v>
      </c>
      <c r="C100" s="96">
        <v>816100</v>
      </c>
      <c r="D100" s="96">
        <v>1105000</v>
      </c>
      <c r="E100" s="96">
        <v>1228300</v>
      </c>
      <c r="F100" s="96">
        <v>624000</v>
      </c>
      <c r="G100" s="81">
        <v>981600</v>
      </c>
      <c r="H100" s="219">
        <v>2833900</v>
      </c>
    </row>
    <row r="101" spans="1:8">
      <c r="A101" s="27" t="s">
        <v>154</v>
      </c>
      <c r="B101" s="95">
        <v>1178000</v>
      </c>
      <c r="C101" s="96">
        <v>801100</v>
      </c>
      <c r="D101" s="96">
        <v>1076000</v>
      </c>
      <c r="E101" s="96">
        <v>1202300</v>
      </c>
      <c r="F101" s="96">
        <v>628200</v>
      </c>
      <c r="G101" s="81">
        <v>994000</v>
      </c>
      <c r="H101" s="219">
        <v>2824500</v>
      </c>
    </row>
    <row r="102" spans="1:8">
      <c r="A102" s="27" t="s">
        <v>155</v>
      </c>
      <c r="B102" s="95">
        <v>1170000</v>
      </c>
      <c r="C102" s="96">
        <v>804200</v>
      </c>
      <c r="D102" s="96">
        <v>1042000</v>
      </c>
      <c r="E102" s="96">
        <v>1172500</v>
      </c>
      <c r="F102" s="96">
        <v>621900</v>
      </c>
      <c r="G102" s="81">
        <v>1003600</v>
      </c>
      <c r="H102" s="219">
        <v>2798000</v>
      </c>
    </row>
    <row r="103" spans="1:8">
      <c r="A103" s="60" t="s">
        <v>156</v>
      </c>
      <c r="B103" s="232">
        <v>1169100</v>
      </c>
      <c r="C103" s="233">
        <v>799400</v>
      </c>
      <c r="D103" s="233">
        <v>1035900</v>
      </c>
      <c r="E103" s="233">
        <v>1136600</v>
      </c>
      <c r="F103" s="233">
        <v>608500</v>
      </c>
      <c r="G103" s="234">
        <v>1010800</v>
      </c>
      <c r="H103" s="235">
        <v>2755800</v>
      </c>
    </row>
    <row r="104" spans="1:8">
      <c r="A104" s="27" t="s">
        <v>157</v>
      </c>
      <c r="B104" s="95">
        <v>1183400</v>
      </c>
      <c r="C104" s="96">
        <v>803900</v>
      </c>
      <c r="D104" s="96">
        <v>1049900</v>
      </c>
      <c r="E104" s="96">
        <v>1110400</v>
      </c>
      <c r="F104" s="96">
        <v>591300</v>
      </c>
      <c r="G104" s="81">
        <v>1016900</v>
      </c>
      <c r="H104" s="219">
        <v>2718600</v>
      </c>
    </row>
    <row r="105" spans="1:8">
      <c r="A105" s="27" t="s">
        <v>158</v>
      </c>
      <c r="B105" s="95">
        <v>1130600</v>
      </c>
      <c r="C105" s="96">
        <v>940900</v>
      </c>
      <c r="D105" s="96">
        <v>1178600</v>
      </c>
      <c r="E105" s="96">
        <v>1184100</v>
      </c>
      <c r="F105" s="96">
        <v>610700</v>
      </c>
      <c r="G105" s="81">
        <v>1062300</v>
      </c>
      <c r="H105" s="219">
        <v>2857100</v>
      </c>
    </row>
    <row r="106" spans="1:8">
      <c r="A106" s="27" t="s">
        <v>159</v>
      </c>
      <c r="B106" s="95">
        <v>1075100</v>
      </c>
      <c r="C106" s="96">
        <v>797900</v>
      </c>
      <c r="D106" s="96">
        <v>1252900</v>
      </c>
      <c r="E106" s="96">
        <v>1232900</v>
      </c>
      <c r="F106" s="96">
        <v>616500</v>
      </c>
      <c r="G106" s="81">
        <v>1090500</v>
      </c>
      <c r="H106" s="219">
        <v>2939900</v>
      </c>
    </row>
    <row r="107" spans="1:8">
      <c r="A107" s="60" t="s">
        <v>160</v>
      </c>
      <c r="B107" s="232">
        <v>1126900</v>
      </c>
      <c r="C107" s="233">
        <v>750500</v>
      </c>
      <c r="D107" s="233">
        <v>1155300</v>
      </c>
      <c r="E107" s="233">
        <v>1274900</v>
      </c>
      <c r="F107" s="233">
        <v>612000</v>
      </c>
      <c r="G107" s="234">
        <v>1105500</v>
      </c>
      <c r="H107" s="235">
        <v>2992400</v>
      </c>
    </row>
    <row r="108" spans="1:8">
      <c r="A108" s="27" t="s">
        <v>161</v>
      </c>
      <c r="B108" s="95">
        <v>1130300</v>
      </c>
      <c r="C108" s="96">
        <v>799100</v>
      </c>
      <c r="D108" s="96">
        <v>1040200</v>
      </c>
      <c r="E108" s="96">
        <v>1324900</v>
      </c>
      <c r="F108" s="96">
        <v>615200</v>
      </c>
      <c r="G108" s="81">
        <v>1117300</v>
      </c>
      <c r="H108" s="219">
        <v>3057400</v>
      </c>
    </row>
    <row r="109" spans="1:8">
      <c r="A109" s="27" t="s">
        <v>162</v>
      </c>
      <c r="B109" s="95">
        <v>1123800</v>
      </c>
      <c r="C109" s="96">
        <v>786000</v>
      </c>
      <c r="D109" s="96">
        <v>1039500</v>
      </c>
      <c r="E109" s="96">
        <v>1279800</v>
      </c>
      <c r="F109" s="96">
        <v>621700</v>
      </c>
      <c r="G109" s="81">
        <v>1125100</v>
      </c>
      <c r="H109" s="219">
        <v>3026600</v>
      </c>
    </row>
    <row r="110" spans="1:8">
      <c r="A110" s="27" t="s">
        <v>163</v>
      </c>
      <c r="B110" s="95">
        <v>1135400</v>
      </c>
      <c r="C110" s="96">
        <v>766200</v>
      </c>
      <c r="D110" s="96">
        <v>1019900</v>
      </c>
      <c r="E110" s="96">
        <v>1185300</v>
      </c>
      <c r="F110" s="96">
        <v>617300</v>
      </c>
      <c r="G110" s="81">
        <v>1121700</v>
      </c>
      <c r="H110" s="219">
        <v>2924300</v>
      </c>
    </row>
    <row r="111" spans="1:8">
      <c r="A111" s="60" t="s">
        <v>164</v>
      </c>
      <c r="B111" s="232">
        <v>1106800</v>
      </c>
      <c r="C111" s="233">
        <v>769800</v>
      </c>
      <c r="D111" s="233">
        <v>990200</v>
      </c>
      <c r="E111" s="233">
        <v>1099200</v>
      </c>
      <c r="F111" s="233">
        <v>608100</v>
      </c>
      <c r="G111" s="234">
        <v>1103800</v>
      </c>
      <c r="H111" s="235">
        <v>2811100</v>
      </c>
    </row>
    <row r="112" spans="1:8">
      <c r="A112" s="27" t="s">
        <v>165</v>
      </c>
      <c r="B112" s="95">
        <v>1128500</v>
      </c>
      <c r="C112" s="96">
        <v>739200</v>
      </c>
      <c r="D112" s="96">
        <v>983200</v>
      </c>
      <c r="E112" s="96">
        <v>1017900</v>
      </c>
      <c r="F112" s="96">
        <v>593000</v>
      </c>
      <c r="G112" s="81">
        <v>1071400</v>
      </c>
      <c r="H112" s="219">
        <v>2682300</v>
      </c>
    </row>
    <row r="113" spans="1:8">
      <c r="A113" s="27" t="s">
        <v>166</v>
      </c>
      <c r="B113" s="95">
        <v>1167300</v>
      </c>
      <c r="C113" s="96">
        <v>752500</v>
      </c>
      <c r="D113" s="96">
        <v>952700</v>
      </c>
      <c r="E113" s="96">
        <v>986400</v>
      </c>
      <c r="F113" s="96">
        <v>545000</v>
      </c>
      <c r="G113" s="81">
        <v>1046400</v>
      </c>
      <c r="H113" s="219">
        <v>2577800</v>
      </c>
    </row>
    <row r="114" spans="1:8">
      <c r="A114" s="27" t="s">
        <v>167</v>
      </c>
      <c r="B114" s="95">
        <v>1170300</v>
      </c>
      <c r="C114" s="96">
        <v>793800</v>
      </c>
      <c r="D114" s="96">
        <v>955900</v>
      </c>
      <c r="E114" s="96">
        <v>988600</v>
      </c>
      <c r="F114" s="96">
        <v>502000</v>
      </c>
      <c r="G114" s="81">
        <v>1022100</v>
      </c>
      <c r="H114" s="219">
        <v>2512700</v>
      </c>
    </row>
    <row r="115" spans="1:8">
      <c r="A115" s="60" t="s">
        <v>168</v>
      </c>
      <c r="B115" s="232">
        <v>1172000</v>
      </c>
      <c r="C115" s="233">
        <v>782100</v>
      </c>
      <c r="D115" s="233">
        <v>994500</v>
      </c>
      <c r="E115" s="233">
        <v>973000</v>
      </c>
      <c r="F115" s="233">
        <v>471100</v>
      </c>
      <c r="G115" s="234">
        <v>990000</v>
      </c>
      <c r="H115" s="235">
        <v>2434200</v>
      </c>
    </row>
    <row r="116" spans="1:8">
      <c r="A116" s="27" t="s">
        <v>169</v>
      </c>
      <c r="B116" s="95">
        <v>1194000</v>
      </c>
      <c r="C116" s="96">
        <v>782200</v>
      </c>
      <c r="D116" s="96">
        <v>1006700</v>
      </c>
      <c r="E116" s="96">
        <v>971000</v>
      </c>
      <c r="F116" s="96">
        <v>443100</v>
      </c>
      <c r="G116" s="81">
        <v>966500</v>
      </c>
      <c r="H116" s="219">
        <v>2380500</v>
      </c>
    </row>
    <row r="117" spans="1:8">
      <c r="A117" s="27" t="s">
        <v>170</v>
      </c>
      <c r="B117" s="95">
        <v>1177800</v>
      </c>
      <c r="C117" s="96">
        <v>807400</v>
      </c>
      <c r="D117" s="96">
        <v>1007200</v>
      </c>
      <c r="E117" s="96">
        <v>986900</v>
      </c>
      <c r="F117" s="96">
        <v>434000</v>
      </c>
      <c r="G117" s="81">
        <v>934700</v>
      </c>
      <c r="H117" s="219">
        <v>2355500</v>
      </c>
    </row>
    <row r="118" spans="1:8">
      <c r="A118" s="27" t="s">
        <v>171</v>
      </c>
      <c r="B118" s="95">
        <v>1193300</v>
      </c>
      <c r="C118" s="96">
        <v>794300</v>
      </c>
      <c r="D118" s="96">
        <v>1029300</v>
      </c>
      <c r="E118" s="96">
        <v>1004600</v>
      </c>
      <c r="F118" s="96">
        <v>437700</v>
      </c>
      <c r="G118" s="81">
        <v>905800</v>
      </c>
      <c r="H118" s="219">
        <v>2348000</v>
      </c>
    </row>
    <row r="119" spans="1:8">
      <c r="A119" s="60" t="s">
        <v>172</v>
      </c>
      <c r="B119" s="232">
        <v>1204800</v>
      </c>
      <c r="C119" s="233">
        <v>801100</v>
      </c>
      <c r="D119" s="233">
        <v>1031700</v>
      </c>
      <c r="E119" s="233">
        <v>1034500</v>
      </c>
      <c r="F119" s="233">
        <v>437500</v>
      </c>
      <c r="G119" s="234">
        <v>885600</v>
      </c>
      <c r="H119" s="235">
        <v>2357600</v>
      </c>
    </row>
    <row r="120" spans="1:8">
      <c r="A120" s="27" t="s">
        <v>173</v>
      </c>
      <c r="B120" s="95">
        <v>1187100</v>
      </c>
      <c r="C120" s="96">
        <v>805000</v>
      </c>
      <c r="D120" s="96">
        <v>1028600</v>
      </c>
      <c r="E120" s="96">
        <v>1058900</v>
      </c>
      <c r="F120" s="96">
        <v>444700</v>
      </c>
      <c r="G120" s="81">
        <v>867800</v>
      </c>
      <c r="H120" s="219">
        <v>2371400</v>
      </c>
    </row>
    <row r="121" spans="1:8">
      <c r="A121" s="27" t="s">
        <v>174</v>
      </c>
      <c r="B121" s="95">
        <v>1200100</v>
      </c>
      <c r="C121" s="96">
        <v>798200</v>
      </c>
      <c r="D121" s="96">
        <v>1032300</v>
      </c>
      <c r="E121" s="96">
        <v>1053300</v>
      </c>
      <c r="F121" s="96">
        <v>453900</v>
      </c>
      <c r="G121" s="81">
        <v>851900</v>
      </c>
      <c r="H121" s="219">
        <v>2359100</v>
      </c>
    </row>
    <row r="122" spans="1:8">
      <c r="A122" s="27" t="s">
        <v>175</v>
      </c>
      <c r="B122" s="95">
        <v>1186900</v>
      </c>
      <c r="C122" s="96">
        <v>816800</v>
      </c>
      <c r="D122" s="96">
        <v>1037800</v>
      </c>
      <c r="E122" s="96">
        <v>1061100</v>
      </c>
      <c r="F122" s="96">
        <v>466100</v>
      </c>
      <c r="G122" s="81">
        <v>843800</v>
      </c>
      <c r="H122" s="219">
        <v>2371000</v>
      </c>
    </row>
    <row r="123" spans="1:8">
      <c r="A123" s="60" t="s">
        <v>176</v>
      </c>
      <c r="B123" s="232">
        <v>1212100</v>
      </c>
      <c r="C123" s="233">
        <v>823700</v>
      </c>
      <c r="D123" s="233">
        <v>1061900</v>
      </c>
      <c r="E123" s="233">
        <v>1072000</v>
      </c>
      <c r="F123" s="233">
        <v>484600</v>
      </c>
      <c r="G123" s="234">
        <v>837300</v>
      </c>
      <c r="H123" s="235">
        <v>2393900</v>
      </c>
    </row>
    <row r="124" spans="1:8">
      <c r="A124" s="27" t="s">
        <v>177</v>
      </c>
      <c r="B124" s="95">
        <v>1376800</v>
      </c>
      <c r="C124" s="96">
        <v>845300</v>
      </c>
      <c r="D124" s="96">
        <v>1095500</v>
      </c>
      <c r="E124" s="96">
        <v>1080400</v>
      </c>
      <c r="F124" s="96">
        <v>503200</v>
      </c>
      <c r="G124" s="81">
        <v>836900</v>
      </c>
      <c r="H124" s="219">
        <v>2420500</v>
      </c>
    </row>
    <row r="125" spans="1:8">
      <c r="A125" s="27" t="s">
        <v>178</v>
      </c>
      <c r="B125" s="95">
        <v>1183300</v>
      </c>
      <c r="C125" s="96">
        <v>851100</v>
      </c>
      <c r="D125" s="96">
        <v>1123200</v>
      </c>
      <c r="E125" s="96">
        <v>1106300</v>
      </c>
      <c r="F125" s="96">
        <v>505400</v>
      </c>
      <c r="G125" s="81">
        <v>842900</v>
      </c>
      <c r="H125" s="219">
        <v>2454600</v>
      </c>
    </row>
    <row r="126" spans="1:8">
      <c r="A126" s="117"/>
      <c r="B126" s="95"/>
      <c r="C126" s="96"/>
      <c r="D126" s="96"/>
      <c r="E126" s="96"/>
      <c r="F126" s="96"/>
      <c r="G126" s="81"/>
      <c r="H126" s="219"/>
    </row>
    <row r="127" spans="1:8">
      <c r="A127" s="118"/>
      <c r="B127" s="100"/>
      <c r="C127" s="101"/>
      <c r="D127" s="101"/>
      <c r="E127" s="101"/>
      <c r="F127" s="101"/>
      <c r="G127" s="102"/>
      <c r="H127" s="227"/>
    </row>
    <row r="128" spans="1:8">
      <c r="A128" s="117"/>
      <c r="B128" s="95"/>
      <c r="C128" s="96"/>
      <c r="D128" s="96"/>
      <c r="E128" s="96"/>
      <c r="F128" s="96"/>
      <c r="G128" s="81"/>
      <c r="H128" s="219"/>
    </row>
    <row r="129" spans="1:8">
      <c r="A129" s="117"/>
      <c r="B129" s="95"/>
      <c r="C129" s="96"/>
      <c r="D129" s="96"/>
      <c r="E129" s="96"/>
      <c r="F129" s="96"/>
      <c r="G129" s="81"/>
      <c r="H129" s="219"/>
    </row>
    <row r="130" spans="1:8">
      <c r="A130" s="117"/>
      <c r="B130" s="95"/>
      <c r="C130" s="96"/>
      <c r="D130" s="96"/>
      <c r="E130" s="96"/>
      <c r="F130" s="96"/>
      <c r="G130" s="81"/>
      <c r="H130" s="219"/>
    </row>
    <row r="131" spans="1:8">
      <c r="A131" s="117"/>
      <c r="B131" s="95"/>
      <c r="C131" s="96"/>
      <c r="D131" s="96"/>
      <c r="E131" s="96"/>
      <c r="F131" s="96"/>
      <c r="G131" s="81"/>
      <c r="H131" s="219"/>
    </row>
    <row r="132" spans="1:8">
      <c r="A132" s="117"/>
      <c r="B132" s="95"/>
      <c r="C132" s="96"/>
      <c r="D132" s="96"/>
      <c r="E132" s="96"/>
      <c r="F132" s="96"/>
      <c r="G132" s="81"/>
      <c r="H132" s="219"/>
    </row>
    <row r="133" spans="1:8">
      <c r="A133" s="117"/>
      <c r="B133" s="95"/>
      <c r="C133" s="96"/>
      <c r="D133" s="96"/>
      <c r="E133" s="96"/>
      <c r="F133" s="96"/>
      <c r="G133" s="81"/>
      <c r="H133" s="219"/>
    </row>
    <row r="134" spans="1:8">
      <c r="A134" s="117"/>
      <c r="B134" s="95"/>
      <c r="C134" s="96"/>
      <c r="D134" s="96"/>
      <c r="E134" s="96"/>
      <c r="F134" s="96"/>
      <c r="G134" s="81"/>
      <c r="H134" s="219"/>
    </row>
    <row r="135" spans="1:8">
      <c r="A135" s="117"/>
      <c r="B135" s="95"/>
      <c r="C135" s="96"/>
      <c r="D135" s="96"/>
      <c r="E135" s="96"/>
      <c r="F135" s="96"/>
      <c r="G135" s="81"/>
      <c r="H135" s="219"/>
    </row>
    <row r="136" spans="1:8">
      <c r="A136" s="117"/>
      <c r="B136" s="95"/>
      <c r="C136" s="96"/>
      <c r="D136" s="96"/>
      <c r="E136" s="96"/>
      <c r="F136" s="96"/>
      <c r="G136" s="81"/>
      <c r="H136" s="219"/>
    </row>
    <row r="137" spans="1:8">
      <c r="A137" s="117"/>
      <c r="B137" s="95"/>
      <c r="C137" s="96"/>
      <c r="D137" s="96"/>
      <c r="E137" s="96"/>
      <c r="F137" s="96"/>
      <c r="G137" s="81"/>
      <c r="H137" s="219"/>
    </row>
    <row r="138" spans="1:8">
      <c r="A138" s="117"/>
      <c r="B138" s="95"/>
      <c r="C138" s="96"/>
      <c r="D138" s="96"/>
      <c r="E138" s="96"/>
      <c r="F138" s="96"/>
      <c r="G138" s="81"/>
      <c r="H138" s="219"/>
    </row>
    <row r="139" spans="1:8">
      <c r="A139" s="118"/>
      <c r="B139" s="100"/>
      <c r="C139" s="101"/>
      <c r="D139" s="101"/>
      <c r="E139" s="101"/>
      <c r="F139" s="101"/>
      <c r="G139" s="102"/>
      <c r="H139" s="227"/>
    </row>
    <row r="140" spans="1:8">
      <c r="A140" s="117"/>
      <c r="B140" s="95"/>
      <c r="C140" s="96"/>
      <c r="D140" s="96"/>
      <c r="E140" s="96"/>
      <c r="F140" s="96"/>
      <c r="G140" s="81"/>
      <c r="H140" s="219"/>
    </row>
    <row r="141" spans="1:8">
      <c r="A141" s="117"/>
      <c r="B141" s="95"/>
      <c r="C141" s="96"/>
      <c r="D141" s="96"/>
      <c r="E141" s="96"/>
      <c r="F141" s="96"/>
      <c r="G141" s="81"/>
      <c r="H141" s="219"/>
    </row>
    <row r="142" spans="1:8">
      <c r="A142" s="117"/>
      <c r="B142" s="95"/>
      <c r="C142" s="96"/>
      <c r="D142" s="96"/>
      <c r="E142" s="96"/>
      <c r="F142" s="96"/>
      <c r="G142" s="81"/>
      <c r="H142" s="219"/>
    </row>
    <row r="143" spans="1:8">
      <c r="A143" s="117"/>
      <c r="B143" s="95"/>
      <c r="C143" s="96"/>
      <c r="D143" s="96"/>
      <c r="E143" s="96"/>
      <c r="F143" s="96"/>
      <c r="G143" s="81"/>
      <c r="H143" s="219"/>
    </row>
    <row r="144" spans="1:8">
      <c r="A144" s="117"/>
      <c r="B144" s="95"/>
      <c r="C144" s="96"/>
      <c r="D144" s="96"/>
      <c r="E144" s="96"/>
      <c r="F144" s="96"/>
      <c r="G144" s="81"/>
      <c r="H144" s="219"/>
    </row>
    <row r="145" spans="1:8">
      <c r="A145" s="117"/>
      <c r="B145" s="95"/>
      <c r="C145" s="96"/>
      <c r="D145" s="96"/>
      <c r="E145" s="96"/>
      <c r="F145" s="96"/>
      <c r="G145" s="81"/>
      <c r="H145" s="219"/>
    </row>
    <row r="146" spans="1:8">
      <c r="A146" s="117"/>
      <c r="B146" s="95"/>
      <c r="C146" s="96"/>
      <c r="D146" s="96"/>
      <c r="E146" s="96"/>
      <c r="F146" s="96"/>
      <c r="G146" s="81"/>
      <c r="H146" s="219"/>
    </row>
    <row r="147" spans="1:8">
      <c r="A147" s="117"/>
      <c r="B147" s="95"/>
      <c r="C147" s="96"/>
      <c r="D147" s="96"/>
      <c r="E147" s="96"/>
      <c r="F147" s="96"/>
      <c r="G147" s="81"/>
      <c r="H147" s="219"/>
    </row>
    <row r="148" spans="1:8">
      <c r="A148" s="117"/>
      <c r="B148" s="95"/>
      <c r="C148" s="96"/>
      <c r="D148" s="96"/>
      <c r="E148" s="96"/>
      <c r="F148" s="96"/>
      <c r="G148" s="81"/>
      <c r="H148" s="219"/>
    </row>
    <row r="149" spans="1:8">
      <c r="A149" s="117"/>
      <c r="B149" s="95"/>
      <c r="C149" s="96"/>
      <c r="D149" s="96"/>
      <c r="E149" s="96"/>
      <c r="F149" s="96"/>
      <c r="G149" s="81"/>
      <c r="H149" s="219"/>
    </row>
    <row r="150" spans="1:8">
      <c r="A150" s="117"/>
      <c r="B150" s="95"/>
      <c r="C150" s="96"/>
      <c r="D150" s="96"/>
      <c r="E150" s="96"/>
      <c r="F150" s="96"/>
      <c r="G150" s="81"/>
      <c r="H150" s="219"/>
    </row>
    <row r="151" spans="1:8">
      <c r="A151" s="118"/>
      <c r="B151" s="100"/>
      <c r="C151" s="101"/>
      <c r="D151" s="101"/>
      <c r="E151" s="101"/>
      <c r="F151" s="101"/>
      <c r="G151" s="102"/>
      <c r="H151" s="227"/>
    </row>
    <row r="152" spans="1:8">
      <c r="A152" s="117"/>
      <c r="B152" s="95"/>
      <c r="C152" s="96"/>
      <c r="D152" s="96"/>
      <c r="E152" s="96"/>
      <c r="F152" s="96"/>
      <c r="G152" s="81"/>
      <c r="H152" s="219"/>
    </row>
    <row r="153" spans="1:8">
      <c r="A153" s="117"/>
      <c r="B153" s="95"/>
      <c r="C153" s="96"/>
      <c r="D153" s="96"/>
      <c r="E153" s="96"/>
      <c r="F153" s="96"/>
      <c r="G153" s="81"/>
      <c r="H153" s="219"/>
    </row>
    <row r="154" spans="1:8">
      <c r="A154" s="117"/>
      <c r="B154" s="95"/>
      <c r="C154" s="96"/>
      <c r="D154" s="96"/>
      <c r="E154" s="96"/>
      <c r="F154" s="96"/>
      <c r="G154" s="81"/>
      <c r="H154" s="219"/>
    </row>
    <row r="155" spans="1:8">
      <c r="A155" s="117"/>
      <c r="B155" s="95"/>
      <c r="C155" s="96"/>
      <c r="D155" s="96"/>
      <c r="E155" s="96"/>
      <c r="F155" s="96"/>
      <c r="G155" s="81"/>
      <c r="H155" s="219"/>
    </row>
    <row r="156" spans="1:8">
      <c r="A156" s="117"/>
      <c r="B156" s="95"/>
      <c r="C156" s="96"/>
      <c r="D156" s="96"/>
      <c r="E156" s="96"/>
      <c r="F156" s="96"/>
      <c r="G156" s="81"/>
      <c r="H156" s="219"/>
    </row>
    <row r="157" spans="1:8">
      <c r="A157" s="117"/>
      <c r="B157" s="95"/>
      <c r="C157" s="96"/>
      <c r="D157" s="96"/>
      <c r="E157" s="96"/>
      <c r="F157" s="96"/>
      <c r="G157" s="81"/>
      <c r="H157" s="219"/>
    </row>
    <row r="158" spans="1:8">
      <c r="A158" s="117"/>
      <c r="B158" s="95"/>
      <c r="C158" s="96"/>
      <c r="D158" s="96"/>
      <c r="E158" s="96"/>
      <c r="F158" s="96"/>
      <c r="G158" s="81"/>
      <c r="H158" s="219"/>
    </row>
    <row r="159" spans="1:8">
      <c r="A159" s="117"/>
      <c r="B159" s="95"/>
      <c r="C159" s="96"/>
      <c r="D159" s="96"/>
      <c r="E159" s="96"/>
      <c r="F159" s="96"/>
      <c r="G159" s="81"/>
      <c r="H159" s="219"/>
    </row>
    <row r="160" spans="1:8">
      <c r="A160" s="117"/>
      <c r="B160" s="95"/>
      <c r="C160" s="96"/>
      <c r="D160" s="96"/>
      <c r="E160" s="96"/>
      <c r="F160" s="96"/>
      <c r="G160" s="81"/>
      <c r="H160" s="219"/>
    </row>
    <row r="161" spans="1:8">
      <c r="A161" s="117"/>
      <c r="B161" s="95"/>
      <c r="C161" s="96"/>
      <c r="D161" s="96"/>
      <c r="E161" s="96"/>
      <c r="F161" s="96"/>
      <c r="G161" s="81"/>
      <c r="H161" s="219"/>
    </row>
    <row r="162" spans="1:8">
      <c r="A162" s="117"/>
      <c r="B162" s="95"/>
      <c r="C162" s="96"/>
      <c r="D162" s="96"/>
      <c r="E162" s="96"/>
      <c r="F162" s="96"/>
      <c r="G162" s="81"/>
      <c r="H162" s="219"/>
    </row>
    <row r="163" spans="1:8">
      <c r="A163" s="118"/>
      <c r="B163" s="100"/>
      <c r="C163" s="101"/>
      <c r="D163" s="101"/>
      <c r="E163" s="101"/>
      <c r="F163" s="101"/>
      <c r="G163" s="102"/>
      <c r="H163" s="227"/>
    </row>
    <row r="164" spans="1:8">
      <c r="A164" s="117"/>
      <c r="B164" s="95"/>
      <c r="C164" s="96"/>
      <c r="D164" s="96"/>
      <c r="E164" s="96"/>
      <c r="F164" s="96"/>
      <c r="G164" s="81"/>
      <c r="H164" s="219"/>
    </row>
    <row r="165" spans="1:8">
      <c r="A165" s="117"/>
      <c r="B165" s="95"/>
      <c r="C165" s="96"/>
      <c r="D165" s="96"/>
      <c r="E165" s="96"/>
      <c r="F165" s="96"/>
      <c r="G165" s="81"/>
      <c r="H165" s="219"/>
    </row>
    <row r="166" spans="1:8">
      <c r="A166" s="117"/>
      <c r="B166" s="95"/>
      <c r="C166" s="96"/>
      <c r="D166" s="96"/>
      <c r="E166" s="96"/>
      <c r="F166" s="96"/>
      <c r="G166" s="81"/>
      <c r="H166" s="219"/>
    </row>
    <row r="167" spans="1:8">
      <c r="A167" s="117"/>
      <c r="B167" s="95"/>
      <c r="C167" s="96"/>
      <c r="D167" s="96"/>
      <c r="E167" s="96"/>
      <c r="F167" s="96"/>
      <c r="G167" s="81"/>
      <c r="H167" s="219"/>
    </row>
    <row r="168" spans="1:8">
      <c r="A168" s="117"/>
      <c r="B168" s="95"/>
      <c r="C168" s="96"/>
      <c r="D168" s="96"/>
      <c r="E168" s="96"/>
      <c r="F168" s="96"/>
      <c r="G168" s="81"/>
      <c r="H168" s="219"/>
    </row>
    <row r="169" spans="1:8">
      <c r="A169" s="117"/>
      <c r="B169" s="95"/>
      <c r="C169" s="96"/>
      <c r="D169" s="96"/>
      <c r="E169" s="96"/>
      <c r="F169" s="96"/>
      <c r="G169" s="81"/>
      <c r="H169" s="219"/>
    </row>
    <row r="170" spans="1:8">
      <c r="A170" s="117"/>
      <c r="B170" s="95"/>
      <c r="C170" s="96"/>
      <c r="D170" s="96"/>
      <c r="E170" s="96"/>
      <c r="F170" s="96"/>
      <c r="G170" s="81"/>
      <c r="H170" s="219"/>
    </row>
    <row r="171" spans="1:8">
      <c r="A171" s="117"/>
      <c r="B171" s="95"/>
      <c r="C171" s="96"/>
      <c r="D171" s="96"/>
      <c r="E171" s="96"/>
      <c r="F171" s="96"/>
      <c r="G171" s="81"/>
      <c r="H171" s="219"/>
    </row>
    <row r="172" spans="1:8">
      <c r="A172" s="117"/>
      <c r="B172" s="95"/>
      <c r="C172" s="96"/>
      <c r="D172" s="96"/>
      <c r="E172" s="96"/>
      <c r="F172" s="96"/>
      <c r="G172" s="81"/>
      <c r="H172" s="219"/>
    </row>
    <row r="173" spans="1:8">
      <c r="A173" s="117"/>
      <c r="B173" s="95"/>
      <c r="C173" s="96"/>
      <c r="D173" s="96"/>
      <c r="E173" s="96"/>
      <c r="F173" s="96"/>
      <c r="G173" s="81"/>
      <c r="H173" s="219"/>
    </row>
    <row r="174" spans="1:8">
      <c r="A174" s="117"/>
      <c r="B174" s="95"/>
      <c r="C174" s="96"/>
      <c r="D174" s="96"/>
      <c r="E174" s="96"/>
      <c r="F174" s="96"/>
      <c r="G174" s="81"/>
      <c r="H174" s="219"/>
    </row>
    <row r="175" spans="1:8">
      <c r="A175" s="118"/>
      <c r="B175" s="100"/>
      <c r="C175" s="101"/>
      <c r="D175" s="101"/>
      <c r="E175" s="101"/>
      <c r="F175" s="101"/>
      <c r="G175" s="102"/>
      <c r="H175" s="227"/>
    </row>
    <row r="176" spans="1:8">
      <c r="A176" s="117"/>
      <c r="B176" s="95"/>
      <c r="C176" s="96"/>
      <c r="D176" s="96"/>
      <c r="E176" s="96"/>
      <c r="F176" s="96"/>
      <c r="G176" s="81"/>
      <c r="H176" s="219"/>
    </row>
    <row r="177" spans="1:8">
      <c r="A177" s="117"/>
      <c r="B177" s="95"/>
      <c r="C177" s="96"/>
      <c r="D177" s="96"/>
      <c r="E177" s="96"/>
      <c r="F177" s="96"/>
      <c r="G177" s="81"/>
      <c r="H177" s="219"/>
    </row>
    <row r="178" spans="1:8">
      <c r="A178" s="117"/>
      <c r="B178" s="95"/>
      <c r="C178" s="96"/>
      <c r="D178" s="96"/>
      <c r="E178" s="96"/>
      <c r="F178" s="96"/>
      <c r="G178" s="81"/>
      <c r="H178" s="219"/>
    </row>
    <row r="179" spans="1:8">
      <c r="A179" s="117"/>
      <c r="B179" s="95"/>
      <c r="C179" s="96"/>
      <c r="D179" s="96"/>
      <c r="E179" s="96"/>
      <c r="F179" s="96"/>
      <c r="G179" s="81"/>
      <c r="H179" s="219"/>
    </row>
    <row r="180" spans="1:8">
      <c r="A180" s="27"/>
      <c r="B180" s="95"/>
      <c r="C180" s="96"/>
      <c r="D180" s="96"/>
      <c r="E180" s="96"/>
      <c r="F180" s="96"/>
      <c r="G180" s="81"/>
      <c r="H180" s="219"/>
    </row>
    <row r="181" spans="1:8">
      <c r="A181" s="27"/>
      <c r="B181" s="95"/>
      <c r="C181" s="96"/>
      <c r="D181" s="96"/>
      <c r="E181" s="96"/>
      <c r="F181" s="96"/>
      <c r="G181" s="81"/>
      <c r="H181" s="219"/>
    </row>
    <row r="182" spans="1:8">
      <c r="A182" s="27"/>
      <c r="B182" s="95"/>
      <c r="C182" s="96"/>
      <c r="D182" s="96"/>
      <c r="E182" s="96"/>
      <c r="F182" s="96"/>
      <c r="G182" s="81"/>
      <c r="H182" s="219"/>
    </row>
    <row r="183" spans="1:8">
      <c r="A183" s="27"/>
      <c r="B183" s="95"/>
      <c r="C183" s="96"/>
      <c r="D183" s="96"/>
      <c r="E183" s="96"/>
      <c r="F183" s="96"/>
      <c r="G183" s="81"/>
      <c r="H183" s="219"/>
    </row>
    <row r="184" spans="1:8">
      <c r="A184" s="27"/>
      <c r="B184" s="95"/>
      <c r="C184" s="96"/>
      <c r="D184" s="96"/>
      <c r="E184" s="96"/>
      <c r="F184" s="96"/>
      <c r="G184" s="81"/>
      <c r="H184" s="219"/>
    </row>
    <row r="185" spans="1:8">
      <c r="A185" s="27"/>
      <c r="B185" s="95"/>
      <c r="C185" s="96"/>
      <c r="D185" s="96"/>
      <c r="E185" s="96"/>
      <c r="F185" s="96"/>
      <c r="G185" s="81"/>
      <c r="H185" s="219"/>
    </row>
    <row r="186" spans="1:8">
      <c r="A186" s="27"/>
      <c r="B186" s="95"/>
      <c r="C186" s="96"/>
      <c r="D186" s="96"/>
      <c r="E186" s="96"/>
      <c r="F186" s="96"/>
      <c r="G186" s="81"/>
      <c r="H186" s="219"/>
    </row>
    <row r="187" spans="1:8">
      <c r="A187" s="99"/>
      <c r="B187" s="100"/>
      <c r="C187" s="101"/>
      <c r="D187" s="101"/>
      <c r="E187" s="101"/>
      <c r="F187" s="101"/>
      <c r="G187" s="102"/>
      <c r="H187" s="227"/>
    </row>
    <row r="188" spans="1:8">
      <c r="A188" s="27"/>
      <c r="B188" s="95"/>
      <c r="C188" s="96"/>
      <c r="D188" s="96"/>
      <c r="E188" s="96"/>
      <c r="F188" s="96"/>
      <c r="G188" s="81"/>
      <c r="H188" s="219"/>
    </row>
    <row r="189" spans="1:8">
      <c r="A189" s="27"/>
      <c r="B189" s="95"/>
      <c r="C189" s="96"/>
      <c r="D189" s="96"/>
      <c r="E189" s="96"/>
      <c r="F189" s="96"/>
      <c r="G189" s="81"/>
      <c r="H189" s="219"/>
    </row>
    <row r="190" spans="1:8">
      <c r="A190" s="27"/>
      <c r="B190" s="95"/>
      <c r="C190" s="96"/>
      <c r="D190" s="96"/>
      <c r="E190" s="96"/>
      <c r="F190" s="96"/>
      <c r="G190" s="81"/>
      <c r="H190" s="219"/>
    </row>
    <row r="191" spans="1:8">
      <c r="A191" s="27"/>
      <c r="B191" s="95"/>
      <c r="C191" s="96"/>
      <c r="D191" s="96"/>
      <c r="E191" s="96"/>
      <c r="F191" s="96"/>
      <c r="G191" s="81"/>
      <c r="H191" s="219"/>
    </row>
    <row r="192" spans="1:8">
      <c r="A192" s="27"/>
      <c r="B192" s="95"/>
      <c r="C192" s="96"/>
      <c r="D192" s="96"/>
      <c r="E192" s="96"/>
      <c r="F192" s="96"/>
      <c r="G192" s="81"/>
      <c r="H192" s="219"/>
    </row>
    <row r="193" spans="1:8">
      <c r="A193" s="27"/>
      <c r="B193" s="95"/>
      <c r="C193" s="96"/>
      <c r="D193" s="96"/>
      <c r="E193" s="96"/>
      <c r="F193" s="96"/>
      <c r="G193" s="81"/>
      <c r="H193" s="219"/>
    </row>
    <row r="194" spans="1:8">
      <c r="A194" s="27"/>
      <c r="B194" s="95"/>
      <c r="C194" s="96"/>
      <c r="D194" s="96"/>
      <c r="E194" s="96"/>
      <c r="F194" s="96"/>
      <c r="G194" s="81"/>
      <c r="H194" s="219"/>
    </row>
    <row r="195" spans="1:8">
      <c r="A195" s="27"/>
      <c r="B195" s="95"/>
      <c r="C195" s="96"/>
      <c r="D195" s="96"/>
      <c r="E195" s="96"/>
      <c r="F195" s="96"/>
      <c r="G195" s="81"/>
      <c r="H195" s="219"/>
    </row>
    <row r="196" spans="1:8">
      <c r="A196" s="27"/>
      <c r="B196" s="95"/>
      <c r="C196" s="96"/>
      <c r="D196" s="96"/>
      <c r="E196" s="96"/>
      <c r="F196" s="96"/>
      <c r="G196" s="81"/>
      <c r="H196" s="219"/>
    </row>
    <row r="197" spans="1:8">
      <c r="A197" s="27"/>
      <c r="B197" s="95"/>
      <c r="C197" s="96"/>
      <c r="D197" s="96"/>
      <c r="E197" s="96"/>
      <c r="F197" s="96"/>
      <c r="G197" s="81"/>
      <c r="H197" s="219"/>
    </row>
    <row r="198" spans="1:8">
      <c r="A198" s="27"/>
      <c r="B198" s="95"/>
      <c r="C198" s="96"/>
      <c r="D198" s="96"/>
      <c r="E198" s="96"/>
      <c r="F198" s="96"/>
      <c r="G198" s="81"/>
      <c r="H198" s="219"/>
    </row>
    <row r="199" spans="1:8">
      <c r="A199" s="99"/>
      <c r="B199" s="100"/>
      <c r="C199" s="101"/>
      <c r="D199" s="101"/>
      <c r="E199" s="101"/>
      <c r="F199" s="101"/>
      <c r="G199" s="102"/>
      <c r="H199" s="227"/>
    </row>
    <row r="200" spans="1:8">
      <c r="A200" s="27"/>
      <c r="B200" s="95"/>
      <c r="C200" s="96"/>
      <c r="D200" s="96"/>
      <c r="E200" s="96"/>
      <c r="F200" s="96"/>
      <c r="G200" s="81"/>
      <c r="H200" s="219"/>
    </row>
    <row r="201" spans="1:8">
      <c r="A201" s="27"/>
      <c r="B201" s="95"/>
      <c r="C201" s="96"/>
      <c r="D201" s="96"/>
      <c r="E201" s="96"/>
      <c r="F201" s="96"/>
      <c r="G201" s="81"/>
      <c r="H201" s="219"/>
    </row>
    <row r="202" spans="1:8">
      <c r="A202" s="27"/>
      <c r="B202" s="95"/>
      <c r="C202" s="96"/>
      <c r="D202" s="96"/>
      <c r="E202" s="96"/>
      <c r="F202" s="96"/>
      <c r="G202" s="81"/>
      <c r="H202" s="219"/>
    </row>
    <row r="203" spans="1:8">
      <c r="A203" s="27"/>
      <c r="B203" s="95"/>
      <c r="C203" s="96"/>
      <c r="D203" s="96"/>
      <c r="E203" s="96"/>
      <c r="F203" s="96"/>
      <c r="G203" s="81"/>
      <c r="H203" s="219"/>
    </row>
    <row r="204" spans="1:8">
      <c r="A204" s="27"/>
      <c r="B204" s="95"/>
      <c r="C204" s="96"/>
      <c r="D204" s="96"/>
      <c r="E204" s="96"/>
      <c r="F204" s="96"/>
      <c r="G204" s="81"/>
      <c r="H204" s="219"/>
    </row>
    <row r="205" spans="1:8">
      <c r="A205" s="27"/>
      <c r="B205" s="95"/>
      <c r="C205" s="96"/>
      <c r="D205" s="96"/>
      <c r="E205" s="96"/>
      <c r="F205" s="96"/>
      <c r="G205" s="81"/>
      <c r="H205" s="219"/>
    </row>
    <row r="206" spans="1:8">
      <c r="A206" s="27"/>
      <c r="B206" s="95"/>
      <c r="C206" s="96"/>
      <c r="D206" s="96"/>
      <c r="E206" s="96"/>
      <c r="F206" s="96"/>
      <c r="G206" s="81"/>
      <c r="H206" s="219"/>
    </row>
    <row r="207" spans="1:8">
      <c r="A207" s="27"/>
      <c r="B207" s="95"/>
      <c r="C207" s="96"/>
      <c r="D207" s="96"/>
      <c r="E207" s="96"/>
      <c r="F207" s="96"/>
      <c r="G207" s="81"/>
      <c r="H207" s="219"/>
    </row>
    <row r="208" spans="1:8">
      <c r="A208" s="27"/>
      <c r="B208" s="95"/>
      <c r="C208" s="96"/>
      <c r="D208" s="96"/>
      <c r="E208" s="96"/>
      <c r="F208" s="96"/>
      <c r="G208" s="81"/>
      <c r="H208" s="219"/>
    </row>
    <row r="209" spans="1:8">
      <c r="A209" s="27"/>
      <c r="B209" s="95"/>
      <c r="C209" s="96"/>
      <c r="D209" s="96"/>
      <c r="E209" s="96"/>
      <c r="F209" s="96"/>
      <c r="G209" s="81"/>
      <c r="H209" s="219"/>
    </row>
    <row r="210" spans="1:8">
      <c r="A210" s="27"/>
      <c r="B210" s="95"/>
      <c r="C210" s="96"/>
      <c r="D210" s="96"/>
      <c r="E210" s="96"/>
      <c r="F210" s="96"/>
      <c r="G210" s="81"/>
      <c r="H210" s="219"/>
    </row>
    <row r="211" spans="1:8">
      <c r="A211" s="99"/>
      <c r="B211" s="100"/>
      <c r="C211" s="101"/>
      <c r="D211" s="101"/>
      <c r="E211" s="101"/>
      <c r="F211" s="101"/>
      <c r="G211" s="102"/>
      <c r="H211" s="227"/>
    </row>
    <row r="212" spans="1:8">
      <c r="A212" s="27"/>
      <c r="B212" s="95"/>
      <c r="C212" s="96"/>
      <c r="D212" s="96"/>
      <c r="E212" s="96"/>
      <c r="F212" s="96"/>
      <c r="G212" s="81"/>
      <c r="H212" s="219"/>
    </row>
    <row r="213" spans="1:8">
      <c r="A213" s="27"/>
      <c r="B213" s="95"/>
      <c r="C213" s="96"/>
      <c r="D213" s="96"/>
      <c r="E213" s="96"/>
      <c r="F213" s="96"/>
      <c r="G213" s="81"/>
      <c r="H213" s="219"/>
    </row>
    <row r="214" spans="1:8">
      <c r="A214" s="27"/>
      <c r="B214" s="95"/>
      <c r="C214" s="96"/>
      <c r="D214" s="96"/>
      <c r="E214" s="96"/>
      <c r="F214" s="96"/>
      <c r="G214" s="81"/>
      <c r="H214" s="219"/>
    </row>
    <row r="215" spans="1:8">
      <c r="A215" s="27"/>
      <c r="B215" s="95"/>
      <c r="C215" s="96"/>
      <c r="D215" s="96"/>
      <c r="E215" s="96"/>
      <c r="F215" s="96"/>
      <c r="G215" s="81"/>
      <c r="H215" s="219"/>
    </row>
    <row r="216" spans="1:8">
      <c r="A216" s="27"/>
      <c r="B216" s="95"/>
      <c r="C216" s="96"/>
      <c r="D216" s="96"/>
      <c r="E216" s="96"/>
      <c r="F216" s="96"/>
      <c r="G216" s="81"/>
      <c r="H216" s="219"/>
    </row>
    <row r="217" spans="1:8">
      <c r="A217" s="27"/>
      <c r="B217" s="95"/>
      <c r="C217" s="96"/>
      <c r="D217" s="96"/>
      <c r="E217" s="96"/>
      <c r="F217" s="96"/>
      <c r="G217" s="81"/>
      <c r="H217" s="219"/>
    </row>
    <row r="218" spans="1:8">
      <c r="A218" s="27"/>
      <c r="B218" s="95"/>
      <c r="C218" s="96"/>
      <c r="D218" s="96"/>
      <c r="E218" s="96"/>
      <c r="F218" s="96"/>
      <c r="G218" s="81"/>
      <c r="H218" s="219"/>
    </row>
    <row r="219" spans="1:8">
      <c r="A219" s="27"/>
      <c r="B219" s="95"/>
      <c r="C219" s="96"/>
      <c r="D219" s="96"/>
      <c r="E219" s="96"/>
      <c r="F219" s="96"/>
      <c r="G219" s="81"/>
      <c r="H219" s="219"/>
    </row>
    <row r="220" spans="1:8">
      <c r="A220" s="27"/>
      <c r="B220" s="95"/>
      <c r="C220" s="96"/>
      <c r="D220" s="96"/>
      <c r="E220" s="96"/>
      <c r="F220" s="96"/>
      <c r="G220" s="81"/>
      <c r="H220" s="219"/>
    </row>
    <row r="221" spans="1:8">
      <c r="A221" s="27"/>
      <c r="B221" s="95"/>
      <c r="C221" s="96"/>
      <c r="D221" s="96"/>
      <c r="E221" s="96"/>
      <c r="F221" s="96"/>
      <c r="G221" s="81"/>
      <c r="H221" s="219"/>
    </row>
    <row r="222" spans="1:8">
      <c r="A222" s="27"/>
      <c r="B222" s="95"/>
      <c r="C222" s="96"/>
      <c r="D222" s="96"/>
      <c r="E222" s="96"/>
      <c r="F222" s="96"/>
      <c r="G222" s="81"/>
      <c r="H222" s="219"/>
    </row>
    <row r="223" spans="1:8">
      <c r="A223" s="99"/>
      <c r="B223" s="100"/>
      <c r="C223" s="101"/>
      <c r="D223" s="101"/>
      <c r="E223" s="101"/>
      <c r="F223" s="101"/>
      <c r="G223" s="102"/>
      <c r="H223" s="227"/>
    </row>
    <row r="224" spans="1:8">
      <c r="A224" s="27"/>
      <c r="B224" s="95"/>
      <c r="C224" s="96"/>
      <c r="D224" s="96"/>
      <c r="E224" s="96"/>
      <c r="F224" s="96"/>
      <c r="G224" s="81"/>
      <c r="H224" s="219"/>
    </row>
    <row r="225" spans="1:8">
      <c r="A225" s="27"/>
      <c r="B225" s="95"/>
      <c r="C225" s="96"/>
      <c r="D225" s="96"/>
      <c r="E225" s="96"/>
      <c r="F225" s="96"/>
      <c r="G225" s="81"/>
      <c r="H225" s="219"/>
    </row>
    <row r="226" spans="1:8">
      <c r="A226" s="27"/>
      <c r="B226" s="95"/>
      <c r="C226" s="96"/>
      <c r="D226" s="96"/>
      <c r="E226" s="96"/>
      <c r="F226" s="96"/>
      <c r="G226" s="81"/>
      <c r="H226" s="219"/>
    </row>
    <row r="227" spans="1:8">
      <c r="A227" s="27"/>
      <c r="B227" s="95"/>
      <c r="C227" s="96"/>
      <c r="D227" s="96"/>
      <c r="E227" s="96"/>
      <c r="F227" s="96"/>
      <c r="G227" s="81"/>
      <c r="H227" s="219"/>
    </row>
    <row r="228" spans="1:8">
      <c r="A228" s="27"/>
      <c r="B228" s="95"/>
      <c r="C228" s="96"/>
      <c r="D228" s="96"/>
      <c r="E228" s="96"/>
      <c r="F228" s="96"/>
      <c r="G228" s="81"/>
      <c r="H228" s="219"/>
    </row>
    <row r="229" spans="1:8">
      <c r="A229" s="27"/>
      <c r="B229" s="95"/>
      <c r="C229" s="96"/>
      <c r="D229" s="96"/>
      <c r="E229" s="96"/>
      <c r="F229" s="96"/>
      <c r="G229" s="81"/>
      <c r="H229" s="219"/>
    </row>
    <row r="230" spans="1:8">
      <c r="A230" s="27"/>
      <c r="B230" s="95"/>
      <c r="C230" s="96"/>
      <c r="D230" s="96"/>
      <c r="E230" s="96"/>
      <c r="F230" s="96"/>
      <c r="G230" s="81"/>
      <c r="H230" s="219"/>
    </row>
    <row r="231" spans="1:8">
      <c r="A231" s="27"/>
      <c r="B231" s="95"/>
      <c r="C231" s="96"/>
      <c r="D231" s="96"/>
      <c r="E231" s="96"/>
      <c r="F231" s="96"/>
      <c r="G231" s="81"/>
      <c r="H231" s="219"/>
    </row>
    <row r="232" spans="1:8">
      <c r="A232" s="27"/>
      <c r="B232" s="95"/>
      <c r="C232" s="96"/>
      <c r="D232" s="96"/>
      <c r="E232" s="96"/>
      <c r="F232" s="96"/>
      <c r="G232" s="81"/>
      <c r="H232" s="219"/>
    </row>
    <row r="233" spans="1:8">
      <c r="A233" s="27"/>
      <c r="B233" s="95"/>
      <c r="C233" s="96"/>
      <c r="D233" s="96"/>
      <c r="E233" s="96"/>
      <c r="F233" s="96"/>
      <c r="G233" s="81"/>
      <c r="H233" s="219"/>
    </row>
    <row r="234" spans="1:8">
      <c r="A234" s="27"/>
      <c r="B234" s="95"/>
      <c r="C234" s="96"/>
      <c r="D234" s="96"/>
      <c r="E234" s="96"/>
      <c r="F234" s="96"/>
      <c r="G234" s="81"/>
      <c r="H234" s="219"/>
    </row>
    <row r="235" spans="1:8">
      <c r="A235" s="99"/>
      <c r="B235" s="100"/>
      <c r="C235" s="101"/>
      <c r="D235" s="101"/>
      <c r="E235" s="101"/>
      <c r="F235" s="101"/>
      <c r="G235" s="102"/>
      <c r="H235" s="227"/>
    </row>
    <row r="236" spans="1:8">
      <c r="A236" s="27"/>
      <c r="B236" s="95"/>
      <c r="C236" s="96"/>
      <c r="D236" s="96"/>
      <c r="E236" s="96"/>
      <c r="F236" s="96"/>
      <c r="G236" s="81"/>
      <c r="H236" s="219"/>
    </row>
    <row r="237" spans="1:8">
      <c r="A237" s="27"/>
      <c r="B237" s="95"/>
      <c r="C237" s="96"/>
      <c r="D237" s="96"/>
      <c r="E237" s="96"/>
      <c r="F237" s="96"/>
      <c r="G237" s="81"/>
      <c r="H237" s="219"/>
    </row>
    <row r="238" spans="1:8">
      <c r="A238" s="27"/>
      <c r="B238" s="95"/>
      <c r="C238" s="96"/>
      <c r="D238" s="96"/>
      <c r="E238" s="96"/>
      <c r="F238" s="96"/>
      <c r="G238" s="81"/>
      <c r="H238" s="219"/>
    </row>
    <row r="239" spans="1:8">
      <c r="A239" s="27"/>
      <c r="B239" s="95"/>
      <c r="C239" s="96"/>
      <c r="D239" s="96"/>
      <c r="E239" s="96"/>
      <c r="F239" s="96"/>
      <c r="G239" s="81"/>
      <c r="H239" s="219"/>
    </row>
    <row r="240" spans="1:8">
      <c r="A240" s="27"/>
      <c r="B240" s="95"/>
      <c r="C240" s="96"/>
      <c r="D240" s="96"/>
      <c r="E240" s="96"/>
      <c r="F240" s="96"/>
      <c r="G240" s="81"/>
      <c r="H240" s="219"/>
    </row>
    <row r="241" spans="1:8">
      <c r="A241" s="27"/>
      <c r="B241" s="95"/>
      <c r="C241" s="96"/>
      <c r="D241" s="96"/>
      <c r="E241" s="96"/>
      <c r="F241" s="96"/>
      <c r="G241" s="81"/>
      <c r="H241" s="219"/>
    </row>
    <row r="242" spans="1:8">
      <c r="A242" s="27"/>
      <c r="B242" s="95"/>
      <c r="C242" s="96"/>
      <c r="D242" s="96"/>
      <c r="E242" s="96"/>
      <c r="F242" s="96"/>
      <c r="G242" s="81"/>
      <c r="H242" s="219"/>
    </row>
    <row r="243" spans="1:8">
      <c r="A243" s="27"/>
      <c r="B243" s="95"/>
      <c r="C243" s="96"/>
      <c r="D243" s="96"/>
      <c r="E243" s="96"/>
      <c r="F243" s="96"/>
      <c r="G243" s="81"/>
      <c r="H243" s="219"/>
    </row>
    <row r="244" spans="1:8">
      <c r="A244" s="27"/>
      <c r="B244" s="95"/>
      <c r="C244" s="96"/>
      <c r="D244" s="96"/>
      <c r="E244" s="96"/>
      <c r="F244" s="96"/>
      <c r="G244" s="81"/>
      <c r="H244" s="219"/>
    </row>
    <row r="245" spans="1:8">
      <c r="A245" s="27"/>
      <c r="B245" s="95"/>
      <c r="C245" s="96"/>
      <c r="D245" s="96"/>
      <c r="E245" s="96"/>
      <c r="F245" s="96"/>
      <c r="G245" s="81"/>
      <c r="H245" s="219"/>
    </row>
    <row r="246" spans="1:8">
      <c r="A246" s="27"/>
      <c r="B246" s="95"/>
      <c r="C246" s="96"/>
      <c r="D246" s="96"/>
      <c r="E246" s="96"/>
      <c r="F246" s="96"/>
      <c r="G246" s="81"/>
      <c r="H246" s="219"/>
    </row>
    <row r="247" spans="1:8">
      <c r="A247" s="99"/>
      <c r="B247" s="100"/>
      <c r="C247" s="101"/>
      <c r="D247" s="101"/>
      <c r="E247" s="101"/>
      <c r="F247" s="101"/>
      <c r="G247" s="102"/>
      <c r="H247" s="227"/>
    </row>
    <row r="248" spans="1:8">
      <c r="A248" s="27"/>
      <c r="B248" s="95"/>
      <c r="C248" s="96"/>
      <c r="D248" s="96"/>
      <c r="E248" s="96"/>
      <c r="F248" s="96"/>
      <c r="G248" s="81"/>
      <c r="H248" s="95"/>
    </row>
    <row r="249" spans="1:8">
      <c r="A249" s="27"/>
      <c r="B249" s="95"/>
      <c r="C249" s="96"/>
      <c r="D249" s="96"/>
      <c r="E249" s="96"/>
      <c r="F249" s="96"/>
      <c r="G249" s="81"/>
      <c r="H249" s="219"/>
    </row>
    <row r="250" spans="1:8">
      <c r="A250" s="27"/>
      <c r="B250" s="95"/>
      <c r="C250" s="96"/>
      <c r="D250" s="96"/>
      <c r="E250" s="96"/>
      <c r="F250" s="96"/>
      <c r="G250" s="81"/>
      <c r="H250" s="219"/>
    </row>
    <row r="251" spans="1:8">
      <c r="A251" s="27"/>
      <c r="B251" s="95"/>
      <c r="C251" s="96"/>
      <c r="D251" s="96"/>
      <c r="E251" s="96"/>
      <c r="F251" s="96"/>
      <c r="G251" s="81"/>
      <c r="H251" s="219"/>
    </row>
    <row r="252" spans="1:8">
      <c r="A252" s="104"/>
      <c r="B252" s="95"/>
      <c r="C252" s="96"/>
      <c r="D252" s="96"/>
      <c r="E252" s="96"/>
      <c r="F252" s="96"/>
      <c r="G252" s="81"/>
      <c r="H252" s="219"/>
    </row>
    <row r="253" spans="1:8">
      <c r="A253" s="104"/>
      <c r="B253" s="95"/>
      <c r="C253" s="96"/>
      <c r="D253" s="96"/>
      <c r="E253" s="96"/>
      <c r="F253" s="96"/>
      <c r="G253" s="81"/>
      <c r="H253" s="219"/>
    </row>
    <row r="254" spans="1:8">
      <c r="A254" s="104"/>
      <c r="B254" s="95"/>
      <c r="C254" s="96"/>
      <c r="D254" s="96"/>
      <c r="E254" s="96"/>
      <c r="F254" s="96"/>
      <c r="G254" s="81"/>
      <c r="H254" s="219"/>
    </row>
    <row r="255" spans="1:8">
      <c r="A255" s="104"/>
      <c r="B255" s="95"/>
      <c r="C255" s="96"/>
      <c r="D255" s="96"/>
      <c r="E255" s="96"/>
      <c r="F255" s="96"/>
      <c r="G255" s="81"/>
      <c r="H255" s="219"/>
    </row>
    <row r="256" spans="1:8">
      <c r="A256" s="104"/>
      <c r="B256" s="95"/>
      <c r="C256" s="96"/>
      <c r="D256" s="96"/>
      <c r="E256" s="96"/>
      <c r="F256" s="96"/>
      <c r="G256" s="81"/>
      <c r="H256" s="219"/>
    </row>
    <row r="257" spans="1:8">
      <c r="A257" s="104"/>
      <c r="B257" s="95"/>
      <c r="C257" s="96"/>
      <c r="D257" s="96"/>
      <c r="E257" s="96"/>
      <c r="F257" s="96"/>
      <c r="G257" s="81"/>
      <c r="H257" s="219"/>
    </row>
    <row r="258" spans="1:8">
      <c r="A258" s="104"/>
      <c r="B258" s="95"/>
      <c r="C258" s="96"/>
      <c r="D258" s="96"/>
      <c r="E258" s="96"/>
      <c r="F258" s="96"/>
      <c r="G258" s="81"/>
      <c r="H258" s="219"/>
    </row>
    <row r="259" spans="1:8">
      <c r="A259" s="99"/>
      <c r="B259" s="100"/>
      <c r="C259" s="101"/>
      <c r="D259" s="101"/>
      <c r="E259" s="101"/>
      <c r="F259" s="101"/>
      <c r="G259" s="102"/>
      <c r="H259" s="227"/>
    </row>
    <row r="260" spans="1:8">
      <c r="A260" s="104"/>
      <c r="B260" s="95"/>
      <c r="C260" s="96"/>
      <c r="D260" s="96"/>
      <c r="E260" s="96"/>
      <c r="F260" s="96"/>
      <c r="G260" s="81"/>
      <c r="H260" s="219"/>
    </row>
    <row r="261" spans="1:8">
      <c r="A261" s="104"/>
      <c r="B261" s="95"/>
      <c r="C261" s="96"/>
      <c r="D261" s="96"/>
      <c r="E261" s="96"/>
      <c r="F261" s="96"/>
      <c r="G261" s="81"/>
      <c r="H261" s="219"/>
    </row>
    <row r="262" spans="1:8">
      <c r="A262" s="104"/>
      <c r="B262" s="95"/>
      <c r="C262" s="96"/>
      <c r="D262" s="96"/>
      <c r="E262" s="96"/>
      <c r="F262" s="96"/>
      <c r="G262" s="81"/>
      <c r="H262" s="219"/>
    </row>
    <row r="263" spans="1:8">
      <c r="A263" s="104"/>
      <c r="B263" s="95"/>
      <c r="C263" s="96"/>
      <c r="D263" s="96"/>
      <c r="E263" s="96"/>
      <c r="F263" s="96"/>
      <c r="G263" s="81"/>
      <c r="H263" s="219"/>
    </row>
    <row r="264" spans="1:8">
      <c r="A264" s="104"/>
      <c r="B264" s="95"/>
      <c r="C264" s="96"/>
      <c r="D264" s="96"/>
      <c r="E264" s="96"/>
      <c r="F264" s="96"/>
      <c r="G264" s="81"/>
      <c r="H264" s="219"/>
    </row>
    <row r="265" spans="1:8">
      <c r="A265" s="104"/>
      <c r="B265" s="95"/>
      <c r="C265" s="96"/>
      <c r="D265" s="96"/>
      <c r="E265" s="96"/>
      <c r="F265" s="96"/>
      <c r="G265" s="81"/>
      <c r="H265" s="219"/>
    </row>
    <row r="266" spans="1:8">
      <c r="A266" s="104"/>
      <c r="B266" s="95"/>
      <c r="C266" s="96"/>
      <c r="D266" s="96"/>
      <c r="E266" s="96"/>
      <c r="F266" s="96"/>
      <c r="G266" s="81"/>
      <c r="H266" s="219"/>
    </row>
    <row r="267" spans="1:8">
      <c r="A267" s="104"/>
      <c r="B267" s="95"/>
      <c r="C267" s="96"/>
      <c r="D267" s="96"/>
      <c r="E267" s="96"/>
      <c r="F267" s="96"/>
      <c r="G267" s="81"/>
      <c r="H267" s="219"/>
    </row>
    <row r="268" spans="1:8">
      <c r="A268" s="104"/>
      <c r="B268" s="95"/>
      <c r="C268" s="96"/>
      <c r="D268" s="96"/>
      <c r="E268" s="96"/>
      <c r="F268" s="96"/>
      <c r="G268" s="81"/>
      <c r="H268" s="219"/>
    </row>
    <row r="269" spans="1:8">
      <c r="A269" s="104"/>
      <c r="B269" s="95"/>
      <c r="C269" s="96"/>
      <c r="D269" s="96"/>
      <c r="E269" s="96"/>
      <c r="F269" s="96"/>
      <c r="G269" s="81"/>
      <c r="H269" s="219"/>
    </row>
    <row r="270" spans="1:8">
      <c r="A270" s="104"/>
      <c r="B270" s="95"/>
      <c r="C270" s="96"/>
      <c r="D270" s="96"/>
      <c r="E270" s="96"/>
      <c r="F270" s="96"/>
      <c r="G270" s="81"/>
      <c r="H270" s="219"/>
    </row>
    <row r="271" spans="1:8">
      <c r="A271" s="99"/>
      <c r="B271" s="100"/>
      <c r="C271" s="101"/>
      <c r="D271" s="101"/>
      <c r="E271" s="101"/>
      <c r="F271" s="101"/>
      <c r="G271" s="102"/>
      <c r="H271" s="227"/>
    </row>
    <row r="272" spans="1:8">
      <c r="A272" s="104"/>
      <c r="B272" s="95"/>
      <c r="C272" s="96"/>
      <c r="D272" s="96"/>
      <c r="E272" s="96"/>
      <c r="F272" s="96"/>
      <c r="G272" s="81"/>
      <c r="H272" s="219"/>
    </row>
    <row r="273" spans="1:1">
      <c r="A273" s="99"/>
    </row>
    <row r="282" spans="1:1">
      <c r="A282" s="32" t="s">
        <v>255</v>
      </c>
    </row>
  </sheetData>
  <mergeCells count="2">
    <mergeCell ref="A6:A7"/>
    <mergeCell ref="B6:H6"/>
  </mergeCells>
  <phoneticPr fontId="2" type="noConversion"/>
  <pageMargins left="0.78740157499999996" right="0.78740157499999996" top="0.984251969" bottom="0.984251969" header="0.4921259845" footer="0.4921259845"/>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2">
    <tabColor rgb="FF92D050"/>
  </sheetPr>
  <dimension ref="A1:N279"/>
  <sheetViews>
    <sheetView tabSelected="1" zoomScale="101" workbookViewId="0">
      <selection activeCell="B11" sqref="B11"/>
    </sheetView>
  </sheetViews>
  <sheetFormatPr defaultColWidth="11.42578125" defaultRowHeight="10.15"/>
  <cols>
    <col min="1" max="1" width="15.5703125" style="3" bestFit="1" customWidth="1"/>
    <col min="2" max="2" width="15" style="24" customWidth="1"/>
    <col min="3" max="3" width="16.28515625" style="5" customWidth="1"/>
    <col min="4" max="5" width="10.28515625" style="6" bestFit="1" customWidth="1"/>
    <col min="6" max="6" width="11.140625" style="6" bestFit="1" customWidth="1"/>
    <col min="7" max="7" width="10.85546875" style="6" bestFit="1" customWidth="1"/>
    <col min="8" max="8" width="14.7109375" style="6" customWidth="1"/>
    <col min="9" max="9" width="12.7109375" style="6" customWidth="1"/>
    <col min="10" max="10" width="11.42578125" style="44" customWidth="1"/>
    <col min="11" max="11" width="11.5703125" style="44" customWidth="1"/>
    <col min="12" max="12" width="9.140625" style="6" customWidth="1"/>
    <col min="13" max="13" width="10.42578125" style="4" customWidth="1"/>
    <col min="14" max="16384" width="11.42578125" style="34"/>
  </cols>
  <sheetData>
    <row r="1" spans="1:14">
      <c r="A1" s="23" t="s">
        <v>44</v>
      </c>
      <c r="B1" s="23" t="s">
        <v>256</v>
      </c>
      <c r="C1" s="23"/>
      <c r="D1" s="23"/>
      <c r="E1" s="23"/>
      <c r="F1" s="23"/>
      <c r="G1" s="23"/>
      <c r="H1" s="23"/>
      <c r="I1" s="23"/>
      <c r="J1" s="23"/>
      <c r="K1" s="23"/>
      <c r="L1" s="23"/>
      <c r="M1" s="23"/>
      <c r="N1" s="55"/>
    </row>
    <row r="2" spans="1:14">
      <c r="A2" s="23" t="s">
        <v>46</v>
      </c>
      <c r="B2" s="23" t="s">
        <v>47</v>
      </c>
      <c r="C2" s="23"/>
      <c r="D2" s="23"/>
      <c r="E2" s="23"/>
      <c r="F2" s="23"/>
      <c r="G2" s="23"/>
      <c r="H2" s="23"/>
      <c r="I2" s="23"/>
      <c r="J2" s="23"/>
      <c r="K2" s="23"/>
      <c r="L2" s="23"/>
      <c r="M2" s="23"/>
      <c r="N2" s="55"/>
    </row>
    <row r="3" spans="1:14">
      <c r="A3" s="23" t="s">
        <v>48</v>
      </c>
      <c r="B3" s="23" t="s">
        <v>49</v>
      </c>
      <c r="C3" s="23"/>
      <c r="D3" s="23"/>
      <c r="E3" s="23"/>
      <c r="F3" s="23"/>
      <c r="G3" s="23"/>
      <c r="H3" s="23"/>
      <c r="I3" s="23"/>
      <c r="J3" s="23"/>
      <c r="K3" s="23"/>
      <c r="L3" s="23"/>
      <c r="M3" s="23"/>
      <c r="N3" s="55"/>
    </row>
    <row r="4" spans="1:14">
      <c r="A4" s="23" t="s">
        <v>50</v>
      </c>
      <c r="B4" s="23" t="s">
        <v>51</v>
      </c>
      <c r="C4" s="23"/>
      <c r="D4" s="23"/>
      <c r="E4" s="23"/>
      <c r="F4" s="23"/>
      <c r="G4" s="23"/>
      <c r="H4" s="23"/>
      <c r="I4" s="23"/>
      <c r="J4" s="23"/>
      <c r="K4" s="23"/>
      <c r="L4" s="23"/>
      <c r="M4" s="23"/>
      <c r="N4" s="55"/>
    </row>
    <row r="5" spans="1:14" s="55" customFormat="1" ht="13.5" customHeight="1">
      <c r="A5" s="23" t="s">
        <v>257</v>
      </c>
      <c r="B5" s="23"/>
      <c r="C5" s="16"/>
      <c r="D5" s="23"/>
      <c r="E5" s="23"/>
      <c r="F5" s="23"/>
      <c r="G5" s="23"/>
      <c r="H5" s="23"/>
      <c r="I5" s="23"/>
      <c r="J5" s="23"/>
      <c r="K5" s="23"/>
      <c r="L5" s="23"/>
      <c r="M5" s="23"/>
    </row>
    <row r="6" spans="1:14" s="55" customFormat="1" ht="13.5" customHeight="1">
      <c r="A6" s="16"/>
      <c r="B6" s="23"/>
      <c r="C6" s="16"/>
      <c r="D6" s="23"/>
      <c r="E6" s="23"/>
      <c r="F6" s="23"/>
      <c r="G6" s="23"/>
      <c r="H6" s="23"/>
      <c r="I6" s="23"/>
      <c r="J6" s="23"/>
      <c r="K6" s="23"/>
      <c r="L6" s="23"/>
      <c r="M6" s="23"/>
    </row>
    <row r="7" spans="1:14" ht="18" customHeight="1">
      <c r="A7" s="11" t="s">
        <v>53</v>
      </c>
      <c r="B7" s="71" t="s">
        <v>258</v>
      </c>
      <c r="C7" s="49" t="s">
        <v>259</v>
      </c>
      <c r="D7" s="47" t="s">
        <v>260</v>
      </c>
      <c r="E7" s="47" t="s">
        <v>261</v>
      </c>
      <c r="F7" s="50" t="s">
        <v>262</v>
      </c>
      <c r="G7" s="47" t="s">
        <v>263</v>
      </c>
      <c r="H7" s="47" t="s">
        <v>264</v>
      </c>
      <c r="I7" s="47" t="s">
        <v>265</v>
      </c>
      <c r="J7" s="46" t="s">
        <v>266</v>
      </c>
      <c r="K7" s="46" t="s">
        <v>267</v>
      </c>
      <c r="L7" s="47" t="s">
        <v>268</v>
      </c>
      <c r="M7" s="48" t="s">
        <v>269</v>
      </c>
      <c r="N7" s="55"/>
    </row>
    <row r="8" spans="1:14" ht="13.5" customHeight="1">
      <c r="A8" s="276"/>
      <c r="B8" s="277"/>
      <c r="C8" s="278"/>
      <c r="D8" s="279"/>
      <c r="E8" s="279"/>
      <c r="F8" s="280"/>
      <c r="G8" s="279"/>
      <c r="H8" s="279"/>
      <c r="I8" s="279"/>
      <c r="J8" s="281"/>
      <c r="K8" s="281"/>
      <c r="L8" s="279"/>
      <c r="M8" s="282"/>
      <c r="N8" s="55"/>
    </row>
    <row r="9" spans="1:14" ht="13.5" customHeight="1">
      <c r="A9" s="27" t="s">
        <v>61</v>
      </c>
      <c r="B9" s="236"/>
      <c r="C9" s="146"/>
      <c r="D9" s="147"/>
      <c r="E9" s="147"/>
      <c r="F9" s="147"/>
      <c r="G9" s="147"/>
      <c r="H9" s="147"/>
      <c r="I9" s="147"/>
      <c r="J9" s="237"/>
      <c r="K9" s="237"/>
      <c r="L9" s="147"/>
      <c r="M9" s="238"/>
      <c r="N9" s="55"/>
    </row>
    <row r="10" spans="1:14" ht="13.5" customHeight="1">
      <c r="A10" s="27" t="s">
        <v>62</v>
      </c>
      <c r="B10" s="236"/>
      <c r="C10" s="146"/>
      <c r="D10" s="147"/>
      <c r="E10" s="147"/>
      <c r="F10" s="147"/>
      <c r="G10" s="147"/>
      <c r="H10" s="147"/>
      <c r="I10" s="147"/>
      <c r="J10" s="237"/>
      <c r="K10" s="237"/>
      <c r="L10" s="147"/>
      <c r="M10" s="238"/>
      <c r="N10" s="55"/>
    </row>
    <row r="11" spans="1:14" ht="13.5" customHeight="1">
      <c r="A11" s="27" t="s">
        <v>63</v>
      </c>
      <c r="B11" s="236"/>
      <c r="C11" s="146"/>
      <c r="D11" s="147"/>
      <c r="E11" s="147"/>
      <c r="F11" s="147"/>
      <c r="G11" s="147"/>
      <c r="H11" s="147"/>
      <c r="I11" s="147"/>
      <c r="J11" s="237"/>
      <c r="K11" s="237"/>
      <c r="L11" s="147"/>
      <c r="M11" s="238"/>
      <c r="N11" s="55"/>
    </row>
    <row r="12" spans="1:14" ht="13.5" customHeight="1">
      <c r="A12" s="27" t="s">
        <v>64</v>
      </c>
      <c r="B12" s="236"/>
      <c r="C12" s="95"/>
      <c r="D12" s="96"/>
      <c r="E12" s="96"/>
      <c r="F12" s="96"/>
      <c r="G12" s="96"/>
      <c r="H12" s="96"/>
      <c r="I12" s="96"/>
      <c r="J12" s="239"/>
      <c r="K12" s="239"/>
      <c r="L12" s="96"/>
      <c r="M12" s="219"/>
      <c r="N12" s="55"/>
    </row>
    <row r="13" spans="1:14" ht="13.5" customHeight="1">
      <c r="A13" s="27" t="s">
        <v>65</v>
      </c>
      <c r="B13" s="236"/>
      <c r="C13" s="95"/>
      <c r="D13" s="96"/>
      <c r="E13" s="96"/>
      <c r="F13" s="96"/>
      <c r="G13" s="96"/>
      <c r="H13" s="96"/>
      <c r="I13" s="96"/>
      <c r="J13" s="239"/>
      <c r="K13" s="239"/>
      <c r="L13" s="96"/>
      <c r="M13" s="219"/>
      <c r="N13" s="55"/>
    </row>
    <row r="14" spans="1:14" ht="13.5" customHeight="1">
      <c r="A14" s="27" t="s">
        <v>66</v>
      </c>
      <c r="B14" s="236"/>
      <c r="C14" s="95"/>
      <c r="D14" s="96"/>
      <c r="E14" s="96"/>
      <c r="F14" s="96"/>
      <c r="G14" s="96"/>
      <c r="H14" s="96"/>
      <c r="I14" s="96"/>
      <c r="J14" s="239"/>
      <c r="K14" s="239"/>
      <c r="L14" s="96"/>
      <c r="M14" s="219"/>
      <c r="N14" s="55"/>
    </row>
    <row r="15" spans="1:14" ht="13.5" customHeight="1">
      <c r="A15" s="27" t="s">
        <v>67</v>
      </c>
      <c r="B15" s="236"/>
      <c r="C15" s="95"/>
      <c r="D15" s="96"/>
      <c r="E15" s="96"/>
      <c r="F15" s="96"/>
      <c r="G15" s="96"/>
      <c r="H15" s="96"/>
      <c r="I15" s="96"/>
      <c r="J15" s="239"/>
      <c r="K15" s="239"/>
      <c r="L15" s="96"/>
      <c r="M15" s="219"/>
      <c r="N15" s="55"/>
    </row>
    <row r="16" spans="1:14" ht="13.5" customHeight="1">
      <c r="A16" s="27" t="s">
        <v>68</v>
      </c>
      <c r="B16" s="236"/>
      <c r="C16" s="95"/>
      <c r="D16" s="96"/>
      <c r="E16" s="96"/>
      <c r="F16" s="96"/>
      <c r="G16" s="96"/>
      <c r="H16" s="96"/>
      <c r="I16" s="96"/>
      <c r="J16" s="239"/>
      <c r="K16" s="239"/>
      <c r="L16" s="96"/>
      <c r="M16" s="219"/>
      <c r="N16" s="55"/>
    </row>
    <row r="17" spans="1:14" ht="13.5" customHeight="1">
      <c r="A17" s="27" t="s">
        <v>69</v>
      </c>
      <c r="B17" s="236"/>
      <c r="C17" s="95"/>
      <c r="D17" s="96"/>
      <c r="E17" s="96"/>
      <c r="F17" s="96"/>
      <c r="G17" s="96"/>
      <c r="H17" s="96"/>
      <c r="I17" s="96"/>
      <c r="J17" s="239"/>
      <c r="K17" s="239"/>
      <c r="L17" s="96"/>
      <c r="M17" s="219"/>
      <c r="N17" s="55"/>
    </row>
    <row r="18" spans="1:14" ht="13.5" customHeight="1">
      <c r="A18" s="27" t="s">
        <v>70</v>
      </c>
      <c r="B18" s="236"/>
      <c r="C18" s="95"/>
      <c r="D18" s="96"/>
      <c r="E18" s="96"/>
      <c r="F18" s="96"/>
      <c r="G18" s="96"/>
      <c r="H18" s="96"/>
      <c r="I18" s="96"/>
      <c r="J18" s="239"/>
      <c r="K18" s="239"/>
      <c r="L18" s="96"/>
      <c r="M18" s="219"/>
      <c r="N18" s="55"/>
    </row>
    <row r="19" spans="1:14" ht="13.5" customHeight="1">
      <c r="A19" s="27" t="s">
        <v>71</v>
      </c>
      <c r="B19" s="236"/>
      <c r="C19" s="95"/>
      <c r="D19" s="96"/>
      <c r="E19" s="96"/>
      <c r="F19" s="96"/>
      <c r="G19" s="96"/>
      <c r="H19" s="96"/>
      <c r="I19" s="96"/>
      <c r="J19" s="239"/>
      <c r="K19" s="239"/>
      <c r="L19" s="96"/>
      <c r="M19" s="219"/>
      <c r="N19" s="55"/>
    </row>
    <row r="20" spans="1:14" ht="13.5" customHeight="1">
      <c r="A20" s="99" t="s">
        <v>72</v>
      </c>
      <c r="B20" s="240"/>
      <c r="C20" s="100"/>
      <c r="D20" s="101"/>
      <c r="E20" s="101"/>
      <c r="F20" s="101"/>
      <c r="G20" s="101"/>
      <c r="H20" s="101"/>
      <c r="I20" s="101"/>
      <c r="J20" s="241"/>
      <c r="K20" s="241"/>
      <c r="L20" s="101"/>
      <c r="M20" s="227"/>
      <c r="N20" s="55"/>
    </row>
    <row r="21" spans="1:14" ht="13.5" customHeight="1">
      <c r="A21" s="27" t="s">
        <v>73</v>
      </c>
      <c r="B21" s="236"/>
      <c r="C21" s="95"/>
      <c r="D21" s="96"/>
      <c r="E21" s="96"/>
      <c r="F21" s="96"/>
      <c r="G21" s="96"/>
      <c r="H21" s="96"/>
      <c r="I21" s="96"/>
      <c r="J21" s="239"/>
      <c r="K21" s="239"/>
      <c r="L21" s="96"/>
      <c r="M21" s="219"/>
      <c r="N21" s="55"/>
    </row>
    <row r="22" spans="1:14" ht="13.5" customHeight="1">
      <c r="A22" s="27" t="s">
        <v>74</v>
      </c>
      <c r="B22" s="236"/>
      <c r="C22" s="95"/>
      <c r="D22" s="96"/>
      <c r="E22" s="96"/>
      <c r="F22" s="96"/>
      <c r="G22" s="96"/>
      <c r="H22" s="96"/>
      <c r="I22" s="96"/>
      <c r="J22" s="239"/>
      <c r="K22" s="239"/>
      <c r="L22" s="96"/>
      <c r="M22" s="219"/>
      <c r="N22" s="55"/>
    </row>
    <row r="23" spans="1:14" ht="13.5" customHeight="1">
      <c r="A23" s="27" t="s">
        <v>75</v>
      </c>
      <c r="B23" s="236"/>
      <c r="C23" s="95"/>
      <c r="D23" s="96"/>
      <c r="E23" s="96"/>
      <c r="F23" s="96"/>
      <c r="G23" s="96"/>
      <c r="H23" s="96"/>
      <c r="I23" s="96"/>
      <c r="J23" s="239"/>
      <c r="K23" s="239"/>
      <c r="L23" s="96"/>
      <c r="M23" s="219"/>
      <c r="N23" s="55"/>
    </row>
    <row r="24" spans="1:14" ht="13.5" customHeight="1">
      <c r="A24" s="27" t="s">
        <v>76</v>
      </c>
      <c r="B24" s="236"/>
      <c r="C24" s="95"/>
      <c r="D24" s="96"/>
      <c r="E24" s="96"/>
      <c r="F24" s="96"/>
      <c r="G24" s="96"/>
      <c r="H24" s="96"/>
      <c r="I24" s="96"/>
      <c r="J24" s="239"/>
      <c r="K24" s="239"/>
      <c r="L24" s="96"/>
      <c r="M24" s="219"/>
      <c r="N24" s="55"/>
    </row>
    <row r="25" spans="1:14" ht="13.5" customHeight="1">
      <c r="A25" s="27" t="s">
        <v>77</v>
      </c>
      <c r="B25" s="236"/>
      <c r="C25" s="95"/>
      <c r="D25" s="96"/>
      <c r="E25" s="96"/>
      <c r="F25" s="96"/>
      <c r="G25" s="96"/>
      <c r="H25" s="96"/>
      <c r="I25" s="96"/>
      <c r="J25" s="239"/>
      <c r="K25" s="239"/>
      <c r="L25" s="96"/>
      <c r="M25" s="219"/>
      <c r="N25" s="55"/>
    </row>
    <row r="26" spans="1:14" ht="13.5" customHeight="1">
      <c r="A26" s="27" t="s">
        <v>78</v>
      </c>
      <c r="B26" s="236"/>
      <c r="C26" s="95"/>
      <c r="D26" s="96"/>
      <c r="E26" s="96"/>
      <c r="F26" s="96"/>
      <c r="G26" s="96"/>
      <c r="H26" s="96"/>
      <c r="I26" s="96"/>
      <c r="J26" s="239"/>
      <c r="K26" s="239"/>
      <c r="L26" s="96"/>
      <c r="M26" s="219"/>
      <c r="N26" s="55"/>
    </row>
    <row r="27" spans="1:14" ht="13.5" customHeight="1">
      <c r="A27" s="27" t="s">
        <v>79</v>
      </c>
      <c r="B27" s="236"/>
      <c r="C27" s="95"/>
      <c r="D27" s="96"/>
      <c r="E27" s="96"/>
      <c r="F27" s="96"/>
      <c r="G27" s="96"/>
      <c r="H27" s="96"/>
      <c r="I27" s="96"/>
      <c r="J27" s="239"/>
      <c r="K27" s="239"/>
      <c r="L27" s="96"/>
      <c r="M27" s="219"/>
      <c r="N27" s="55"/>
    </row>
    <row r="28" spans="1:14" ht="13.5" customHeight="1">
      <c r="A28" s="27" t="s">
        <v>80</v>
      </c>
      <c r="B28" s="236"/>
      <c r="C28" s="95"/>
      <c r="D28" s="96"/>
      <c r="E28" s="96"/>
      <c r="F28" s="96"/>
      <c r="G28" s="96"/>
      <c r="H28" s="96"/>
      <c r="I28" s="96"/>
      <c r="J28" s="239"/>
      <c r="K28" s="239"/>
      <c r="L28" s="96"/>
      <c r="M28" s="219"/>
      <c r="N28" s="55"/>
    </row>
    <row r="29" spans="1:14" ht="13.5" customHeight="1">
      <c r="A29" s="27" t="s">
        <v>81</v>
      </c>
      <c r="B29" s="236"/>
      <c r="C29" s="95"/>
      <c r="D29" s="96"/>
      <c r="E29" s="96"/>
      <c r="F29" s="96"/>
      <c r="G29" s="96"/>
      <c r="H29" s="96"/>
      <c r="I29" s="96"/>
      <c r="J29" s="239"/>
      <c r="K29" s="239"/>
      <c r="L29" s="96"/>
      <c r="M29" s="219"/>
      <c r="N29" s="55"/>
    </row>
    <row r="30" spans="1:14" ht="13.5" customHeight="1">
      <c r="A30" s="27" t="s">
        <v>82</v>
      </c>
      <c r="B30" s="236"/>
      <c r="C30" s="95"/>
      <c r="D30" s="96"/>
      <c r="E30" s="96"/>
      <c r="F30" s="96"/>
      <c r="G30" s="96"/>
      <c r="H30" s="96"/>
      <c r="I30" s="96"/>
      <c r="J30" s="239"/>
      <c r="K30" s="239"/>
      <c r="L30" s="96"/>
      <c r="M30" s="219"/>
      <c r="N30" s="55"/>
    </row>
    <row r="31" spans="1:14" ht="13.5" customHeight="1">
      <c r="A31" s="27" t="s">
        <v>83</v>
      </c>
      <c r="B31" s="236"/>
      <c r="C31" s="95"/>
      <c r="D31" s="96"/>
      <c r="E31" s="96"/>
      <c r="F31" s="96"/>
      <c r="G31" s="96"/>
      <c r="H31" s="96"/>
      <c r="I31" s="96"/>
      <c r="J31" s="239"/>
      <c r="K31" s="239"/>
      <c r="L31" s="96"/>
      <c r="M31" s="219"/>
      <c r="N31" s="55"/>
    </row>
    <row r="32" spans="1:14" ht="13.5" customHeight="1">
      <c r="A32" s="99" t="s">
        <v>84</v>
      </c>
      <c r="B32" s="240"/>
      <c r="C32" s="100"/>
      <c r="D32" s="101"/>
      <c r="E32" s="101"/>
      <c r="F32" s="101"/>
      <c r="G32" s="101"/>
      <c r="H32" s="101"/>
      <c r="I32" s="101"/>
      <c r="J32" s="241"/>
      <c r="K32" s="241"/>
      <c r="L32" s="101"/>
      <c r="M32" s="227"/>
      <c r="N32" s="55"/>
    </row>
    <row r="33" spans="1:14" ht="13.5" customHeight="1">
      <c r="A33" s="27" t="s">
        <v>85</v>
      </c>
      <c r="B33" s="236"/>
      <c r="C33" s="95"/>
      <c r="D33" s="96"/>
      <c r="E33" s="96"/>
      <c r="F33" s="96"/>
      <c r="G33" s="96"/>
      <c r="H33" s="96"/>
      <c r="I33" s="96"/>
      <c r="J33" s="239"/>
      <c r="K33" s="239"/>
      <c r="L33" s="96"/>
      <c r="M33" s="219"/>
      <c r="N33" s="55"/>
    </row>
    <row r="34" spans="1:14" ht="13.5" customHeight="1">
      <c r="A34" s="27" t="s">
        <v>86</v>
      </c>
      <c r="B34" s="236"/>
      <c r="C34" s="95"/>
      <c r="D34" s="96"/>
      <c r="E34" s="96"/>
      <c r="F34" s="96"/>
      <c r="G34" s="96"/>
      <c r="H34" s="96"/>
      <c r="I34" s="96"/>
      <c r="J34" s="239"/>
      <c r="K34" s="239"/>
      <c r="L34" s="96"/>
      <c r="M34" s="219"/>
      <c r="N34" s="55"/>
    </row>
    <row r="35" spans="1:14" ht="13.5" customHeight="1">
      <c r="A35" s="27" t="s">
        <v>87</v>
      </c>
      <c r="B35" s="236"/>
      <c r="C35" s="95"/>
      <c r="D35" s="96"/>
      <c r="E35" s="96"/>
      <c r="F35" s="96"/>
      <c r="G35" s="96"/>
      <c r="H35" s="96"/>
      <c r="I35" s="96"/>
      <c r="J35" s="239"/>
      <c r="K35" s="239"/>
      <c r="L35" s="96"/>
      <c r="M35" s="219"/>
      <c r="N35" s="55"/>
    </row>
    <row r="36" spans="1:14" ht="13.5" customHeight="1">
      <c r="A36" s="27" t="s">
        <v>88</v>
      </c>
      <c r="B36" s="236"/>
      <c r="C36" s="95"/>
      <c r="D36" s="96"/>
      <c r="E36" s="96"/>
      <c r="F36" s="96"/>
      <c r="G36" s="96"/>
      <c r="H36" s="96"/>
      <c r="I36" s="96"/>
      <c r="J36" s="239"/>
      <c r="K36" s="239"/>
      <c r="L36" s="96"/>
      <c r="M36" s="219"/>
      <c r="N36" s="55"/>
    </row>
    <row r="37" spans="1:14" ht="13.5" customHeight="1">
      <c r="A37" s="27" t="s">
        <v>89</v>
      </c>
      <c r="B37" s="236"/>
      <c r="C37" s="95"/>
      <c r="D37" s="96"/>
      <c r="E37" s="96"/>
      <c r="F37" s="96"/>
      <c r="G37" s="96"/>
      <c r="H37" s="96"/>
      <c r="I37" s="96"/>
      <c r="J37" s="239"/>
      <c r="K37" s="239"/>
      <c r="L37" s="96"/>
      <c r="M37" s="219"/>
      <c r="N37" s="55"/>
    </row>
    <row r="38" spans="1:14" ht="13.5" customHeight="1">
      <c r="A38" s="27" t="s">
        <v>90</v>
      </c>
      <c r="B38" s="236"/>
      <c r="C38" s="95"/>
      <c r="D38" s="96"/>
      <c r="E38" s="96"/>
      <c r="F38" s="96"/>
      <c r="G38" s="96"/>
      <c r="H38" s="96"/>
      <c r="I38" s="96"/>
      <c r="J38" s="239"/>
      <c r="K38" s="239"/>
      <c r="L38" s="96"/>
      <c r="M38" s="219"/>
      <c r="N38" s="55"/>
    </row>
    <row r="39" spans="1:14" ht="13.5" customHeight="1">
      <c r="A39" s="27" t="s">
        <v>91</v>
      </c>
      <c r="B39" s="236"/>
      <c r="C39" s="95"/>
      <c r="D39" s="96"/>
      <c r="E39" s="96"/>
      <c r="F39" s="96"/>
      <c r="G39" s="96"/>
      <c r="H39" s="96"/>
      <c r="I39" s="96"/>
      <c r="J39" s="239"/>
      <c r="K39" s="239"/>
      <c r="L39" s="96"/>
      <c r="M39" s="219"/>
      <c r="N39" s="55"/>
    </row>
    <row r="40" spans="1:14" ht="13.5" customHeight="1">
      <c r="A40" s="27" t="s">
        <v>92</v>
      </c>
      <c r="B40" s="236"/>
      <c r="C40" s="95"/>
      <c r="D40" s="96"/>
      <c r="E40" s="96"/>
      <c r="F40" s="96"/>
      <c r="G40" s="96"/>
      <c r="H40" s="96"/>
      <c r="I40" s="96"/>
      <c r="J40" s="239"/>
      <c r="K40" s="239"/>
      <c r="L40" s="96"/>
      <c r="M40" s="219"/>
      <c r="N40" s="55"/>
    </row>
    <row r="41" spans="1:14" ht="13.5" customHeight="1">
      <c r="A41" s="27" t="s">
        <v>93</v>
      </c>
      <c r="B41" s="236"/>
      <c r="C41" s="95"/>
      <c r="D41" s="96"/>
      <c r="E41" s="96"/>
      <c r="F41" s="96"/>
      <c r="G41" s="96"/>
      <c r="H41" s="96"/>
      <c r="I41" s="96"/>
      <c r="J41" s="239"/>
      <c r="K41" s="239"/>
      <c r="L41" s="96"/>
      <c r="M41" s="219"/>
      <c r="N41" s="55"/>
    </row>
    <row r="42" spans="1:14" ht="13.5" customHeight="1">
      <c r="A42" s="27" t="s">
        <v>94</v>
      </c>
      <c r="B42" s="236"/>
      <c r="C42" s="95"/>
      <c r="D42" s="96"/>
      <c r="E42" s="96"/>
      <c r="F42" s="96"/>
      <c r="G42" s="96"/>
      <c r="H42" s="96"/>
      <c r="I42" s="96"/>
      <c r="J42" s="239"/>
      <c r="K42" s="239"/>
      <c r="L42" s="96"/>
      <c r="M42" s="219"/>
      <c r="N42" s="55"/>
    </row>
    <row r="43" spans="1:14" ht="13.5" customHeight="1">
      <c r="A43" s="27" t="s">
        <v>95</v>
      </c>
      <c r="B43" s="236"/>
      <c r="C43" s="95"/>
      <c r="D43" s="96"/>
      <c r="E43" s="96"/>
      <c r="F43" s="96"/>
      <c r="G43" s="96"/>
      <c r="H43" s="96"/>
      <c r="I43" s="96"/>
      <c r="J43" s="239"/>
      <c r="K43" s="239"/>
      <c r="L43" s="96"/>
      <c r="M43" s="219"/>
      <c r="N43" s="55"/>
    </row>
    <row r="44" spans="1:14" ht="13.5" customHeight="1">
      <c r="A44" s="99" t="s">
        <v>96</v>
      </c>
      <c r="B44" s="240"/>
      <c r="C44" s="100"/>
      <c r="D44" s="101"/>
      <c r="E44" s="101"/>
      <c r="F44" s="101"/>
      <c r="G44" s="101"/>
      <c r="H44" s="101"/>
      <c r="I44" s="101"/>
      <c r="J44" s="241"/>
      <c r="K44" s="241"/>
      <c r="L44" s="101"/>
      <c r="M44" s="227"/>
      <c r="N44" s="55"/>
    </row>
    <row r="45" spans="1:14" ht="13.5" customHeight="1">
      <c r="A45" s="27" t="s">
        <v>97</v>
      </c>
      <c r="B45" s="236"/>
      <c r="C45" s="95"/>
      <c r="D45" s="96"/>
      <c r="E45" s="96"/>
      <c r="F45" s="96"/>
      <c r="G45" s="96"/>
      <c r="H45" s="96"/>
      <c r="I45" s="96"/>
      <c r="J45" s="239"/>
      <c r="K45" s="239"/>
      <c r="L45" s="96"/>
      <c r="M45" s="219"/>
      <c r="N45" s="55"/>
    </row>
    <row r="46" spans="1:14" ht="13.5" customHeight="1">
      <c r="A46" s="27" t="s">
        <v>98</v>
      </c>
      <c r="B46" s="236"/>
      <c r="C46" s="95"/>
      <c r="D46" s="96"/>
      <c r="E46" s="96"/>
      <c r="F46" s="96"/>
      <c r="G46" s="96"/>
      <c r="H46" s="96"/>
      <c r="I46" s="96"/>
      <c r="J46" s="239"/>
      <c r="K46" s="239"/>
      <c r="L46" s="96"/>
      <c r="M46" s="219"/>
      <c r="N46" s="55"/>
    </row>
    <row r="47" spans="1:14" ht="13.5" customHeight="1">
      <c r="A47" s="27" t="s">
        <v>99</v>
      </c>
      <c r="B47" s="236"/>
      <c r="C47" s="95"/>
      <c r="D47" s="96"/>
      <c r="E47" s="96"/>
      <c r="F47" s="96"/>
      <c r="G47" s="96"/>
      <c r="H47" s="96"/>
      <c r="I47" s="96"/>
      <c r="J47" s="239"/>
      <c r="K47" s="239"/>
      <c r="L47" s="96"/>
      <c r="M47" s="219"/>
      <c r="N47" s="55"/>
    </row>
    <row r="48" spans="1:14" ht="13.5" customHeight="1">
      <c r="A48" s="27" t="s">
        <v>100</v>
      </c>
      <c r="B48" s="236"/>
      <c r="C48" s="95"/>
      <c r="D48" s="96"/>
      <c r="E48" s="96"/>
      <c r="F48" s="96"/>
      <c r="G48" s="96"/>
      <c r="H48" s="96"/>
      <c r="I48" s="96"/>
      <c r="J48" s="239"/>
      <c r="K48" s="239"/>
      <c r="L48" s="96"/>
      <c r="M48" s="219"/>
      <c r="N48" s="55"/>
    </row>
    <row r="49" spans="1:14" ht="13.5" customHeight="1">
      <c r="A49" s="27" t="s">
        <v>101</v>
      </c>
      <c r="B49" s="236"/>
      <c r="C49" s="95"/>
      <c r="D49" s="96"/>
      <c r="E49" s="96"/>
      <c r="F49" s="96"/>
      <c r="G49" s="96"/>
      <c r="H49" s="96"/>
      <c r="I49" s="96"/>
      <c r="J49" s="239"/>
      <c r="K49" s="239"/>
      <c r="L49" s="96"/>
      <c r="M49" s="219"/>
      <c r="N49" s="55"/>
    </row>
    <row r="50" spans="1:14" ht="13.5" customHeight="1">
      <c r="A50" s="27" t="s">
        <v>102</v>
      </c>
      <c r="B50" s="236"/>
      <c r="C50" s="95"/>
      <c r="D50" s="96"/>
      <c r="E50" s="96"/>
      <c r="F50" s="96"/>
      <c r="G50" s="96"/>
      <c r="H50" s="96"/>
      <c r="I50" s="96"/>
      <c r="J50" s="239"/>
      <c r="K50" s="239"/>
      <c r="L50" s="96"/>
      <c r="M50" s="219"/>
      <c r="N50" s="55"/>
    </row>
    <row r="51" spans="1:14" ht="13.5" customHeight="1">
      <c r="A51" s="27" t="s">
        <v>103</v>
      </c>
      <c r="B51" s="236"/>
      <c r="C51" s="95"/>
      <c r="D51" s="96"/>
      <c r="E51" s="96"/>
      <c r="F51" s="96"/>
      <c r="G51" s="96"/>
      <c r="H51" s="96"/>
      <c r="I51" s="96"/>
      <c r="J51" s="239"/>
      <c r="K51" s="239"/>
      <c r="L51" s="96"/>
      <c r="M51" s="219"/>
      <c r="N51" s="55"/>
    </row>
    <row r="52" spans="1:14" ht="13.5" customHeight="1">
      <c r="A52" s="27" t="s">
        <v>104</v>
      </c>
      <c r="B52" s="236"/>
      <c r="C52" s="95"/>
      <c r="D52" s="96"/>
      <c r="E52" s="96"/>
      <c r="F52" s="96"/>
      <c r="G52" s="96"/>
      <c r="H52" s="96"/>
      <c r="I52" s="96"/>
      <c r="J52" s="239"/>
      <c r="K52" s="239"/>
      <c r="L52" s="96"/>
      <c r="M52" s="219"/>
      <c r="N52" s="55"/>
    </row>
    <row r="53" spans="1:14" ht="13.5" customHeight="1">
      <c r="A53" s="27" t="s">
        <v>105</v>
      </c>
      <c r="B53" s="236"/>
      <c r="C53" s="95"/>
      <c r="D53" s="96"/>
      <c r="E53" s="96"/>
      <c r="F53" s="96"/>
      <c r="G53" s="96"/>
      <c r="H53" s="96"/>
      <c r="I53" s="96"/>
      <c r="J53" s="239"/>
      <c r="K53" s="239"/>
      <c r="L53" s="96"/>
      <c r="M53" s="219"/>
      <c r="N53" s="55"/>
    </row>
    <row r="54" spans="1:14" ht="13.5" customHeight="1">
      <c r="A54" s="27" t="s">
        <v>106</v>
      </c>
      <c r="B54" s="236"/>
      <c r="C54" s="95"/>
      <c r="D54" s="96"/>
      <c r="E54" s="96"/>
      <c r="F54" s="96"/>
      <c r="G54" s="96"/>
      <c r="H54" s="96"/>
      <c r="I54" s="96"/>
      <c r="J54" s="239"/>
      <c r="K54" s="239"/>
      <c r="L54" s="96"/>
      <c r="M54" s="219"/>
      <c r="N54" s="55"/>
    </row>
    <row r="55" spans="1:14" ht="13.5" customHeight="1">
      <c r="A55" s="27" t="s">
        <v>107</v>
      </c>
      <c r="B55" s="236"/>
      <c r="C55" s="95"/>
      <c r="D55" s="96"/>
      <c r="E55" s="96"/>
      <c r="F55" s="96"/>
      <c r="G55" s="96"/>
      <c r="H55" s="96"/>
      <c r="I55" s="96"/>
      <c r="J55" s="239"/>
      <c r="K55" s="239"/>
      <c r="L55" s="96"/>
      <c r="M55" s="219"/>
      <c r="N55" s="55"/>
    </row>
    <row r="56" spans="1:14" ht="13.5" customHeight="1">
      <c r="A56" s="99" t="s">
        <v>108</v>
      </c>
      <c r="B56" s="240"/>
      <c r="C56" s="100"/>
      <c r="D56" s="101"/>
      <c r="E56" s="101"/>
      <c r="F56" s="101"/>
      <c r="G56" s="101"/>
      <c r="H56" s="101"/>
      <c r="I56" s="101"/>
      <c r="J56" s="241"/>
      <c r="K56" s="241"/>
      <c r="L56" s="101"/>
      <c r="M56" s="227"/>
      <c r="N56" s="55"/>
    </row>
    <row r="57" spans="1:14" ht="13.5" customHeight="1">
      <c r="A57" s="27" t="s">
        <v>109</v>
      </c>
      <c r="B57" s="236"/>
      <c r="C57" s="95"/>
      <c r="D57" s="96"/>
      <c r="E57" s="96"/>
      <c r="F57" s="96"/>
      <c r="G57" s="96"/>
      <c r="H57" s="96"/>
      <c r="I57" s="96"/>
      <c r="J57" s="239"/>
      <c r="K57" s="239"/>
      <c r="L57" s="96"/>
      <c r="M57" s="219"/>
      <c r="N57" s="55"/>
    </row>
    <row r="58" spans="1:14" ht="13.5" customHeight="1">
      <c r="A58" s="27" t="s">
        <v>110</v>
      </c>
      <c r="B58" s="236"/>
      <c r="C58" s="95"/>
      <c r="D58" s="96"/>
      <c r="E58" s="96"/>
      <c r="F58" s="96"/>
      <c r="G58" s="96"/>
      <c r="H58" s="96"/>
      <c r="I58" s="96"/>
      <c r="J58" s="239"/>
      <c r="K58" s="239"/>
      <c r="L58" s="96"/>
      <c r="M58" s="219"/>
      <c r="N58" s="55"/>
    </row>
    <row r="59" spans="1:14" ht="13.5" customHeight="1">
      <c r="A59" s="27" t="s">
        <v>111</v>
      </c>
      <c r="B59" s="236"/>
      <c r="C59" s="95"/>
      <c r="D59" s="96"/>
      <c r="E59" s="96"/>
      <c r="F59" s="96"/>
      <c r="G59" s="96"/>
      <c r="H59" s="96"/>
      <c r="I59" s="96"/>
      <c r="J59" s="239"/>
      <c r="K59" s="239"/>
      <c r="L59" s="96"/>
      <c r="M59" s="219"/>
      <c r="N59" s="55"/>
    </row>
    <row r="60" spans="1:14" ht="13.5" customHeight="1">
      <c r="A60" s="27" t="s">
        <v>112</v>
      </c>
      <c r="B60" s="236"/>
      <c r="C60" s="95"/>
      <c r="D60" s="96"/>
      <c r="E60" s="96"/>
      <c r="F60" s="96"/>
      <c r="G60" s="96"/>
      <c r="H60" s="96"/>
      <c r="I60" s="96"/>
      <c r="J60" s="239"/>
      <c r="K60" s="239"/>
      <c r="L60" s="96"/>
      <c r="M60" s="219"/>
      <c r="N60" s="55"/>
    </row>
    <row r="61" spans="1:14" ht="13.5" customHeight="1">
      <c r="A61" s="27" t="s">
        <v>113</v>
      </c>
      <c r="B61" s="236"/>
      <c r="C61" s="95"/>
      <c r="D61" s="96"/>
      <c r="E61" s="96"/>
      <c r="F61" s="96"/>
      <c r="G61" s="96"/>
      <c r="H61" s="96"/>
      <c r="I61" s="96"/>
      <c r="J61" s="239"/>
      <c r="K61" s="239"/>
      <c r="L61" s="96"/>
      <c r="M61" s="219"/>
      <c r="N61" s="55"/>
    </row>
    <row r="62" spans="1:14" ht="13.5" customHeight="1">
      <c r="A62" s="27" t="s">
        <v>114</v>
      </c>
      <c r="B62" s="236"/>
      <c r="C62" s="95"/>
      <c r="D62" s="96"/>
      <c r="E62" s="96"/>
      <c r="F62" s="96"/>
      <c r="G62" s="96"/>
      <c r="H62" s="96"/>
      <c r="I62" s="96"/>
      <c r="J62" s="239"/>
      <c r="K62" s="239"/>
      <c r="L62" s="96"/>
      <c r="M62" s="219"/>
      <c r="N62" s="55"/>
    </row>
    <row r="63" spans="1:14" ht="13.5" customHeight="1">
      <c r="A63" s="27" t="s">
        <v>115</v>
      </c>
      <c r="B63" s="236"/>
      <c r="C63" s="95"/>
      <c r="D63" s="96"/>
      <c r="E63" s="96"/>
      <c r="F63" s="96"/>
      <c r="G63" s="96"/>
      <c r="H63" s="96"/>
      <c r="I63" s="96"/>
      <c r="J63" s="239"/>
      <c r="K63" s="239"/>
      <c r="L63" s="96"/>
      <c r="M63" s="219"/>
      <c r="N63" s="55"/>
    </row>
    <row r="64" spans="1:14" ht="13.5" customHeight="1">
      <c r="A64" s="27" t="s">
        <v>116</v>
      </c>
      <c r="B64" s="236"/>
      <c r="C64" s="95"/>
      <c r="D64" s="96"/>
      <c r="E64" s="96"/>
      <c r="F64" s="96"/>
      <c r="G64" s="96"/>
      <c r="H64" s="96"/>
      <c r="I64" s="96"/>
      <c r="J64" s="239"/>
      <c r="K64" s="239"/>
      <c r="L64" s="96"/>
      <c r="M64" s="219"/>
      <c r="N64" s="55"/>
    </row>
    <row r="65" spans="1:14" ht="13.5" customHeight="1">
      <c r="A65" s="27" t="s">
        <v>117</v>
      </c>
      <c r="B65" s="242">
        <v>519800</v>
      </c>
      <c r="C65" s="95">
        <v>14600</v>
      </c>
      <c r="D65" s="96">
        <v>43900</v>
      </c>
      <c r="E65" s="96">
        <v>17200</v>
      </c>
      <c r="F65" s="96">
        <v>112700</v>
      </c>
      <c r="G65" s="96">
        <v>27300</v>
      </c>
      <c r="H65" s="96">
        <v>32100</v>
      </c>
      <c r="I65" s="96">
        <v>39000</v>
      </c>
      <c r="J65" s="239">
        <v>18000</v>
      </c>
      <c r="K65" s="239">
        <v>80000</v>
      </c>
      <c r="L65" s="96">
        <v>3900</v>
      </c>
      <c r="M65" s="219">
        <v>131000</v>
      </c>
      <c r="N65" s="243"/>
    </row>
    <row r="66" spans="1:14" ht="13.5" customHeight="1">
      <c r="A66" s="27" t="s">
        <v>118</v>
      </c>
      <c r="B66" s="242">
        <v>519200</v>
      </c>
      <c r="C66" s="95">
        <v>14600</v>
      </c>
      <c r="D66" s="96">
        <v>41600</v>
      </c>
      <c r="E66" s="96">
        <v>16700</v>
      </c>
      <c r="F66" s="96">
        <v>113100</v>
      </c>
      <c r="G66" s="96">
        <v>27100</v>
      </c>
      <c r="H66" s="96">
        <v>33500</v>
      </c>
      <c r="I66" s="96">
        <v>41400</v>
      </c>
      <c r="J66" s="239">
        <v>19300</v>
      </c>
      <c r="K66" s="239">
        <v>78300</v>
      </c>
      <c r="L66" s="96">
        <v>3900</v>
      </c>
      <c r="M66" s="219">
        <v>129600</v>
      </c>
      <c r="N66" s="55"/>
    </row>
    <row r="67" spans="1:14" ht="13.5" customHeight="1">
      <c r="A67" s="27" t="s">
        <v>119</v>
      </c>
      <c r="B67" s="242">
        <v>511200</v>
      </c>
      <c r="C67" s="95">
        <v>15000</v>
      </c>
      <c r="D67" s="96">
        <v>40700</v>
      </c>
      <c r="E67" s="96">
        <v>15900</v>
      </c>
      <c r="F67" s="96">
        <v>111300</v>
      </c>
      <c r="G67" s="96">
        <v>26200</v>
      </c>
      <c r="H67" s="96">
        <v>30100</v>
      </c>
      <c r="I67" s="96">
        <v>40700</v>
      </c>
      <c r="J67" s="239">
        <v>18800</v>
      </c>
      <c r="K67" s="239">
        <v>78000</v>
      </c>
      <c r="L67" s="96">
        <v>4000</v>
      </c>
      <c r="M67" s="219">
        <v>130500</v>
      </c>
      <c r="N67" s="55"/>
    </row>
    <row r="68" spans="1:14">
      <c r="A68" s="60" t="s">
        <v>120</v>
      </c>
      <c r="B68" s="244">
        <v>512300</v>
      </c>
      <c r="C68" s="232">
        <v>14300</v>
      </c>
      <c r="D68" s="233">
        <v>39800</v>
      </c>
      <c r="E68" s="233">
        <v>15900</v>
      </c>
      <c r="F68" s="233">
        <v>114400</v>
      </c>
      <c r="G68" s="233">
        <v>27000</v>
      </c>
      <c r="H68" s="233">
        <v>27200</v>
      </c>
      <c r="I68" s="233">
        <v>38000</v>
      </c>
      <c r="J68" s="245">
        <v>19900</v>
      </c>
      <c r="K68" s="245">
        <v>80500</v>
      </c>
      <c r="L68" s="96">
        <v>4200</v>
      </c>
      <c r="M68" s="235">
        <v>131000</v>
      </c>
      <c r="N68" s="55"/>
    </row>
    <row r="69" spans="1:14">
      <c r="A69" s="27" t="s">
        <v>121</v>
      </c>
      <c r="B69" s="242">
        <v>516200</v>
      </c>
      <c r="C69" s="95">
        <v>13200</v>
      </c>
      <c r="D69" s="96">
        <v>40100</v>
      </c>
      <c r="E69" s="96">
        <v>16200</v>
      </c>
      <c r="F69" s="96">
        <v>119200</v>
      </c>
      <c r="G69" s="96">
        <v>27800</v>
      </c>
      <c r="H69" s="96">
        <v>27100</v>
      </c>
      <c r="I69" s="96">
        <v>39800</v>
      </c>
      <c r="J69" s="239">
        <v>21000</v>
      </c>
      <c r="K69" s="239">
        <v>77100</v>
      </c>
      <c r="L69" s="96">
        <v>4400</v>
      </c>
      <c r="M69" s="219">
        <v>130400</v>
      </c>
      <c r="N69" s="55"/>
    </row>
    <row r="70" spans="1:14">
      <c r="A70" s="27" t="s">
        <v>122</v>
      </c>
      <c r="B70" s="242">
        <v>500700</v>
      </c>
      <c r="C70" s="95">
        <v>12400</v>
      </c>
      <c r="D70" s="96">
        <v>39300</v>
      </c>
      <c r="E70" s="96">
        <v>15700</v>
      </c>
      <c r="F70" s="96">
        <v>119900</v>
      </c>
      <c r="G70" s="96">
        <v>27600</v>
      </c>
      <c r="H70" s="96">
        <v>25300</v>
      </c>
      <c r="I70" s="96">
        <v>38300</v>
      </c>
      <c r="J70" s="239">
        <v>21600</v>
      </c>
      <c r="K70" s="239">
        <v>73200</v>
      </c>
      <c r="L70" s="96">
        <v>4300</v>
      </c>
      <c r="M70" s="219">
        <v>123200</v>
      </c>
      <c r="N70" s="55"/>
    </row>
    <row r="71" spans="1:14">
      <c r="A71" s="27" t="s">
        <v>123</v>
      </c>
      <c r="B71" s="242">
        <v>514100</v>
      </c>
      <c r="C71" s="95">
        <v>12500</v>
      </c>
      <c r="D71" s="96">
        <v>39500</v>
      </c>
      <c r="E71" s="96">
        <v>15600</v>
      </c>
      <c r="F71" s="96">
        <v>122600</v>
      </c>
      <c r="G71" s="96">
        <v>29500</v>
      </c>
      <c r="H71" s="96">
        <v>25700</v>
      </c>
      <c r="I71" s="96">
        <v>40500</v>
      </c>
      <c r="J71" s="239">
        <v>22100</v>
      </c>
      <c r="K71" s="239">
        <v>77600</v>
      </c>
      <c r="L71" s="96">
        <v>4700</v>
      </c>
      <c r="M71" s="219">
        <v>124000</v>
      </c>
      <c r="N71" s="55"/>
    </row>
    <row r="72" spans="1:14">
      <c r="A72" s="60" t="s">
        <v>124</v>
      </c>
      <c r="B72" s="244">
        <v>524200</v>
      </c>
      <c r="C72" s="232">
        <v>13000</v>
      </c>
      <c r="D72" s="233">
        <v>39800</v>
      </c>
      <c r="E72" s="233">
        <v>16000</v>
      </c>
      <c r="F72" s="233">
        <v>124200</v>
      </c>
      <c r="G72" s="233">
        <v>30100</v>
      </c>
      <c r="H72" s="233">
        <v>25400</v>
      </c>
      <c r="I72" s="233">
        <v>41600</v>
      </c>
      <c r="J72" s="245">
        <v>22600</v>
      </c>
      <c r="K72" s="245">
        <v>79200</v>
      </c>
      <c r="L72" s="96">
        <v>4700</v>
      </c>
      <c r="M72" s="235">
        <v>127600</v>
      </c>
      <c r="N72" s="55"/>
    </row>
    <row r="73" spans="1:14">
      <c r="A73" s="27" t="s">
        <v>125</v>
      </c>
      <c r="B73" s="242">
        <v>514700</v>
      </c>
      <c r="C73" s="95">
        <v>11800</v>
      </c>
      <c r="D73" s="96">
        <v>39700</v>
      </c>
      <c r="E73" s="96">
        <v>15200</v>
      </c>
      <c r="F73" s="96">
        <v>124500</v>
      </c>
      <c r="G73" s="96">
        <v>29900</v>
      </c>
      <c r="H73" s="96">
        <v>23000</v>
      </c>
      <c r="I73" s="96">
        <v>43200</v>
      </c>
      <c r="J73" s="239">
        <v>22900</v>
      </c>
      <c r="K73" s="239">
        <v>76500</v>
      </c>
      <c r="L73" s="96">
        <v>4900</v>
      </c>
      <c r="M73" s="219">
        <v>123100</v>
      </c>
      <c r="N73" s="55"/>
    </row>
    <row r="74" spans="1:14">
      <c r="A74" s="27" t="s">
        <v>126</v>
      </c>
      <c r="B74" s="242">
        <v>512400</v>
      </c>
      <c r="C74" s="95">
        <v>12300</v>
      </c>
      <c r="D74" s="96">
        <v>39200</v>
      </c>
      <c r="E74" s="96">
        <v>15300</v>
      </c>
      <c r="F74" s="96">
        <v>122100</v>
      </c>
      <c r="G74" s="96">
        <v>29000</v>
      </c>
      <c r="H74" s="96">
        <v>23700</v>
      </c>
      <c r="I74" s="96">
        <v>42300</v>
      </c>
      <c r="J74" s="239">
        <v>22800</v>
      </c>
      <c r="K74" s="239">
        <v>74800</v>
      </c>
      <c r="L74" s="96">
        <v>5000</v>
      </c>
      <c r="M74" s="219">
        <v>125900</v>
      </c>
      <c r="N74" s="55"/>
    </row>
    <row r="75" spans="1:14">
      <c r="A75" s="27" t="s">
        <v>127</v>
      </c>
      <c r="B75" s="242">
        <v>511900</v>
      </c>
      <c r="C75" s="95">
        <v>12200</v>
      </c>
      <c r="D75" s="96">
        <v>38800</v>
      </c>
      <c r="E75" s="96">
        <v>14800</v>
      </c>
      <c r="F75" s="96">
        <v>122600</v>
      </c>
      <c r="G75" s="96">
        <v>28100</v>
      </c>
      <c r="H75" s="96">
        <v>26500</v>
      </c>
      <c r="I75" s="96">
        <v>43300</v>
      </c>
      <c r="J75" s="239">
        <v>23700</v>
      </c>
      <c r="K75" s="239">
        <v>72500</v>
      </c>
      <c r="L75" s="96">
        <v>5700</v>
      </c>
      <c r="M75" s="219">
        <v>123900</v>
      </c>
      <c r="N75" s="55"/>
    </row>
    <row r="76" spans="1:14">
      <c r="A76" s="60" t="s">
        <v>128</v>
      </c>
      <c r="B76" s="244">
        <v>513900</v>
      </c>
      <c r="C76" s="232">
        <v>12100</v>
      </c>
      <c r="D76" s="233">
        <v>39100</v>
      </c>
      <c r="E76" s="233">
        <v>14600</v>
      </c>
      <c r="F76" s="233">
        <v>121100</v>
      </c>
      <c r="G76" s="233">
        <v>27500</v>
      </c>
      <c r="H76" s="233">
        <v>26800</v>
      </c>
      <c r="I76" s="233">
        <v>43600</v>
      </c>
      <c r="J76" s="245">
        <v>24500</v>
      </c>
      <c r="K76" s="245">
        <v>73400</v>
      </c>
      <c r="L76" s="96">
        <v>6700</v>
      </c>
      <c r="M76" s="235">
        <v>124600</v>
      </c>
      <c r="N76" s="55"/>
    </row>
    <row r="77" spans="1:14">
      <c r="A77" s="27" t="s">
        <v>129</v>
      </c>
      <c r="B77" s="242">
        <v>514100</v>
      </c>
      <c r="C77" s="95">
        <v>12200</v>
      </c>
      <c r="D77" s="96">
        <v>39300</v>
      </c>
      <c r="E77" s="96">
        <v>14300</v>
      </c>
      <c r="F77" s="96">
        <v>121800</v>
      </c>
      <c r="G77" s="96">
        <v>26300</v>
      </c>
      <c r="H77" s="96">
        <v>24800</v>
      </c>
      <c r="I77" s="96">
        <v>42700</v>
      </c>
      <c r="J77" s="239">
        <v>24800</v>
      </c>
      <c r="K77" s="239">
        <v>75800</v>
      </c>
      <c r="L77" s="96">
        <v>7000</v>
      </c>
      <c r="M77" s="219">
        <v>125000</v>
      </c>
      <c r="N77" s="55"/>
    </row>
    <row r="78" spans="1:14">
      <c r="A78" s="27" t="s">
        <v>130</v>
      </c>
      <c r="B78" s="242">
        <v>508800</v>
      </c>
      <c r="C78" s="95">
        <v>12000</v>
      </c>
      <c r="D78" s="96">
        <v>38900</v>
      </c>
      <c r="E78" s="96">
        <v>13700</v>
      </c>
      <c r="F78" s="96">
        <v>118200</v>
      </c>
      <c r="G78" s="96">
        <v>24300</v>
      </c>
      <c r="H78" s="96">
        <v>25900</v>
      </c>
      <c r="I78" s="96">
        <v>42200</v>
      </c>
      <c r="J78" s="239">
        <v>24000</v>
      </c>
      <c r="K78" s="239">
        <v>77800</v>
      </c>
      <c r="L78" s="96">
        <v>7200</v>
      </c>
      <c r="M78" s="219">
        <v>124700</v>
      </c>
      <c r="N78" s="55"/>
    </row>
    <row r="79" spans="1:14">
      <c r="A79" s="27" t="s">
        <v>131</v>
      </c>
      <c r="B79" s="242">
        <v>519000</v>
      </c>
      <c r="C79" s="95">
        <v>12300</v>
      </c>
      <c r="D79" s="96">
        <v>40000</v>
      </c>
      <c r="E79" s="96">
        <v>13800</v>
      </c>
      <c r="F79" s="96">
        <v>118500</v>
      </c>
      <c r="G79" s="96">
        <v>24800</v>
      </c>
      <c r="H79" s="96">
        <v>30400</v>
      </c>
      <c r="I79" s="96">
        <v>42300</v>
      </c>
      <c r="J79" s="239">
        <v>24300</v>
      </c>
      <c r="K79" s="239">
        <v>83800</v>
      </c>
      <c r="L79" s="96">
        <v>7300</v>
      </c>
      <c r="M79" s="219">
        <v>121300</v>
      </c>
      <c r="N79" s="55"/>
    </row>
    <row r="80" spans="1:14">
      <c r="A80" s="60" t="s">
        <v>132</v>
      </c>
      <c r="B80" s="244">
        <v>513600</v>
      </c>
      <c r="C80" s="232">
        <v>12400</v>
      </c>
      <c r="D80" s="233">
        <v>38200</v>
      </c>
      <c r="E80" s="233">
        <v>13700</v>
      </c>
      <c r="F80" s="233">
        <v>115700</v>
      </c>
      <c r="G80" s="233">
        <v>24400</v>
      </c>
      <c r="H80" s="233">
        <v>31800</v>
      </c>
      <c r="I80" s="233">
        <v>43800</v>
      </c>
      <c r="J80" s="245">
        <v>24700</v>
      </c>
      <c r="K80" s="245">
        <v>79800</v>
      </c>
      <c r="L80" s="96">
        <v>7300</v>
      </c>
      <c r="M80" s="235">
        <v>121900</v>
      </c>
      <c r="N80" s="55"/>
    </row>
    <row r="81" spans="1:14">
      <c r="A81" s="27" t="s">
        <v>133</v>
      </c>
      <c r="B81" s="242">
        <v>526700</v>
      </c>
      <c r="C81" s="95">
        <v>12800</v>
      </c>
      <c r="D81" s="96">
        <v>37400</v>
      </c>
      <c r="E81" s="96">
        <v>13200</v>
      </c>
      <c r="F81" s="96">
        <v>112300</v>
      </c>
      <c r="G81" s="96">
        <v>25600</v>
      </c>
      <c r="H81" s="96">
        <v>34600</v>
      </c>
      <c r="I81" s="96">
        <v>46800</v>
      </c>
      <c r="J81" s="239">
        <v>26000</v>
      </c>
      <c r="K81" s="239">
        <v>83900</v>
      </c>
      <c r="L81" s="96">
        <v>9500</v>
      </c>
      <c r="M81" s="219">
        <v>124600</v>
      </c>
      <c r="N81" s="55"/>
    </row>
    <row r="82" spans="1:14">
      <c r="A82" s="27" t="s">
        <v>134</v>
      </c>
      <c r="B82" s="242">
        <v>523500</v>
      </c>
      <c r="C82" s="95">
        <v>13000</v>
      </c>
      <c r="D82" s="96">
        <v>36900</v>
      </c>
      <c r="E82" s="96">
        <v>12800</v>
      </c>
      <c r="F82" s="96">
        <v>111600</v>
      </c>
      <c r="G82" s="96">
        <v>25200</v>
      </c>
      <c r="H82" s="96">
        <v>33000</v>
      </c>
      <c r="I82" s="96">
        <v>47000</v>
      </c>
      <c r="J82" s="239">
        <v>26800</v>
      </c>
      <c r="K82" s="239">
        <v>84700</v>
      </c>
      <c r="L82" s="96">
        <v>10600</v>
      </c>
      <c r="M82" s="219">
        <v>122000</v>
      </c>
      <c r="N82" s="55"/>
    </row>
    <row r="83" spans="1:14">
      <c r="A83" s="27" t="s">
        <v>135</v>
      </c>
      <c r="B83" s="242">
        <v>521300</v>
      </c>
      <c r="C83" s="95">
        <v>12500</v>
      </c>
      <c r="D83" s="96">
        <v>36700</v>
      </c>
      <c r="E83" s="96">
        <v>12600</v>
      </c>
      <c r="F83" s="96">
        <v>114500</v>
      </c>
      <c r="G83" s="96">
        <v>25100</v>
      </c>
      <c r="H83" s="96">
        <v>30800</v>
      </c>
      <c r="I83" s="96">
        <v>46200</v>
      </c>
      <c r="J83" s="239">
        <v>25900</v>
      </c>
      <c r="K83" s="239">
        <v>83400</v>
      </c>
      <c r="L83" s="96">
        <v>10700</v>
      </c>
      <c r="M83" s="219">
        <v>122900</v>
      </c>
      <c r="N83" s="55"/>
    </row>
    <row r="84" spans="1:14">
      <c r="A84" s="60" t="s">
        <v>136</v>
      </c>
      <c r="B84" s="244">
        <v>521800</v>
      </c>
      <c r="C84" s="232">
        <v>12700</v>
      </c>
      <c r="D84" s="233">
        <v>36400</v>
      </c>
      <c r="E84" s="233">
        <v>12500</v>
      </c>
      <c r="F84" s="233">
        <v>113200</v>
      </c>
      <c r="G84" s="233">
        <v>26200</v>
      </c>
      <c r="H84" s="233">
        <v>31900</v>
      </c>
      <c r="I84" s="233">
        <v>47700</v>
      </c>
      <c r="J84" s="245">
        <v>26700</v>
      </c>
      <c r="K84" s="245">
        <v>82800</v>
      </c>
      <c r="L84" s="96">
        <v>10600</v>
      </c>
      <c r="M84" s="235">
        <v>121300</v>
      </c>
      <c r="N84" s="55"/>
    </row>
    <row r="85" spans="1:14">
      <c r="A85" s="27" t="s">
        <v>137</v>
      </c>
      <c r="B85" s="242">
        <v>530400</v>
      </c>
      <c r="C85" s="95">
        <v>12500</v>
      </c>
      <c r="D85" s="96">
        <v>37000</v>
      </c>
      <c r="E85" s="96">
        <v>12600</v>
      </c>
      <c r="F85" s="96">
        <v>113400</v>
      </c>
      <c r="G85" s="96">
        <v>25300</v>
      </c>
      <c r="H85" s="96">
        <v>34000</v>
      </c>
      <c r="I85" s="96">
        <v>49300</v>
      </c>
      <c r="J85" s="239">
        <v>27000</v>
      </c>
      <c r="K85" s="239">
        <v>87600</v>
      </c>
      <c r="L85" s="96">
        <v>10500</v>
      </c>
      <c r="M85" s="219">
        <v>121400</v>
      </c>
      <c r="N85" s="55"/>
    </row>
    <row r="86" spans="1:14">
      <c r="A86" s="27" t="s">
        <v>138</v>
      </c>
      <c r="B86" s="242">
        <v>514500</v>
      </c>
      <c r="C86" s="95">
        <v>12800</v>
      </c>
      <c r="D86" s="96">
        <v>35300</v>
      </c>
      <c r="E86" s="96">
        <v>11900</v>
      </c>
      <c r="F86" s="96">
        <v>104800</v>
      </c>
      <c r="G86" s="96">
        <v>23600</v>
      </c>
      <c r="H86" s="96">
        <v>33000</v>
      </c>
      <c r="I86" s="96">
        <v>49400</v>
      </c>
      <c r="J86" s="239">
        <v>27000</v>
      </c>
      <c r="K86" s="239">
        <v>83800</v>
      </c>
      <c r="L86" s="96">
        <v>10400</v>
      </c>
      <c r="M86" s="219">
        <v>122500</v>
      </c>
      <c r="N86" s="55"/>
    </row>
    <row r="87" spans="1:14">
      <c r="A87" s="27" t="s">
        <v>139</v>
      </c>
      <c r="B87" s="242">
        <v>514400</v>
      </c>
      <c r="C87" s="95">
        <v>11900</v>
      </c>
      <c r="D87" s="96">
        <v>35700</v>
      </c>
      <c r="E87" s="96">
        <v>12400</v>
      </c>
      <c r="F87" s="96">
        <v>110400</v>
      </c>
      <c r="G87" s="96">
        <v>24300</v>
      </c>
      <c r="H87" s="96">
        <v>28800</v>
      </c>
      <c r="I87" s="96">
        <v>47800</v>
      </c>
      <c r="J87" s="239">
        <v>27500</v>
      </c>
      <c r="K87" s="239">
        <v>83900</v>
      </c>
      <c r="L87" s="96">
        <v>10600</v>
      </c>
      <c r="M87" s="219">
        <v>121100</v>
      </c>
      <c r="N87" s="55"/>
    </row>
    <row r="88" spans="1:14">
      <c r="A88" s="60" t="s">
        <v>140</v>
      </c>
      <c r="B88" s="244">
        <v>530100</v>
      </c>
      <c r="C88" s="232">
        <v>12700</v>
      </c>
      <c r="D88" s="233">
        <v>34800</v>
      </c>
      <c r="E88" s="233">
        <v>12400</v>
      </c>
      <c r="F88" s="233">
        <v>109100</v>
      </c>
      <c r="G88" s="233">
        <v>24900</v>
      </c>
      <c r="H88" s="233">
        <v>33100</v>
      </c>
      <c r="I88" s="233">
        <v>48700</v>
      </c>
      <c r="J88" s="245">
        <v>28500</v>
      </c>
      <c r="K88" s="245">
        <v>89800</v>
      </c>
      <c r="L88" s="96">
        <v>10300</v>
      </c>
      <c r="M88" s="235">
        <v>125800</v>
      </c>
      <c r="N88" s="55"/>
    </row>
    <row r="89" spans="1:14">
      <c r="A89" s="27" t="s">
        <v>141</v>
      </c>
      <c r="B89" s="242">
        <v>544300</v>
      </c>
      <c r="C89" s="95">
        <v>12300</v>
      </c>
      <c r="D89" s="96">
        <v>36000</v>
      </c>
      <c r="E89" s="96">
        <v>13800</v>
      </c>
      <c r="F89" s="96">
        <v>107500</v>
      </c>
      <c r="G89" s="96">
        <v>26000</v>
      </c>
      <c r="H89" s="96">
        <v>41100</v>
      </c>
      <c r="I89" s="96">
        <v>54800</v>
      </c>
      <c r="J89" s="239">
        <v>31700</v>
      </c>
      <c r="K89" s="239">
        <v>88900</v>
      </c>
      <c r="L89" s="96">
        <v>11700</v>
      </c>
      <c r="M89" s="219">
        <v>120600</v>
      </c>
      <c r="N89" s="55"/>
    </row>
    <row r="90" spans="1:14">
      <c r="A90" s="27" t="s">
        <v>142</v>
      </c>
      <c r="B90" s="242">
        <v>570400</v>
      </c>
      <c r="C90" s="95">
        <v>13500</v>
      </c>
      <c r="D90" s="96">
        <v>35500</v>
      </c>
      <c r="E90" s="96">
        <v>14400</v>
      </c>
      <c r="F90" s="96">
        <v>106300</v>
      </c>
      <c r="G90" s="96">
        <v>27800</v>
      </c>
      <c r="H90" s="96">
        <v>36100</v>
      </c>
      <c r="I90" s="96">
        <v>96700</v>
      </c>
      <c r="J90" s="239">
        <v>32800</v>
      </c>
      <c r="K90" s="239">
        <v>92800</v>
      </c>
      <c r="L90" s="96">
        <v>14600</v>
      </c>
      <c r="M90" s="219">
        <v>99900</v>
      </c>
      <c r="N90" s="55"/>
    </row>
    <row r="91" spans="1:14">
      <c r="A91" s="27" t="s">
        <v>143</v>
      </c>
      <c r="B91" s="242">
        <v>578000</v>
      </c>
      <c r="C91" s="95">
        <v>12600</v>
      </c>
      <c r="D91" s="96">
        <v>34800</v>
      </c>
      <c r="E91" s="96">
        <v>14000</v>
      </c>
      <c r="F91" s="96">
        <v>110100</v>
      </c>
      <c r="G91" s="96">
        <v>26800</v>
      </c>
      <c r="H91" s="96">
        <v>44400</v>
      </c>
      <c r="I91" s="96">
        <v>103400</v>
      </c>
      <c r="J91" s="239">
        <v>33000</v>
      </c>
      <c r="K91" s="239">
        <v>88100</v>
      </c>
      <c r="L91" s="96">
        <v>30400</v>
      </c>
      <c r="M91" s="219">
        <v>80500</v>
      </c>
      <c r="N91" s="55"/>
    </row>
    <row r="92" spans="1:14">
      <c r="A92" s="60" t="s">
        <v>144</v>
      </c>
      <c r="B92" s="244">
        <v>578200</v>
      </c>
      <c r="C92" s="232">
        <v>12100</v>
      </c>
      <c r="D92" s="233">
        <v>34200</v>
      </c>
      <c r="E92" s="233">
        <v>14000</v>
      </c>
      <c r="F92" s="233">
        <v>109700</v>
      </c>
      <c r="G92" s="233">
        <v>25700</v>
      </c>
      <c r="H92" s="233">
        <v>41700</v>
      </c>
      <c r="I92" s="233">
        <v>109000</v>
      </c>
      <c r="J92" s="245">
        <v>33000</v>
      </c>
      <c r="K92" s="245">
        <v>92300</v>
      </c>
      <c r="L92" s="96">
        <v>31200</v>
      </c>
      <c r="M92" s="235">
        <v>75300</v>
      </c>
      <c r="N92" s="55"/>
    </row>
    <row r="93" spans="1:14">
      <c r="A93" s="27" t="s">
        <v>145</v>
      </c>
      <c r="B93" s="242">
        <v>570800</v>
      </c>
      <c r="C93" s="95">
        <v>11500</v>
      </c>
      <c r="D93" s="96">
        <v>34000</v>
      </c>
      <c r="E93" s="96">
        <v>14200</v>
      </c>
      <c r="F93" s="96">
        <v>108200</v>
      </c>
      <c r="G93" s="96">
        <v>26200</v>
      </c>
      <c r="H93" s="96">
        <v>39400</v>
      </c>
      <c r="I93" s="96">
        <v>106200</v>
      </c>
      <c r="J93" s="239">
        <v>32800</v>
      </c>
      <c r="K93" s="239">
        <v>103600</v>
      </c>
      <c r="L93" s="96">
        <v>29100</v>
      </c>
      <c r="M93" s="219">
        <v>65700</v>
      </c>
      <c r="N93" s="55"/>
    </row>
    <row r="94" spans="1:14">
      <c r="A94" s="27" t="s">
        <v>146</v>
      </c>
      <c r="B94" s="242">
        <v>570000</v>
      </c>
      <c r="C94" s="95">
        <v>11100</v>
      </c>
      <c r="D94" s="96">
        <v>34900</v>
      </c>
      <c r="E94" s="96">
        <v>15000</v>
      </c>
      <c r="F94" s="96">
        <v>110100</v>
      </c>
      <c r="G94" s="96">
        <v>26800</v>
      </c>
      <c r="H94" s="96">
        <v>40000</v>
      </c>
      <c r="I94" s="96">
        <v>99900</v>
      </c>
      <c r="J94" s="239">
        <v>33300</v>
      </c>
      <c r="K94" s="239">
        <v>104700</v>
      </c>
      <c r="L94" s="96">
        <v>29500</v>
      </c>
      <c r="M94" s="219">
        <v>64700</v>
      </c>
      <c r="N94" s="55"/>
    </row>
    <row r="95" spans="1:14">
      <c r="A95" s="27" t="s">
        <v>147</v>
      </c>
      <c r="B95" s="242">
        <v>558700</v>
      </c>
      <c r="C95" s="95">
        <v>10600</v>
      </c>
      <c r="D95" s="96">
        <v>34700</v>
      </c>
      <c r="E95" s="96">
        <v>15700</v>
      </c>
      <c r="F95" s="96">
        <v>109900</v>
      </c>
      <c r="G95" s="96">
        <v>28400</v>
      </c>
      <c r="H95" s="96">
        <v>40800</v>
      </c>
      <c r="I95" s="96">
        <v>93300</v>
      </c>
      <c r="J95" s="239">
        <v>34200</v>
      </c>
      <c r="K95" s="239">
        <v>102900</v>
      </c>
      <c r="L95" s="96">
        <v>30900</v>
      </c>
      <c r="M95" s="219">
        <v>57300</v>
      </c>
      <c r="N95" s="55"/>
    </row>
    <row r="96" spans="1:14">
      <c r="A96" s="60" t="s">
        <v>148</v>
      </c>
      <c r="B96" s="244">
        <v>557600</v>
      </c>
      <c r="C96" s="232">
        <v>10300</v>
      </c>
      <c r="D96" s="233">
        <v>35200</v>
      </c>
      <c r="E96" s="233">
        <v>16900</v>
      </c>
      <c r="F96" s="233">
        <v>113600</v>
      </c>
      <c r="G96" s="233">
        <v>29400</v>
      </c>
      <c r="H96" s="233">
        <v>41100</v>
      </c>
      <c r="I96" s="233">
        <v>92900</v>
      </c>
      <c r="J96" s="245">
        <v>34900</v>
      </c>
      <c r="K96" s="245">
        <v>97000</v>
      </c>
      <c r="L96" s="96">
        <v>31700</v>
      </c>
      <c r="M96" s="235">
        <v>54800</v>
      </c>
      <c r="N96" s="55"/>
    </row>
    <row r="97" spans="1:14">
      <c r="A97" s="27" t="s">
        <v>149</v>
      </c>
      <c r="B97" s="242">
        <v>538800</v>
      </c>
      <c r="C97" s="95">
        <v>9900</v>
      </c>
      <c r="D97" s="96">
        <v>35200</v>
      </c>
      <c r="E97" s="96">
        <v>17400</v>
      </c>
      <c r="F97" s="96">
        <v>115200</v>
      </c>
      <c r="G97" s="96">
        <v>29400</v>
      </c>
      <c r="H97" s="96">
        <v>38400</v>
      </c>
      <c r="I97" s="96">
        <v>84800</v>
      </c>
      <c r="J97" s="239">
        <v>35100</v>
      </c>
      <c r="K97" s="239">
        <v>91500</v>
      </c>
      <c r="L97" s="96">
        <v>30700</v>
      </c>
      <c r="M97" s="219">
        <v>51300</v>
      </c>
      <c r="N97" s="55"/>
    </row>
    <row r="98" spans="1:14">
      <c r="A98" s="27" t="s">
        <v>150</v>
      </c>
      <c r="B98" s="242">
        <v>548700</v>
      </c>
      <c r="C98" s="95">
        <v>9800</v>
      </c>
      <c r="D98" s="96">
        <v>36100</v>
      </c>
      <c r="E98" s="96">
        <v>18700</v>
      </c>
      <c r="F98" s="96">
        <v>116000</v>
      </c>
      <c r="G98" s="96">
        <v>32200</v>
      </c>
      <c r="H98" s="96">
        <v>40000</v>
      </c>
      <c r="I98" s="96">
        <v>81600</v>
      </c>
      <c r="J98" s="239">
        <v>34800</v>
      </c>
      <c r="K98" s="239">
        <v>94300</v>
      </c>
      <c r="L98" s="96">
        <v>32200</v>
      </c>
      <c r="M98" s="219">
        <v>53000</v>
      </c>
      <c r="N98" s="55"/>
    </row>
    <row r="99" spans="1:14">
      <c r="A99" s="27" t="s">
        <v>151</v>
      </c>
      <c r="B99" s="242">
        <v>543100</v>
      </c>
      <c r="C99" s="95">
        <v>9600</v>
      </c>
      <c r="D99" s="96">
        <v>35900</v>
      </c>
      <c r="E99" s="96">
        <v>18600</v>
      </c>
      <c r="F99" s="96">
        <v>109100</v>
      </c>
      <c r="G99" s="96">
        <v>31000</v>
      </c>
      <c r="H99" s="96">
        <v>40300</v>
      </c>
      <c r="I99" s="96">
        <v>82800</v>
      </c>
      <c r="J99" s="239">
        <v>35200</v>
      </c>
      <c r="K99" s="239">
        <v>93600</v>
      </c>
      <c r="L99" s="96">
        <v>32900</v>
      </c>
      <c r="M99" s="219">
        <v>54200</v>
      </c>
      <c r="N99" s="55"/>
    </row>
    <row r="100" spans="1:14">
      <c r="A100" s="60" t="s">
        <v>152</v>
      </c>
      <c r="B100" s="244">
        <v>539800</v>
      </c>
      <c r="C100" s="232">
        <v>9400</v>
      </c>
      <c r="D100" s="233">
        <v>36500</v>
      </c>
      <c r="E100" s="233">
        <v>19400</v>
      </c>
      <c r="F100" s="233">
        <v>107800</v>
      </c>
      <c r="G100" s="233">
        <v>31000</v>
      </c>
      <c r="H100" s="233">
        <v>39900</v>
      </c>
      <c r="I100" s="233">
        <v>83100</v>
      </c>
      <c r="J100" s="245">
        <v>36200</v>
      </c>
      <c r="K100" s="245">
        <v>90900</v>
      </c>
      <c r="L100" s="96">
        <v>33500</v>
      </c>
      <c r="M100" s="235">
        <v>52000</v>
      </c>
      <c r="N100" s="55"/>
    </row>
    <row r="101" spans="1:14">
      <c r="A101" s="27" t="s">
        <v>153</v>
      </c>
      <c r="B101" s="242">
        <v>549500</v>
      </c>
      <c r="C101" s="95">
        <v>9500</v>
      </c>
      <c r="D101" s="96">
        <v>36800</v>
      </c>
      <c r="E101" s="96">
        <v>20300</v>
      </c>
      <c r="F101" s="96">
        <v>109700</v>
      </c>
      <c r="G101" s="96">
        <v>31600</v>
      </c>
      <c r="H101" s="96">
        <v>39900</v>
      </c>
      <c r="I101" s="96">
        <v>87200</v>
      </c>
      <c r="J101" s="239">
        <v>36600</v>
      </c>
      <c r="K101" s="239">
        <v>89700</v>
      </c>
      <c r="L101" s="96">
        <v>34700</v>
      </c>
      <c r="M101" s="219">
        <v>53600</v>
      </c>
      <c r="N101" s="55"/>
    </row>
    <row r="102" spans="1:14">
      <c r="A102" s="27" t="s">
        <v>154</v>
      </c>
      <c r="B102" s="242">
        <v>548600</v>
      </c>
      <c r="C102" s="95">
        <v>8700</v>
      </c>
      <c r="D102" s="96">
        <v>36300</v>
      </c>
      <c r="E102" s="96">
        <v>19900</v>
      </c>
      <c r="F102" s="96">
        <v>109900</v>
      </c>
      <c r="G102" s="96">
        <v>31000</v>
      </c>
      <c r="H102" s="96">
        <v>38000</v>
      </c>
      <c r="I102" s="96">
        <v>87000</v>
      </c>
      <c r="J102" s="239">
        <v>35800</v>
      </c>
      <c r="K102" s="239">
        <v>94700</v>
      </c>
      <c r="L102" s="96">
        <v>34700</v>
      </c>
      <c r="M102" s="219">
        <v>52600</v>
      </c>
      <c r="N102" s="55"/>
    </row>
    <row r="103" spans="1:14">
      <c r="A103" s="27" t="s">
        <v>155</v>
      </c>
      <c r="B103" s="242">
        <v>540900</v>
      </c>
      <c r="C103" s="95">
        <v>8900</v>
      </c>
      <c r="D103" s="96">
        <v>36100</v>
      </c>
      <c r="E103" s="96">
        <v>19700</v>
      </c>
      <c r="F103" s="96">
        <v>105600</v>
      </c>
      <c r="G103" s="96">
        <v>30300</v>
      </c>
      <c r="H103" s="96">
        <v>37100</v>
      </c>
      <c r="I103" s="96">
        <v>84900</v>
      </c>
      <c r="J103" s="239">
        <v>35800</v>
      </c>
      <c r="K103" s="239">
        <v>94500</v>
      </c>
      <c r="L103" s="96">
        <v>34500</v>
      </c>
      <c r="M103" s="219">
        <v>53500</v>
      </c>
      <c r="N103" s="55"/>
    </row>
    <row r="104" spans="1:14">
      <c r="A104" s="60" t="s">
        <v>156</v>
      </c>
      <c r="B104" s="244">
        <v>542700</v>
      </c>
      <c r="C104" s="232">
        <v>8500</v>
      </c>
      <c r="D104" s="233">
        <v>36400</v>
      </c>
      <c r="E104" s="233">
        <v>20300</v>
      </c>
      <c r="F104" s="233">
        <v>105500</v>
      </c>
      <c r="G104" s="233">
        <v>29500</v>
      </c>
      <c r="H104" s="233">
        <v>36900</v>
      </c>
      <c r="I104" s="233">
        <v>86500</v>
      </c>
      <c r="J104" s="245">
        <v>36400</v>
      </c>
      <c r="K104" s="245">
        <v>93100</v>
      </c>
      <c r="L104" s="96">
        <v>35600</v>
      </c>
      <c r="M104" s="235">
        <v>54200</v>
      </c>
      <c r="N104" s="55"/>
    </row>
    <row r="105" spans="1:14">
      <c r="A105" s="27" t="s">
        <v>157</v>
      </c>
      <c r="B105" s="242">
        <v>565200</v>
      </c>
      <c r="C105" s="95">
        <v>9400</v>
      </c>
      <c r="D105" s="96">
        <v>36600</v>
      </c>
      <c r="E105" s="96">
        <v>22900</v>
      </c>
      <c r="F105" s="96">
        <v>115400</v>
      </c>
      <c r="G105" s="96">
        <v>45100</v>
      </c>
      <c r="H105" s="96">
        <v>32700</v>
      </c>
      <c r="I105" s="96">
        <v>81400</v>
      </c>
      <c r="J105" s="239">
        <v>37500</v>
      </c>
      <c r="K105" s="239">
        <v>93100</v>
      </c>
      <c r="L105" s="96">
        <v>35900</v>
      </c>
      <c r="M105" s="219">
        <v>55100</v>
      </c>
      <c r="N105" s="55"/>
    </row>
    <row r="106" spans="1:14">
      <c r="A106" s="27" t="s">
        <v>158</v>
      </c>
      <c r="B106" s="242">
        <v>466200</v>
      </c>
      <c r="C106" s="95">
        <v>10300</v>
      </c>
      <c r="D106" s="96">
        <v>29400</v>
      </c>
      <c r="E106" s="96">
        <v>21100</v>
      </c>
      <c r="F106" s="96">
        <v>118900</v>
      </c>
      <c r="G106" s="96">
        <v>37500</v>
      </c>
      <c r="H106" s="96">
        <v>29400</v>
      </c>
      <c r="I106" s="96">
        <v>61000</v>
      </c>
      <c r="J106" s="239">
        <v>27800</v>
      </c>
      <c r="K106" s="239">
        <v>56100</v>
      </c>
      <c r="L106" s="96">
        <v>29400</v>
      </c>
      <c r="M106" s="219">
        <v>45600</v>
      </c>
      <c r="N106" s="55"/>
    </row>
    <row r="107" spans="1:14">
      <c r="A107" s="27" t="s">
        <v>159</v>
      </c>
      <c r="B107" s="242">
        <v>509600</v>
      </c>
      <c r="C107" s="95">
        <v>10000</v>
      </c>
      <c r="D107" s="96">
        <v>34900</v>
      </c>
      <c r="E107" s="96">
        <v>18900</v>
      </c>
      <c r="F107" s="96">
        <v>99300</v>
      </c>
      <c r="G107" s="96">
        <v>23000</v>
      </c>
      <c r="H107" s="96">
        <v>40100</v>
      </c>
      <c r="I107" s="96">
        <v>87200</v>
      </c>
      <c r="J107" s="239">
        <v>39500</v>
      </c>
      <c r="K107" s="239">
        <v>74600</v>
      </c>
      <c r="L107" s="96">
        <v>33500</v>
      </c>
      <c r="M107" s="219">
        <v>48800</v>
      </c>
      <c r="N107" s="55"/>
    </row>
    <row r="108" spans="1:14">
      <c r="A108" s="60" t="s">
        <v>160</v>
      </c>
      <c r="B108" s="244">
        <v>517300</v>
      </c>
      <c r="C108" s="232">
        <v>10900</v>
      </c>
      <c r="D108" s="233">
        <v>36100</v>
      </c>
      <c r="E108" s="233">
        <v>18900</v>
      </c>
      <c r="F108" s="233">
        <v>93700</v>
      </c>
      <c r="G108" s="233">
        <v>26300</v>
      </c>
      <c r="H108" s="233">
        <v>37500</v>
      </c>
      <c r="I108" s="233">
        <v>86200</v>
      </c>
      <c r="J108" s="245">
        <v>39000</v>
      </c>
      <c r="K108" s="245">
        <v>87000</v>
      </c>
      <c r="L108" s="96">
        <v>33300</v>
      </c>
      <c r="M108" s="235">
        <v>48500</v>
      </c>
      <c r="N108" s="55"/>
    </row>
    <row r="109" spans="1:14">
      <c r="A109" s="27" t="s">
        <v>161</v>
      </c>
      <c r="B109" s="242">
        <v>528100</v>
      </c>
      <c r="C109" s="95">
        <v>9900</v>
      </c>
      <c r="D109" s="96">
        <v>34500</v>
      </c>
      <c r="E109" s="96">
        <v>17900</v>
      </c>
      <c r="F109" s="96">
        <v>97400</v>
      </c>
      <c r="G109" s="96">
        <v>26200</v>
      </c>
      <c r="H109" s="96">
        <v>39300</v>
      </c>
      <c r="I109" s="96">
        <v>91300</v>
      </c>
      <c r="J109" s="239">
        <v>35800</v>
      </c>
      <c r="K109" s="239">
        <v>89700</v>
      </c>
      <c r="L109" s="96">
        <v>36100</v>
      </c>
      <c r="M109" s="219">
        <v>50100</v>
      </c>
      <c r="N109" s="55"/>
    </row>
    <row r="110" spans="1:14">
      <c r="A110" s="27" t="s">
        <v>162</v>
      </c>
      <c r="B110" s="242">
        <v>516100</v>
      </c>
      <c r="C110" s="95">
        <v>8800</v>
      </c>
      <c r="D110" s="96">
        <v>34200</v>
      </c>
      <c r="E110" s="96">
        <v>19400</v>
      </c>
      <c r="F110" s="96">
        <v>88900</v>
      </c>
      <c r="G110" s="96">
        <v>26200</v>
      </c>
      <c r="H110" s="96">
        <v>37000</v>
      </c>
      <c r="I110" s="96">
        <v>91900</v>
      </c>
      <c r="J110" s="239">
        <v>36800</v>
      </c>
      <c r="K110" s="239">
        <v>90500</v>
      </c>
      <c r="L110" s="96">
        <v>35000</v>
      </c>
      <c r="M110" s="219">
        <v>47400</v>
      </c>
      <c r="N110" s="55"/>
    </row>
    <row r="111" spans="1:14">
      <c r="A111" s="27" t="s">
        <v>163</v>
      </c>
      <c r="B111" s="242">
        <v>525200</v>
      </c>
      <c r="C111" s="95">
        <v>10000</v>
      </c>
      <c r="D111" s="96">
        <v>34600</v>
      </c>
      <c r="E111" s="96">
        <v>21200</v>
      </c>
      <c r="F111" s="96">
        <v>95900</v>
      </c>
      <c r="G111" s="96">
        <v>25800</v>
      </c>
      <c r="H111" s="96">
        <v>34700</v>
      </c>
      <c r="I111" s="96">
        <v>89500</v>
      </c>
      <c r="J111" s="239">
        <v>37700</v>
      </c>
      <c r="K111" s="239">
        <v>91900</v>
      </c>
      <c r="L111" s="96">
        <v>36100</v>
      </c>
      <c r="M111" s="219">
        <v>47700</v>
      </c>
      <c r="N111" s="55"/>
    </row>
    <row r="112" spans="1:14">
      <c r="A112" s="60" t="s">
        <v>164</v>
      </c>
      <c r="B112" s="244">
        <v>517400</v>
      </c>
      <c r="C112" s="232">
        <v>9200</v>
      </c>
      <c r="D112" s="233">
        <v>36200</v>
      </c>
      <c r="E112" s="233">
        <v>22700</v>
      </c>
      <c r="F112" s="233">
        <v>91800</v>
      </c>
      <c r="G112" s="233">
        <v>26100</v>
      </c>
      <c r="H112" s="233">
        <v>34300</v>
      </c>
      <c r="I112" s="233">
        <v>87200</v>
      </c>
      <c r="J112" s="245">
        <v>38700</v>
      </c>
      <c r="K112" s="245">
        <v>89200</v>
      </c>
      <c r="L112" s="96">
        <v>36300</v>
      </c>
      <c r="M112" s="235">
        <v>45800</v>
      </c>
      <c r="N112" s="55"/>
    </row>
    <row r="113" spans="1:14">
      <c r="A113" s="27" t="s">
        <v>165</v>
      </c>
      <c r="B113" s="242">
        <v>536700</v>
      </c>
      <c r="C113" s="95">
        <v>8500</v>
      </c>
      <c r="D113" s="96">
        <v>37200</v>
      </c>
      <c r="E113" s="96">
        <v>24100</v>
      </c>
      <c r="F113" s="96">
        <v>102300</v>
      </c>
      <c r="G113" s="96">
        <v>28400</v>
      </c>
      <c r="H113" s="96">
        <v>32100</v>
      </c>
      <c r="I113" s="96">
        <v>89900</v>
      </c>
      <c r="J113" s="239">
        <v>40100</v>
      </c>
      <c r="K113" s="239">
        <v>92800</v>
      </c>
      <c r="L113" s="96">
        <v>36600</v>
      </c>
      <c r="M113" s="219">
        <v>44800</v>
      </c>
      <c r="N113" s="55"/>
    </row>
    <row r="114" spans="1:14">
      <c r="A114" s="27" t="s">
        <v>166</v>
      </c>
      <c r="B114" s="242">
        <v>544100</v>
      </c>
      <c r="C114" s="95">
        <v>8100</v>
      </c>
      <c r="D114" s="96">
        <v>38400</v>
      </c>
      <c r="E114" s="96">
        <v>24900</v>
      </c>
      <c r="F114" s="96">
        <v>103200</v>
      </c>
      <c r="G114" s="96">
        <v>30800</v>
      </c>
      <c r="H114" s="96">
        <v>32500</v>
      </c>
      <c r="I114" s="96">
        <v>93100</v>
      </c>
      <c r="J114" s="239">
        <v>40400</v>
      </c>
      <c r="K114" s="239">
        <v>87800</v>
      </c>
      <c r="L114" s="96">
        <v>38500</v>
      </c>
      <c r="M114" s="219">
        <v>46400</v>
      </c>
      <c r="N114" s="55"/>
    </row>
    <row r="115" spans="1:14">
      <c r="A115" s="27" t="s">
        <v>167</v>
      </c>
      <c r="B115" s="242">
        <v>543400</v>
      </c>
      <c r="C115" s="95">
        <v>7400</v>
      </c>
      <c r="D115" s="96">
        <v>38200</v>
      </c>
      <c r="E115" s="96">
        <v>25100</v>
      </c>
      <c r="F115" s="96">
        <v>104200</v>
      </c>
      <c r="G115" s="96">
        <v>31300</v>
      </c>
      <c r="H115" s="96">
        <v>30800</v>
      </c>
      <c r="I115" s="96">
        <v>93700</v>
      </c>
      <c r="J115" s="239">
        <v>40100</v>
      </c>
      <c r="K115" s="239">
        <v>87600</v>
      </c>
      <c r="L115" s="96">
        <v>39500</v>
      </c>
      <c r="M115" s="219">
        <v>45500</v>
      </c>
      <c r="N115" s="55"/>
    </row>
    <row r="116" spans="1:14">
      <c r="A116" s="60" t="s">
        <v>168</v>
      </c>
      <c r="B116" s="244">
        <v>555300</v>
      </c>
      <c r="C116" s="232">
        <v>7000</v>
      </c>
      <c r="D116" s="233">
        <v>38600</v>
      </c>
      <c r="E116" s="233">
        <v>25700</v>
      </c>
      <c r="F116" s="233">
        <v>104300</v>
      </c>
      <c r="G116" s="233">
        <v>30800</v>
      </c>
      <c r="H116" s="233">
        <v>29800</v>
      </c>
      <c r="I116" s="233">
        <v>105000</v>
      </c>
      <c r="J116" s="245">
        <v>40400</v>
      </c>
      <c r="K116" s="245">
        <v>92600</v>
      </c>
      <c r="L116" s="96">
        <v>38300</v>
      </c>
      <c r="M116" s="235">
        <v>42800</v>
      </c>
      <c r="N116" s="55"/>
    </row>
    <row r="117" spans="1:14">
      <c r="A117" s="27" t="s">
        <v>169</v>
      </c>
      <c r="B117" s="242">
        <v>558200</v>
      </c>
      <c r="C117" s="95">
        <v>7200</v>
      </c>
      <c r="D117" s="96">
        <v>35400</v>
      </c>
      <c r="E117" s="96">
        <v>27300</v>
      </c>
      <c r="F117" s="96">
        <v>104200</v>
      </c>
      <c r="G117" s="96">
        <v>32200</v>
      </c>
      <c r="H117" s="96">
        <v>30700</v>
      </c>
      <c r="I117" s="96">
        <v>107400</v>
      </c>
      <c r="J117" s="239">
        <v>41200</v>
      </c>
      <c r="K117" s="239">
        <v>91500</v>
      </c>
      <c r="L117" s="96">
        <v>39000</v>
      </c>
      <c r="M117" s="219">
        <v>42100</v>
      </c>
      <c r="N117" s="55"/>
    </row>
    <row r="118" spans="1:14">
      <c r="A118" s="27" t="s">
        <v>170</v>
      </c>
      <c r="B118" s="242">
        <v>549200</v>
      </c>
      <c r="C118" s="95">
        <v>7400</v>
      </c>
      <c r="D118" s="96">
        <v>33100</v>
      </c>
      <c r="E118" s="96">
        <v>27000</v>
      </c>
      <c r="F118" s="96">
        <v>101900</v>
      </c>
      <c r="G118" s="96">
        <v>32000</v>
      </c>
      <c r="H118" s="96">
        <v>30600</v>
      </c>
      <c r="I118" s="96">
        <v>106500</v>
      </c>
      <c r="J118" s="239">
        <v>40000</v>
      </c>
      <c r="K118" s="239">
        <v>90300</v>
      </c>
      <c r="L118" s="96">
        <v>39200</v>
      </c>
      <c r="M118" s="219">
        <v>41200</v>
      </c>
      <c r="N118" s="55"/>
    </row>
    <row r="119" spans="1:14">
      <c r="A119" s="27" t="s">
        <v>171</v>
      </c>
      <c r="B119" s="242">
        <v>561400</v>
      </c>
      <c r="C119" s="95">
        <v>7600</v>
      </c>
      <c r="D119" s="96">
        <v>32000</v>
      </c>
      <c r="E119" s="96">
        <v>27700</v>
      </c>
      <c r="F119" s="96">
        <v>104500</v>
      </c>
      <c r="G119" s="96">
        <v>32400</v>
      </c>
      <c r="H119" s="96">
        <v>30100</v>
      </c>
      <c r="I119" s="96">
        <v>109000</v>
      </c>
      <c r="J119" s="239">
        <v>41500</v>
      </c>
      <c r="K119" s="239">
        <v>94600</v>
      </c>
      <c r="L119" s="96">
        <v>39900</v>
      </c>
      <c r="M119" s="219">
        <v>42300</v>
      </c>
      <c r="N119" s="55"/>
    </row>
    <row r="120" spans="1:14">
      <c r="A120" s="60" t="s">
        <v>172</v>
      </c>
      <c r="B120" s="244">
        <v>565000</v>
      </c>
      <c r="C120" s="232">
        <v>8000</v>
      </c>
      <c r="D120" s="233">
        <v>32600</v>
      </c>
      <c r="E120" s="233">
        <v>28600</v>
      </c>
      <c r="F120" s="233">
        <v>105000</v>
      </c>
      <c r="G120" s="233">
        <v>32200</v>
      </c>
      <c r="H120" s="233">
        <v>30700</v>
      </c>
      <c r="I120" s="233">
        <v>107200</v>
      </c>
      <c r="J120" s="245">
        <v>41600</v>
      </c>
      <c r="K120" s="245">
        <v>95100</v>
      </c>
      <c r="L120" s="96">
        <v>41500</v>
      </c>
      <c r="M120" s="235">
        <v>42500</v>
      </c>
      <c r="N120" s="55"/>
    </row>
    <row r="121" spans="1:14">
      <c r="A121" s="27" t="s">
        <v>173</v>
      </c>
      <c r="B121" s="242">
        <v>560600</v>
      </c>
      <c r="C121" s="95">
        <v>9100</v>
      </c>
      <c r="D121" s="96">
        <v>32800</v>
      </c>
      <c r="E121" s="96">
        <v>28600</v>
      </c>
      <c r="F121" s="96">
        <v>104200</v>
      </c>
      <c r="G121" s="96">
        <v>31100</v>
      </c>
      <c r="H121" s="96">
        <v>29000</v>
      </c>
      <c r="I121" s="96">
        <v>104800</v>
      </c>
      <c r="J121" s="239">
        <v>41900</v>
      </c>
      <c r="K121" s="239">
        <v>94100</v>
      </c>
      <c r="L121" s="96">
        <v>41800</v>
      </c>
      <c r="M121" s="219">
        <v>43200</v>
      </c>
      <c r="N121" s="55"/>
    </row>
    <row r="122" spans="1:14">
      <c r="A122" s="27" t="s">
        <v>174</v>
      </c>
      <c r="B122" s="242">
        <v>562900</v>
      </c>
      <c r="C122" s="95">
        <v>9200</v>
      </c>
      <c r="D122" s="96">
        <v>33000</v>
      </c>
      <c r="E122" s="96">
        <v>28500</v>
      </c>
      <c r="F122" s="96">
        <v>103300</v>
      </c>
      <c r="G122" s="96">
        <v>31600</v>
      </c>
      <c r="H122" s="96">
        <v>28300</v>
      </c>
      <c r="I122" s="96">
        <v>101500</v>
      </c>
      <c r="J122" s="239">
        <v>41100</v>
      </c>
      <c r="K122" s="239">
        <v>98600</v>
      </c>
      <c r="L122" s="96">
        <v>43400</v>
      </c>
      <c r="M122" s="219">
        <v>44400</v>
      </c>
      <c r="N122" s="55"/>
    </row>
    <row r="123" spans="1:14">
      <c r="A123" s="27" t="s">
        <v>175</v>
      </c>
      <c r="B123" s="242">
        <v>547600</v>
      </c>
      <c r="C123" s="95">
        <v>9600</v>
      </c>
      <c r="D123" s="96">
        <v>32000</v>
      </c>
      <c r="E123" s="96">
        <v>27100</v>
      </c>
      <c r="F123" s="96">
        <v>103700</v>
      </c>
      <c r="G123" s="96">
        <v>30200</v>
      </c>
      <c r="H123" s="96">
        <v>27900</v>
      </c>
      <c r="I123" s="96">
        <v>96700</v>
      </c>
      <c r="J123" s="239">
        <v>40100</v>
      </c>
      <c r="K123" s="239">
        <v>92300</v>
      </c>
      <c r="L123" s="96">
        <v>43300</v>
      </c>
      <c r="M123" s="219">
        <v>44800</v>
      </c>
      <c r="N123" s="55"/>
    </row>
    <row r="124" spans="1:14">
      <c r="A124" s="60" t="s">
        <v>176</v>
      </c>
      <c r="B124" s="244">
        <v>548600</v>
      </c>
      <c r="C124" s="232">
        <v>10100</v>
      </c>
      <c r="D124" s="233">
        <v>31600</v>
      </c>
      <c r="E124" s="233">
        <v>26700</v>
      </c>
      <c r="F124" s="233">
        <v>103500</v>
      </c>
      <c r="G124" s="233">
        <v>29300</v>
      </c>
      <c r="H124" s="233">
        <v>29500</v>
      </c>
      <c r="I124" s="233">
        <v>98000</v>
      </c>
      <c r="J124" s="245">
        <v>40100</v>
      </c>
      <c r="K124" s="245">
        <v>88800</v>
      </c>
      <c r="L124" s="96">
        <v>45300</v>
      </c>
      <c r="M124" s="235">
        <v>45800</v>
      </c>
      <c r="N124" s="55"/>
    </row>
    <row r="125" spans="1:14">
      <c r="A125" s="27" t="s">
        <v>177</v>
      </c>
      <c r="B125" s="242">
        <v>596500</v>
      </c>
      <c r="C125" s="95">
        <v>9900</v>
      </c>
      <c r="D125" s="96">
        <v>32900</v>
      </c>
      <c r="E125" s="96">
        <v>26300</v>
      </c>
      <c r="F125" s="96">
        <v>99000</v>
      </c>
      <c r="G125" s="96">
        <v>27200</v>
      </c>
      <c r="H125" s="96">
        <v>24400</v>
      </c>
      <c r="I125" s="96">
        <v>90900</v>
      </c>
      <c r="J125" s="239">
        <v>41400</v>
      </c>
      <c r="K125" s="239">
        <v>86800</v>
      </c>
      <c r="L125" s="96">
        <v>117500</v>
      </c>
      <c r="M125" s="219">
        <v>40200</v>
      </c>
      <c r="N125" s="55"/>
    </row>
    <row r="126" spans="1:14">
      <c r="A126" s="27" t="s">
        <v>178</v>
      </c>
      <c r="B126" s="242">
        <v>713700</v>
      </c>
      <c r="C126" s="95">
        <v>9800</v>
      </c>
      <c r="D126" s="96">
        <v>32500</v>
      </c>
      <c r="E126" s="96">
        <v>24300</v>
      </c>
      <c r="F126" s="96">
        <v>91100</v>
      </c>
      <c r="G126" s="96">
        <v>24800</v>
      </c>
      <c r="H126" s="96">
        <v>20300</v>
      </c>
      <c r="I126" s="96">
        <v>85300</v>
      </c>
      <c r="J126" s="239">
        <v>40300</v>
      </c>
      <c r="K126" s="239">
        <v>82600</v>
      </c>
      <c r="L126" s="96">
        <v>268100</v>
      </c>
      <c r="M126" s="219">
        <v>34800</v>
      </c>
      <c r="N126" s="55"/>
    </row>
    <row r="127" spans="1:14">
      <c r="A127" s="27"/>
      <c r="B127" s="242"/>
      <c r="C127" s="95"/>
      <c r="D127" s="96"/>
      <c r="E127" s="96"/>
      <c r="F127" s="96"/>
      <c r="G127" s="96"/>
      <c r="H127" s="96"/>
      <c r="I127" s="96"/>
      <c r="J127" s="239"/>
      <c r="K127" s="239"/>
      <c r="L127" s="96"/>
      <c r="M127" s="219"/>
      <c r="N127" s="55"/>
    </row>
    <row r="128" spans="1:14">
      <c r="A128" s="99"/>
      <c r="B128" s="246"/>
      <c r="C128" s="100"/>
      <c r="D128" s="101"/>
      <c r="E128" s="101"/>
      <c r="F128" s="101"/>
      <c r="G128" s="101"/>
      <c r="H128" s="101"/>
      <c r="I128" s="101"/>
      <c r="J128" s="241"/>
      <c r="K128" s="241"/>
      <c r="L128" s="101"/>
      <c r="M128" s="227"/>
      <c r="N128" s="55"/>
    </row>
    <row r="129" spans="1:14">
      <c r="A129" s="27"/>
      <c r="B129" s="242"/>
      <c r="C129" s="95"/>
      <c r="D129" s="96"/>
      <c r="E129" s="96"/>
      <c r="F129" s="96"/>
      <c r="G129" s="96"/>
      <c r="H129" s="96"/>
      <c r="I129" s="96"/>
      <c r="J129" s="239"/>
      <c r="K129" s="239"/>
      <c r="L129" s="96"/>
      <c r="M129" s="219"/>
      <c r="N129" s="55"/>
    </row>
    <row r="130" spans="1:14">
      <c r="A130" s="27"/>
      <c r="B130" s="242"/>
      <c r="C130" s="95"/>
      <c r="D130" s="96"/>
      <c r="E130" s="96"/>
      <c r="F130" s="96"/>
      <c r="G130" s="96"/>
      <c r="H130" s="96"/>
      <c r="I130" s="96"/>
      <c r="J130" s="239"/>
      <c r="K130" s="239"/>
      <c r="L130" s="96"/>
      <c r="M130" s="219"/>
      <c r="N130" s="55"/>
    </row>
    <row r="131" spans="1:14">
      <c r="A131" s="27"/>
      <c r="B131" s="242"/>
      <c r="C131" s="95"/>
      <c r="D131" s="96"/>
      <c r="E131" s="96"/>
      <c r="F131" s="96"/>
      <c r="G131" s="96"/>
      <c r="H131" s="96"/>
      <c r="I131" s="96"/>
      <c r="J131" s="239"/>
      <c r="K131" s="239"/>
      <c r="L131" s="96"/>
      <c r="M131" s="219"/>
      <c r="N131" s="55"/>
    </row>
    <row r="132" spans="1:14">
      <c r="A132" s="27"/>
      <c r="B132" s="242"/>
      <c r="C132" s="95"/>
      <c r="D132" s="96"/>
      <c r="E132" s="96"/>
      <c r="F132" s="96"/>
      <c r="G132" s="96"/>
      <c r="H132" s="96"/>
      <c r="I132" s="96"/>
      <c r="J132" s="239"/>
      <c r="K132" s="239"/>
      <c r="L132" s="96"/>
      <c r="M132" s="219"/>
      <c r="N132" s="55"/>
    </row>
    <row r="133" spans="1:14">
      <c r="A133" s="27"/>
      <c r="B133" s="242"/>
      <c r="C133" s="95"/>
      <c r="D133" s="96"/>
      <c r="E133" s="96"/>
      <c r="F133" s="96"/>
      <c r="G133" s="96"/>
      <c r="H133" s="96"/>
      <c r="I133" s="96"/>
      <c r="J133" s="239"/>
      <c r="K133" s="239"/>
      <c r="L133" s="96"/>
      <c r="M133" s="219"/>
      <c r="N133" s="55"/>
    </row>
    <row r="134" spans="1:14">
      <c r="A134" s="27"/>
      <c r="B134" s="242"/>
      <c r="C134" s="95"/>
      <c r="D134" s="96"/>
      <c r="E134" s="96"/>
      <c r="F134" s="96"/>
      <c r="G134" s="96"/>
      <c r="H134" s="96"/>
      <c r="I134" s="96"/>
      <c r="J134" s="239"/>
      <c r="K134" s="239"/>
      <c r="L134" s="96"/>
      <c r="M134" s="219"/>
      <c r="N134" s="55"/>
    </row>
    <row r="135" spans="1:14">
      <c r="A135" s="27"/>
      <c r="B135" s="242"/>
      <c r="C135" s="95"/>
      <c r="D135" s="96"/>
      <c r="E135" s="96"/>
      <c r="F135" s="96"/>
      <c r="G135" s="96"/>
      <c r="H135" s="96"/>
      <c r="I135" s="96"/>
      <c r="J135" s="239"/>
      <c r="K135" s="239"/>
      <c r="L135" s="96"/>
      <c r="M135" s="219"/>
      <c r="N135" s="55"/>
    </row>
    <row r="136" spans="1:14">
      <c r="A136" s="27"/>
      <c r="B136" s="242"/>
      <c r="C136" s="95"/>
      <c r="D136" s="96"/>
      <c r="E136" s="96"/>
      <c r="F136" s="96"/>
      <c r="G136" s="96"/>
      <c r="H136" s="96"/>
      <c r="I136" s="96"/>
      <c r="J136" s="239"/>
      <c r="K136" s="239"/>
      <c r="L136" s="96"/>
      <c r="M136" s="219"/>
      <c r="N136" s="55"/>
    </row>
    <row r="137" spans="1:14">
      <c r="A137" s="27"/>
      <c r="B137" s="242"/>
      <c r="C137" s="95"/>
      <c r="D137" s="96"/>
      <c r="E137" s="96"/>
      <c r="F137" s="96"/>
      <c r="G137" s="96"/>
      <c r="H137" s="96"/>
      <c r="I137" s="96"/>
      <c r="J137" s="239"/>
      <c r="K137" s="239"/>
      <c r="L137" s="96"/>
      <c r="M137" s="219"/>
      <c r="N137" s="55"/>
    </row>
    <row r="138" spans="1:14">
      <c r="A138" s="27"/>
      <c r="B138" s="242"/>
      <c r="C138" s="95"/>
      <c r="D138" s="96"/>
      <c r="E138" s="96"/>
      <c r="F138" s="96"/>
      <c r="G138" s="96"/>
      <c r="H138" s="96"/>
      <c r="I138" s="96"/>
      <c r="J138" s="239"/>
      <c r="K138" s="239"/>
      <c r="L138" s="96"/>
      <c r="M138" s="219"/>
      <c r="N138" s="55"/>
    </row>
    <row r="139" spans="1:14">
      <c r="A139" s="27"/>
      <c r="B139" s="242"/>
      <c r="C139" s="95"/>
      <c r="D139" s="96"/>
      <c r="E139" s="96"/>
      <c r="F139" s="96"/>
      <c r="G139" s="96"/>
      <c r="H139" s="96"/>
      <c r="I139" s="96"/>
      <c r="J139" s="239"/>
      <c r="K139" s="239"/>
      <c r="L139" s="96"/>
      <c r="M139" s="219"/>
      <c r="N139" s="55"/>
    </row>
    <row r="140" spans="1:14">
      <c r="A140" s="99"/>
      <c r="B140" s="246"/>
      <c r="C140" s="100"/>
      <c r="D140" s="101"/>
      <c r="E140" s="101"/>
      <c r="F140" s="101"/>
      <c r="G140" s="101"/>
      <c r="H140" s="101"/>
      <c r="I140" s="101"/>
      <c r="J140" s="241"/>
      <c r="K140" s="241"/>
      <c r="L140" s="101"/>
      <c r="M140" s="227"/>
      <c r="N140" s="55"/>
    </row>
    <row r="141" spans="1:14">
      <c r="A141" s="27"/>
      <c r="B141" s="242"/>
      <c r="C141" s="95"/>
      <c r="D141" s="96"/>
      <c r="E141" s="96"/>
      <c r="F141" s="96"/>
      <c r="G141" s="96"/>
      <c r="H141" s="96"/>
      <c r="I141" s="96"/>
      <c r="J141" s="239"/>
      <c r="K141" s="239"/>
      <c r="L141" s="96"/>
      <c r="M141" s="219"/>
      <c r="N141" s="55"/>
    </row>
    <row r="142" spans="1:14">
      <c r="A142" s="27"/>
      <c r="B142" s="242"/>
      <c r="C142" s="95"/>
      <c r="D142" s="96"/>
      <c r="E142" s="96"/>
      <c r="F142" s="96"/>
      <c r="G142" s="96"/>
      <c r="H142" s="96"/>
      <c r="I142" s="96"/>
      <c r="J142" s="239"/>
      <c r="K142" s="239"/>
      <c r="L142" s="96"/>
      <c r="M142" s="219"/>
      <c r="N142" s="55"/>
    </row>
    <row r="143" spans="1:14">
      <c r="A143" s="27"/>
      <c r="B143" s="242"/>
      <c r="C143" s="95"/>
      <c r="D143" s="96"/>
      <c r="E143" s="96"/>
      <c r="F143" s="96"/>
      <c r="G143" s="96"/>
      <c r="H143" s="96"/>
      <c r="I143" s="96"/>
      <c r="J143" s="239"/>
      <c r="K143" s="239"/>
      <c r="L143" s="96"/>
      <c r="M143" s="219"/>
      <c r="N143" s="55"/>
    </row>
    <row r="144" spans="1:14">
      <c r="A144" s="27"/>
      <c r="B144" s="242"/>
      <c r="C144" s="95"/>
      <c r="D144" s="96"/>
      <c r="E144" s="96"/>
      <c r="F144" s="96"/>
      <c r="G144" s="96"/>
      <c r="H144" s="96"/>
      <c r="I144" s="96"/>
      <c r="J144" s="239"/>
      <c r="K144" s="239"/>
      <c r="L144" s="96"/>
      <c r="M144" s="219"/>
      <c r="N144" s="55"/>
    </row>
    <row r="145" spans="1:14">
      <c r="A145" s="27"/>
      <c r="B145" s="242"/>
      <c r="C145" s="95"/>
      <c r="D145" s="96"/>
      <c r="E145" s="96"/>
      <c r="F145" s="96"/>
      <c r="G145" s="96"/>
      <c r="H145" s="96"/>
      <c r="I145" s="96"/>
      <c r="J145" s="239"/>
      <c r="K145" s="239"/>
      <c r="L145" s="96"/>
      <c r="M145" s="219"/>
      <c r="N145" s="55"/>
    </row>
    <row r="146" spans="1:14">
      <c r="A146" s="27"/>
      <c r="B146" s="242"/>
      <c r="C146" s="95"/>
      <c r="D146" s="96"/>
      <c r="E146" s="96"/>
      <c r="F146" s="96"/>
      <c r="G146" s="96"/>
      <c r="H146" s="96"/>
      <c r="I146" s="96"/>
      <c r="J146" s="239"/>
      <c r="K146" s="239"/>
      <c r="L146" s="96"/>
      <c r="M146" s="219"/>
      <c r="N146" s="55"/>
    </row>
    <row r="147" spans="1:14">
      <c r="A147" s="27"/>
      <c r="B147" s="242"/>
      <c r="C147" s="95"/>
      <c r="D147" s="96"/>
      <c r="E147" s="96"/>
      <c r="F147" s="96"/>
      <c r="G147" s="96"/>
      <c r="H147" s="96"/>
      <c r="I147" s="96"/>
      <c r="J147" s="239"/>
      <c r="K147" s="239"/>
      <c r="L147" s="96"/>
      <c r="M147" s="219"/>
      <c r="N147" s="55"/>
    </row>
    <row r="148" spans="1:14">
      <c r="A148" s="27"/>
      <c r="B148" s="242"/>
      <c r="C148" s="95"/>
      <c r="D148" s="96"/>
      <c r="E148" s="96"/>
      <c r="F148" s="96"/>
      <c r="G148" s="96"/>
      <c r="H148" s="96"/>
      <c r="I148" s="96"/>
      <c r="J148" s="239"/>
      <c r="K148" s="239"/>
      <c r="L148" s="96"/>
      <c r="M148" s="219"/>
      <c r="N148" s="55"/>
    </row>
    <row r="149" spans="1:14">
      <c r="A149" s="27"/>
      <c r="B149" s="242"/>
      <c r="C149" s="95"/>
      <c r="D149" s="96"/>
      <c r="E149" s="96"/>
      <c r="F149" s="96"/>
      <c r="G149" s="96"/>
      <c r="H149" s="96"/>
      <c r="I149" s="96"/>
      <c r="J149" s="239"/>
      <c r="K149" s="239"/>
      <c r="L149" s="96"/>
      <c r="M149" s="219"/>
      <c r="N149" s="55"/>
    </row>
    <row r="150" spans="1:14">
      <c r="A150" s="27"/>
      <c r="B150" s="242"/>
      <c r="C150" s="95"/>
      <c r="D150" s="96"/>
      <c r="E150" s="96"/>
      <c r="F150" s="96"/>
      <c r="G150" s="96"/>
      <c r="H150" s="96"/>
      <c r="I150" s="96"/>
      <c r="J150" s="239"/>
      <c r="K150" s="239"/>
      <c r="L150" s="96"/>
      <c r="M150" s="219"/>
      <c r="N150" s="55"/>
    </row>
    <row r="151" spans="1:14">
      <c r="A151" s="27"/>
      <c r="B151" s="242"/>
      <c r="C151" s="95"/>
      <c r="D151" s="96"/>
      <c r="E151" s="96"/>
      <c r="F151" s="96"/>
      <c r="G151" s="96"/>
      <c r="H151" s="96"/>
      <c r="I151" s="96"/>
      <c r="J151" s="239"/>
      <c r="K151" s="239"/>
      <c r="L151" s="96"/>
      <c r="M151" s="219"/>
      <c r="N151" s="55"/>
    </row>
    <row r="152" spans="1:14">
      <c r="A152" s="99"/>
      <c r="B152" s="246"/>
      <c r="C152" s="100"/>
      <c r="D152" s="101"/>
      <c r="E152" s="101"/>
      <c r="F152" s="101"/>
      <c r="G152" s="101"/>
      <c r="H152" s="101"/>
      <c r="I152" s="101"/>
      <c r="J152" s="241"/>
      <c r="K152" s="241"/>
      <c r="L152" s="101"/>
      <c r="M152" s="227"/>
      <c r="N152" s="55"/>
    </row>
    <row r="153" spans="1:14">
      <c r="A153" s="27"/>
      <c r="B153" s="242"/>
      <c r="C153" s="95"/>
      <c r="D153" s="96"/>
      <c r="E153" s="96"/>
      <c r="F153" s="96"/>
      <c r="G153" s="96"/>
      <c r="H153" s="96"/>
      <c r="I153" s="96"/>
      <c r="J153" s="239"/>
      <c r="K153" s="239"/>
      <c r="L153" s="96"/>
      <c r="M153" s="219"/>
      <c r="N153" s="55"/>
    </row>
    <row r="154" spans="1:14">
      <c r="A154" s="27"/>
      <c r="B154" s="242"/>
      <c r="C154" s="95"/>
      <c r="D154" s="96"/>
      <c r="E154" s="96"/>
      <c r="F154" s="96"/>
      <c r="G154" s="96"/>
      <c r="H154" s="96"/>
      <c r="I154" s="96"/>
      <c r="J154" s="239"/>
      <c r="K154" s="239"/>
      <c r="L154" s="96"/>
      <c r="M154" s="219"/>
      <c r="N154" s="55"/>
    </row>
    <row r="155" spans="1:14">
      <c r="A155" s="27"/>
      <c r="B155" s="242"/>
      <c r="C155" s="95"/>
      <c r="D155" s="96"/>
      <c r="E155" s="96"/>
      <c r="F155" s="96"/>
      <c r="G155" s="96"/>
      <c r="H155" s="96"/>
      <c r="I155" s="96"/>
      <c r="J155" s="239"/>
      <c r="K155" s="239"/>
      <c r="L155" s="96"/>
      <c r="M155" s="219"/>
      <c r="N155" s="55"/>
    </row>
    <row r="156" spans="1:14">
      <c r="A156" s="27"/>
      <c r="B156" s="242"/>
      <c r="C156" s="95"/>
      <c r="D156" s="96"/>
      <c r="E156" s="96"/>
      <c r="F156" s="96"/>
      <c r="G156" s="96"/>
      <c r="H156" s="96"/>
      <c r="I156" s="96"/>
      <c r="J156" s="239"/>
      <c r="K156" s="239"/>
      <c r="L156" s="96"/>
      <c r="M156" s="219"/>
      <c r="N156" s="55"/>
    </row>
    <row r="157" spans="1:14">
      <c r="A157" s="27"/>
      <c r="B157" s="242"/>
      <c r="C157" s="95"/>
      <c r="D157" s="96"/>
      <c r="E157" s="96"/>
      <c r="F157" s="96"/>
      <c r="G157" s="96"/>
      <c r="H157" s="96"/>
      <c r="I157" s="96"/>
      <c r="J157" s="239"/>
      <c r="K157" s="239"/>
      <c r="L157" s="96"/>
      <c r="M157" s="219"/>
      <c r="N157" s="55"/>
    </row>
    <row r="158" spans="1:14">
      <c r="A158" s="27"/>
      <c r="B158" s="242"/>
      <c r="C158" s="95"/>
      <c r="D158" s="96"/>
      <c r="E158" s="96"/>
      <c r="F158" s="96"/>
      <c r="G158" s="96"/>
      <c r="H158" s="96"/>
      <c r="I158" s="96"/>
      <c r="J158" s="239"/>
      <c r="K158" s="239"/>
      <c r="L158" s="96"/>
      <c r="M158" s="219"/>
      <c r="N158" s="55"/>
    </row>
    <row r="159" spans="1:14">
      <c r="A159" s="27"/>
      <c r="B159" s="242"/>
      <c r="C159" s="95"/>
      <c r="D159" s="96"/>
      <c r="E159" s="96"/>
      <c r="F159" s="96"/>
      <c r="G159" s="96"/>
      <c r="H159" s="96"/>
      <c r="I159" s="96"/>
      <c r="J159" s="239"/>
      <c r="K159" s="239"/>
      <c r="L159" s="96"/>
      <c r="M159" s="219"/>
      <c r="N159" s="55"/>
    </row>
    <row r="160" spans="1:14">
      <c r="A160" s="27"/>
      <c r="B160" s="242"/>
      <c r="C160" s="95"/>
      <c r="D160" s="96"/>
      <c r="E160" s="96"/>
      <c r="F160" s="96"/>
      <c r="G160" s="96"/>
      <c r="H160" s="96"/>
      <c r="I160" s="96"/>
      <c r="J160" s="239"/>
      <c r="K160" s="239"/>
      <c r="L160" s="96"/>
      <c r="M160" s="219"/>
      <c r="N160" s="55"/>
    </row>
    <row r="161" spans="1:14">
      <c r="A161" s="27"/>
      <c r="B161" s="242"/>
      <c r="C161" s="95"/>
      <c r="D161" s="96"/>
      <c r="E161" s="96"/>
      <c r="F161" s="96"/>
      <c r="G161" s="96"/>
      <c r="H161" s="96"/>
      <c r="I161" s="96"/>
      <c r="J161" s="239"/>
      <c r="K161" s="239"/>
      <c r="L161" s="96"/>
      <c r="M161" s="219"/>
      <c r="N161" s="55"/>
    </row>
    <row r="162" spans="1:14">
      <c r="A162" s="27"/>
      <c r="B162" s="242"/>
      <c r="C162" s="95"/>
      <c r="D162" s="96"/>
      <c r="E162" s="96"/>
      <c r="F162" s="96"/>
      <c r="G162" s="96"/>
      <c r="H162" s="96"/>
      <c r="I162" s="96"/>
      <c r="J162" s="239"/>
      <c r="K162" s="239"/>
      <c r="L162" s="96"/>
      <c r="M162" s="219"/>
      <c r="N162" s="55"/>
    </row>
    <row r="163" spans="1:14">
      <c r="A163" s="27"/>
      <c r="B163" s="242"/>
      <c r="C163" s="95"/>
      <c r="D163" s="96"/>
      <c r="E163" s="96"/>
      <c r="F163" s="96"/>
      <c r="G163" s="96"/>
      <c r="H163" s="96"/>
      <c r="I163" s="96"/>
      <c r="J163" s="239"/>
      <c r="K163" s="239"/>
      <c r="L163" s="96"/>
      <c r="M163" s="219"/>
      <c r="N163" s="55"/>
    </row>
    <row r="164" spans="1:14">
      <c r="A164" s="99"/>
      <c r="B164" s="246"/>
      <c r="C164" s="100"/>
      <c r="D164" s="101"/>
      <c r="E164" s="101"/>
      <c r="F164" s="101"/>
      <c r="G164" s="101"/>
      <c r="H164" s="101"/>
      <c r="I164" s="101"/>
      <c r="J164" s="241"/>
      <c r="K164" s="241"/>
      <c r="L164" s="101"/>
      <c r="M164" s="227"/>
      <c r="N164" s="55"/>
    </row>
    <row r="165" spans="1:14">
      <c r="A165" s="27"/>
      <c r="B165" s="242"/>
      <c r="C165" s="95"/>
      <c r="D165" s="96"/>
      <c r="E165" s="96"/>
      <c r="F165" s="96"/>
      <c r="G165" s="96"/>
      <c r="H165" s="96"/>
      <c r="I165" s="96"/>
      <c r="J165" s="239"/>
      <c r="K165" s="239"/>
      <c r="L165" s="96"/>
      <c r="M165" s="219"/>
      <c r="N165" s="55"/>
    </row>
    <row r="166" spans="1:14">
      <c r="A166" s="27"/>
      <c r="B166" s="242"/>
      <c r="C166" s="95"/>
      <c r="D166" s="96"/>
      <c r="E166" s="96"/>
      <c r="F166" s="96"/>
      <c r="G166" s="96"/>
      <c r="H166" s="96"/>
      <c r="I166" s="96"/>
      <c r="J166" s="239"/>
      <c r="K166" s="239"/>
      <c r="L166" s="96"/>
      <c r="M166" s="219"/>
      <c r="N166" s="55"/>
    </row>
    <row r="167" spans="1:14">
      <c r="A167" s="27"/>
      <c r="B167" s="242"/>
      <c r="C167" s="95"/>
      <c r="D167" s="96"/>
      <c r="E167" s="96"/>
      <c r="F167" s="96"/>
      <c r="G167" s="96"/>
      <c r="H167" s="96"/>
      <c r="I167" s="96"/>
      <c r="J167" s="239"/>
      <c r="K167" s="239"/>
      <c r="L167" s="96"/>
      <c r="M167" s="219"/>
      <c r="N167" s="55"/>
    </row>
    <row r="168" spans="1:14">
      <c r="A168" s="27"/>
      <c r="B168" s="242"/>
      <c r="C168" s="95"/>
      <c r="D168" s="96"/>
      <c r="E168" s="96"/>
      <c r="F168" s="96"/>
      <c r="G168" s="96"/>
      <c r="H168" s="96"/>
      <c r="I168" s="96"/>
      <c r="J168" s="239"/>
      <c r="K168" s="239"/>
      <c r="L168" s="96"/>
      <c r="M168" s="219"/>
      <c r="N168" s="55"/>
    </row>
    <row r="169" spans="1:14">
      <c r="A169" s="27"/>
      <c r="B169" s="242"/>
      <c r="C169" s="95"/>
      <c r="D169" s="96"/>
      <c r="E169" s="96"/>
      <c r="F169" s="96"/>
      <c r="G169" s="96"/>
      <c r="H169" s="96"/>
      <c r="I169" s="96"/>
      <c r="J169" s="239"/>
      <c r="K169" s="239"/>
      <c r="L169" s="96"/>
      <c r="M169" s="219"/>
      <c r="N169" s="55"/>
    </row>
    <row r="170" spans="1:14">
      <c r="A170" s="27"/>
      <c r="B170" s="242"/>
      <c r="C170" s="95"/>
      <c r="D170" s="96"/>
      <c r="E170" s="96"/>
      <c r="F170" s="96"/>
      <c r="G170" s="96"/>
      <c r="H170" s="96"/>
      <c r="I170" s="96"/>
      <c r="J170" s="239"/>
      <c r="K170" s="239"/>
      <c r="L170" s="96"/>
      <c r="M170" s="219"/>
      <c r="N170" s="55"/>
    </row>
    <row r="171" spans="1:14">
      <c r="A171" s="27"/>
      <c r="B171" s="242"/>
      <c r="C171" s="95"/>
      <c r="D171" s="96"/>
      <c r="E171" s="96"/>
      <c r="F171" s="96"/>
      <c r="G171" s="96"/>
      <c r="H171" s="96"/>
      <c r="I171" s="96"/>
      <c r="J171" s="239"/>
      <c r="K171" s="239"/>
      <c r="L171" s="96"/>
      <c r="M171" s="219"/>
      <c r="N171" s="55"/>
    </row>
    <row r="172" spans="1:14">
      <c r="A172" s="27"/>
      <c r="B172" s="242"/>
      <c r="C172" s="95"/>
      <c r="D172" s="96"/>
      <c r="E172" s="96"/>
      <c r="F172" s="96"/>
      <c r="G172" s="96"/>
      <c r="H172" s="96"/>
      <c r="I172" s="96"/>
      <c r="J172" s="239"/>
      <c r="K172" s="239"/>
      <c r="L172" s="96"/>
      <c r="M172" s="219"/>
      <c r="N172" s="55"/>
    </row>
    <row r="173" spans="1:14">
      <c r="A173" s="27"/>
      <c r="B173" s="242"/>
      <c r="C173" s="95"/>
      <c r="D173" s="96"/>
      <c r="E173" s="96"/>
      <c r="F173" s="96"/>
      <c r="G173" s="96"/>
      <c r="H173" s="96"/>
      <c r="I173" s="96"/>
      <c r="J173" s="239"/>
      <c r="K173" s="239"/>
      <c r="L173" s="96"/>
      <c r="M173" s="219"/>
      <c r="N173" s="55"/>
    </row>
    <row r="174" spans="1:14">
      <c r="A174" s="27"/>
      <c r="B174" s="242"/>
      <c r="C174" s="95"/>
      <c r="D174" s="96"/>
      <c r="E174" s="96"/>
      <c r="F174" s="96"/>
      <c r="G174" s="96"/>
      <c r="H174" s="96"/>
      <c r="I174" s="96"/>
      <c r="J174" s="239"/>
      <c r="K174" s="239"/>
      <c r="L174" s="96"/>
      <c r="M174" s="219"/>
      <c r="N174" s="55"/>
    </row>
    <row r="175" spans="1:14">
      <c r="A175" s="27"/>
      <c r="B175" s="242"/>
      <c r="C175" s="95"/>
      <c r="D175" s="96"/>
      <c r="E175" s="96"/>
      <c r="F175" s="96"/>
      <c r="G175" s="96"/>
      <c r="H175" s="96"/>
      <c r="I175" s="96"/>
      <c r="J175" s="239"/>
      <c r="K175" s="239"/>
      <c r="L175" s="96"/>
      <c r="M175" s="219"/>
      <c r="N175" s="55"/>
    </row>
    <row r="176" spans="1:14">
      <c r="A176" s="99"/>
      <c r="B176" s="246"/>
      <c r="C176" s="100"/>
      <c r="D176" s="101"/>
      <c r="E176" s="101"/>
      <c r="F176" s="101"/>
      <c r="G176" s="101"/>
      <c r="H176" s="101"/>
      <c r="I176" s="101"/>
      <c r="J176" s="241"/>
      <c r="K176" s="241"/>
      <c r="L176" s="101"/>
      <c r="M176" s="227"/>
      <c r="N176" s="55"/>
    </row>
    <row r="177" spans="1:14">
      <c r="A177" s="27"/>
      <c r="B177" s="242"/>
      <c r="C177" s="95"/>
      <c r="D177" s="96"/>
      <c r="E177" s="96"/>
      <c r="F177" s="96"/>
      <c r="G177" s="96"/>
      <c r="H177" s="96"/>
      <c r="I177" s="96"/>
      <c r="J177" s="239"/>
      <c r="K177" s="239"/>
      <c r="L177" s="96"/>
      <c r="M177" s="219"/>
      <c r="N177" s="55"/>
    </row>
    <row r="178" spans="1:14">
      <c r="A178" s="27"/>
      <c r="B178" s="242"/>
      <c r="C178" s="95"/>
      <c r="D178" s="96"/>
      <c r="E178" s="96"/>
      <c r="F178" s="96"/>
      <c r="G178" s="96"/>
      <c r="H178" s="96"/>
      <c r="I178" s="96"/>
      <c r="J178" s="239"/>
      <c r="K178" s="239"/>
      <c r="L178" s="96"/>
      <c r="M178" s="219"/>
      <c r="N178" s="55"/>
    </row>
    <row r="179" spans="1:14">
      <c r="A179" s="27"/>
      <c r="B179" s="242"/>
      <c r="C179" s="95"/>
      <c r="D179" s="96"/>
      <c r="E179" s="96"/>
      <c r="F179" s="96"/>
      <c r="G179" s="96"/>
      <c r="H179" s="96"/>
      <c r="I179" s="96"/>
      <c r="J179" s="239"/>
      <c r="K179" s="239"/>
      <c r="L179" s="96"/>
      <c r="M179" s="219"/>
      <c r="N179" s="55"/>
    </row>
    <row r="180" spans="1:14">
      <c r="A180" s="27"/>
      <c r="B180" s="242"/>
      <c r="C180" s="95"/>
      <c r="D180" s="96"/>
      <c r="E180" s="96"/>
      <c r="F180" s="96"/>
      <c r="G180" s="96"/>
      <c r="H180" s="96"/>
      <c r="I180" s="96"/>
      <c r="J180" s="239"/>
      <c r="K180" s="239"/>
      <c r="L180" s="96"/>
      <c r="M180" s="219"/>
      <c r="N180" s="55"/>
    </row>
    <row r="181" spans="1:14">
      <c r="A181" s="27"/>
      <c r="B181" s="242"/>
      <c r="C181" s="95"/>
      <c r="D181" s="96"/>
      <c r="E181" s="96"/>
      <c r="F181" s="96"/>
      <c r="G181" s="96"/>
      <c r="H181" s="96"/>
      <c r="I181" s="96"/>
      <c r="J181" s="239"/>
      <c r="K181" s="239"/>
      <c r="L181" s="96"/>
      <c r="M181" s="219"/>
      <c r="N181" s="55"/>
    </row>
    <row r="182" spans="1:14">
      <c r="A182" s="27"/>
      <c r="B182" s="242"/>
      <c r="C182" s="95"/>
      <c r="D182" s="96"/>
      <c r="E182" s="96"/>
      <c r="F182" s="96"/>
      <c r="G182" s="96"/>
      <c r="H182" s="96"/>
      <c r="I182" s="96"/>
      <c r="J182" s="239"/>
      <c r="K182" s="239"/>
      <c r="L182" s="96"/>
      <c r="M182" s="219"/>
      <c r="N182" s="55"/>
    </row>
    <row r="183" spans="1:14">
      <c r="A183" s="27"/>
      <c r="B183" s="242"/>
      <c r="C183" s="95"/>
      <c r="D183" s="96"/>
      <c r="E183" s="96"/>
      <c r="F183" s="96"/>
      <c r="G183" s="96"/>
      <c r="H183" s="96"/>
      <c r="I183" s="96"/>
      <c r="J183" s="239"/>
      <c r="K183" s="239"/>
      <c r="L183" s="96"/>
      <c r="M183" s="219"/>
      <c r="N183" s="55"/>
    </row>
    <row r="184" spans="1:14">
      <c r="A184" s="27"/>
      <c r="B184" s="242"/>
      <c r="C184" s="95"/>
      <c r="D184" s="96"/>
      <c r="E184" s="96"/>
      <c r="F184" s="96"/>
      <c r="G184" s="96"/>
      <c r="H184" s="96"/>
      <c r="I184" s="96"/>
      <c r="J184" s="239"/>
      <c r="K184" s="239"/>
      <c r="L184" s="96"/>
      <c r="M184" s="219"/>
      <c r="N184" s="55"/>
    </row>
    <row r="185" spans="1:14">
      <c r="A185" s="27"/>
      <c r="B185" s="242"/>
      <c r="C185" s="95"/>
      <c r="D185" s="96"/>
      <c r="E185" s="96"/>
      <c r="F185" s="96"/>
      <c r="G185" s="96"/>
      <c r="H185" s="96"/>
      <c r="I185" s="96"/>
      <c r="J185" s="239"/>
      <c r="K185" s="239"/>
      <c r="L185" s="96"/>
      <c r="M185" s="219"/>
      <c r="N185" s="55"/>
    </row>
    <row r="186" spans="1:14">
      <c r="A186" s="27"/>
      <c r="B186" s="242"/>
      <c r="C186" s="95"/>
      <c r="D186" s="96"/>
      <c r="E186" s="96"/>
      <c r="F186" s="96"/>
      <c r="G186" s="96"/>
      <c r="H186" s="96"/>
      <c r="I186" s="96"/>
      <c r="J186" s="239"/>
      <c r="K186" s="239"/>
      <c r="L186" s="96"/>
      <c r="M186" s="219"/>
      <c r="N186" s="55"/>
    </row>
    <row r="187" spans="1:14">
      <c r="A187" s="27"/>
      <c r="B187" s="242"/>
      <c r="C187" s="95"/>
      <c r="D187" s="96"/>
      <c r="E187" s="96"/>
      <c r="F187" s="96"/>
      <c r="G187" s="96"/>
      <c r="H187" s="96"/>
      <c r="I187" s="96"/>
      <c r="J187" s="239"/>
      <c r="K187" s="239"/>
      <c r="L187" s="96"/>
      <c r="M187" s="219"/>
      <c r="N187" s="55"/>
    </row>
    <row r="188" spans="1:14">
      <c r="A188" s="99"/>
      <c r="B188" s="246"/>
      <c r="C188" s="100"/>
      <c r="D188" s="101"/>
      <c r="E188" s="101"/>
      <c r="F188" s="101"/>
      <c r="G188" s="101"/>
      <c r="H188" s="101"/>
      <c r="I188" s="101"/>
      <c r="J188" s="241"/>
      <c r="K188" s="241"/>
      <c r="L188" s="101"/>
      <c r="M188" s="227"/>
      <c r="N188" s="55"/>
    </row>
    <row r="189" spans="1:14">
      <c r="A189" s="27"/>
      <c r="B189" s="242"/>
      <c r="C189" s="95"/>
      <c r="D189" s="96"/>
      <c r="E189" s="96"/>
      <c r="F189" s="96"/>
      <c r="G189" s="96"/>
      <c r="H189" s="96"/>
      <c r="I189" s="96"/>
      <c r="J189" s="239"/>
      <c r="K189" s="239"/>
      <c r="L189" s="96"/>
      <c r="M189" s="219"/>
      <c r="N189" s="55"/>
    </row>
    <row r="190" spans="1:14">
      <c r="A190" s="27"/>
      <c r="B190" s="242"/>
      <c r="C190" s="95"/>
      <c r="D190" s="96"/>
      <c r="E190" s="96"/>
      <c r="F190" s="96"/>
      <c r="G190" s="96"/>
      <c r="H190" s="96"/>
      <c r="I190" s="96"/>
      <c r="J190" s="239"/>
      <c r="K190" s="239"/>
      <c r="L190" s="96"/>
      <c r="M190" s="219"/>
      <c r="N190" s="55"/>
    </row>
    <row r="191" spans="1:14">
      <c r="A191" s="27"/>
      <c r="B191" s="242"/>
      <c r="C191" s="95"/>
      <c r="D191" s="96"/>
      <c r="E191" s="96"/>
      <c r="F191" s="96"/>
      <c r="G191" s="96"/>
      <c r="H191" s="96"/>
      <c r="I191" s="96"/>
      <c r="J191" s="239"/>
      <c r="K191" s="239"/>
      <c r="L191" s="96"/>
      <c r="M191" s="219"/>
      <c r="N191" s="55"/>
    </row>
    <row r="192" spans="1:14">
      <c r="A192" s="27"/>
      <c r="B192" s="242"/>
      <c r="C192" s="95"/>
      <c r="D192" s="96"/>
      <c r="E192" s="96"/>
      <c r="F192" s="96"/>
      <c r="G192" s="96"/>
      <c r="H192" s="96"/>
      <c r="I192" s="96"/>
      <c r="J192" s="239"/>
      <c r="K192" s="239"/>
      <c r="L192" s="96"/>
      <c r="M192" s="219"/>
      <c r="N192" s="55"/>
    </row>
    <row r="193" spans="1:14">
      <c r="A193" s="27"/>
      <c r="B193" s="242"/>
      <c r="C193" s="95"/>
      <c r="D193" s="96"/>
      <c r="E193" s="96"/>
      <c r="F193" s="96"/>
      <c r="G193" s="96"/>
      <c r="H193" s="96"/>
      <c r="I193" s="96"/>
      <c r="J193" s="239"/>
      <c r="K193" s="239"/>
      <c r="L193" s="96"/>
      <c r="M193" s="219"/>
      <c r="N193" s="55"/>
    </row>
    <row r="194" spans="1:14">
      <c r="A194" s="27"/>
      <c r="B194" s="242"/>
      <c r="C194" s="95"/>
      <c r="D194" s="96"/>
      <c r="E194" s="96"/>
      <c r="F194" s="96"/>
      <c r="G194" s="96"/>
      <c r="H194" s="96"/>
      <c r="I194" s="96"/>
      <c r="J194" s="239"/>
      <c r="K194" s="239"/>
      <c r="L194" s="96"/>
      <c r="M194" s="219"/>
      <c r="N194" s="55"/>
    </row>
    <row r="195" spans="1:14">
      <c r="A195" s="27"/>
      <c r="B195" s="242"/>
      <c r="C195" s="95"/>
      <c r="D195" s="96"/>
      <c r="E195" s="96"/>
      <c r="F195" s="96"/>
      <c r="G195" s="96"/>
      <c r="H195" s="96"/>
      <c r="I195" s="96"/>
      <c r="J195" s="239"/>
      <c r="K195" s="239"/>
      <c r="L195" s="96"/>
      <c r="M195" s="219"/>
      <c r="N195" s="55"/>
    </row>
    <row r="196" spans="1:14">
      <c r="A196" s="27"/>
      <c r="B196" s="242"/>
      <c r="C196" s="95"/>
      <c r="D196" s="96"/>
      <c r="E196" s="96"/>
      <c r="F196" s="96"/>
      <c r="G196" s="96"/>
      <c r="H196" s="96"/>
      <c r="I196" s="96"/>
      <c r="J196" s="239"/>
      <c r="K196" s="239"/>
      <c r="L196" s="96"/>
      <c r="M196" s="219"/>
      <c r="N196" s="55"/>
    </row>
    <row r="197" spans="1:14">
      <c r="A197" s="27"/>
      <c r="B197" s="242"/>
      <c r="C197" s="95"/>
      <c r="D197" s="96"/>
      <c r="E197" s="96"/>
      <c r="F197" s="96"/>
      <c r="G197" s="96"/>
      <c r="H197" s="96"/>
      <c r="I197" s="96"/>
      <c r="J197" s="239"/>
      <c r="K197" s="239"/>
      <c r="L197" s="96"/>
      <c r="M197" s="219"/>
      <c r="N197" s="55"/>
    </row>
    <row r="198" spans="1:14">
      <c r="A198" s="27"/>
      <c r="B198" s="242"/>
      <c r="C198" s="95"/>
      <c r="D198" s="96"/>
      <c r="E198" s="96"/>
      <c r="F198" s="96"/>
      <c r="G198" s="96"/>
      <c r="H198" s="96"/>
      <c r="I198" s="96"/>
      <c r="J198" s="239"/>
      <c r="K198" s="239"/>
      <c r="L198" s="96"/>
      <c r="M198" s="219"/>
      <c r="N198" s="55"/>
    </row>
    <row r="199" spans="1:14">
      <c r="A199" s="27"/>
      <c r="B199" s="242"/>
      <c r="C199" s="95"/>
      <c r="D199" s="96"/>
      <c r="E199" s="96"/>
      <c r="F199" s="96"/>
      <c r="G199" s="96"/>
      <c r="H199" s="96"/>
      <c r="I199" s="96"/>
      <c r="J199" s="239"/>
      <c r="K199" s="239"/>
      <c r="L199" s="96"/>
      <c r="M199" s="219"/>
      <c r="N199" s="55"/>
    </row>
    <row r="200" spans="1:14">
      <c r="A200" s="99"/>
      <c r="B200" s="246"/>
      <c r="C200" s="100"/>
      <c r="D200" s="101"/>
      <c r="E200" s="101"/>
      <c r="F200" s="101"/>
      <c r="G200" s="101"/>
      <c r="H200" s="101"/>
      <c r="I200" s="101"/>
      <c r="J200" s="241"/>
      <c r="K200" s="241"/>
      <c r="L200" s="101"/>
      <c r="M200" s="227"/>
      <c r="N200" s="55"/>
    </row>
    <row r="201" spans="1:14">
      <c r="A201" s="27"/>
      <c r="B201" s="242"/>
      <c r="C201" s="95"/>
      <c r="D201" s="96"/>
      <c r="E201" s="96"/>
      <c r="F201" s="96"/>
      <c r="G201" s="96"/>
      <c r="H201" s="96"/>
      <c r="I201" s="96"/>
      <c r="J201" s="239"/>
      <c r="K201" s="239"/>
      <c r="L201" s="96"/>
      <c r="M201" s="219"/>
      <c r="N201" s="55"/>
    </row>
    <row r="202" spans="1:14">
      <c r="A202" s="27"/>
      <c r="B202" s="242"/>
      <c r="C202" s="95"/>
      <c r="D202" s="96"/>
      <c r="E202" s="96"/>
      <c r="F202" s="96"/>
      <c r="G202" s="96"/>
      <c r="H202" s="96"/>
      <c r="I202" s="96"/>
      <c r="J202" s="239"/>
      <c r="K202" s="239"/>
      <c r="L202" s="96"/>
      <c r="M202" s="219"/>
      <c r="N202" s="55"/>
    </row>
    <row r="203" spans="1:14">
      <c r="A203" s="27"/>
      <c r="B203" s="242"/>
      <c r="C203" s="95"/>
      <c r="D203" s="96"/>
      <c r="E203" s="96"/>
      <c r="F203" s="96"/>
      <c r="G203" s="96"/>
      <c r="H203" s="96"/>
      <c r="I203" s="96"/>
      <c r="J203" s="239"/>
      <c r="K203" s="239"/>
      <c r="L203" s="96"/>
      <c r="M203" s="219"/>
      <c r="N203" s="55"/>
    </row>
    <row r="204" spans="1:14">
      <c r="A204" s="27"/>
      <c r="B204" s="242"/>
      <c r="C204" s="95"/>
      <c r="D204" s="96"/>
      <c r="E204" s="96"/>
      <c r="F204" s="96"/>
      <c r="G204" s="96"/>
      <c r="H204" s="96"/>
      <c r="I204" s="96"/>
      <c r="J204" s="239"/>
      <c r="K204" s="239"/>
      <c r="L204" s="96"/>
      <c r="M204" s="219"/>
      <c r="N204" s="55"/>
    </row>
    <row r="205" spans="1:14">
      <c r="A205" s="27"/>
      <c r="B205" s="242"/>
      <c r="C205" s="95"/>
      <c r="D205" s="96"/>
      <c r="E205" s="96"/>
      <c r="F205" s="96"/>
      <c r="G205" s="96"/>
      <c r="H205" s="96"/>
      <c r="I205" s="96"/>
      <c r="J205" s="239"/>
      <c r="K205" s="239"/>
      <c r="L205" s="96"/>
      <c r="M205" s="219"/>
      <c r="N205" s="55"/>
    </row>
    <row r="206" spans="1:14">
      <c r="A206" s="27"/>
      <c r="B206" s="242"/>
      <c r="C206" s="95"/>
      <c r="D206" s="96"/>
      <c r="E206" s="96"/>
      <c r="F206" s="96"/>
      <c r="G206" s="96"/>
      <c r="H206" s="96"/>
      <c r="I206" s="96"/>
      <c r="J206" s="239"/>
      <c r="K206" s="239"/>
      <c r="L206" s="96"/>
      <c r="M206" s="219"/>
      <c r="N206" s="55"/>
    </row>
    <row r="207" spans="1:14">
      <c r="A207" s="27"/>
      <c r="B207" s="242"/>
      <c r="C207" s="95"/>
      <c r="D207" s="96"/>
      <c r="E207" s="96"/>
      <c r="F207" s="96"/>
      <c r="G207" s="96"/>
      <c r="H207" s="96"/>
      <c r="I207" s="96"/>
      <c r="J207" s="239"/>
      <c r="K207" s="239"/>
      <c r="L207" s="96"/>
      <c r="M207" s="219"/>
      <c r="N207" s="55"/>
    </row>
    <row r="208" spans="1:14">
      <c r="A208" s="27"/>
      <c r="B208" s="242"/>
      <c r="C208" s="95"/>
      <c r="D208" s="96"/>
      <c r="E208" s="96"/>
      <c r="F208" s="96"/>
      <c r="G208" s="96"/>
      <c r="H208" s="96"/>
      <c r="I208" s="96"/>
      <c r="J208" s="239"/>
      <c r="K208" s="239"/>
      <c r="L208" s="96"/>
      <c r="M208" s="219"/>
      <c r="N208" s="55"/>
    </row>
    <row r="209" spans="1:14">
      <c r="A209" s="27"/>
      <c r="B209" s="242"/>
      <c r="C209" s="95"/>
      <c r="D209" s="96"/>
      <c r="E209" s="96"/>
      <c r="F209" s="96"/>
      <c r="G209" s="96"/>
      <c r="H209" s="96"/>
      <c r="I209" s="96"/>
      <c r="J209" s="239"/>
      <c r="K209" s="239"/>
      <c r="L209" s="96"/>
      <c r="M209" s="219"/>
      <c r="N209" s="55"/>
    </row>
    <row r="210" spans="1:14">
      <c r="A210" s="27"/>
      <c r="B210" s="242"/>
      <c r="C210" s="95"/>
      <c r="D210" s="96"/>
      <c r="E210" s="96"/>
      <c r="F210" s="96"/>
      <c r="G210" s="96"/>
      <c r="H210" s="96"/>
      <c r="I210" s="96"/>
      <c r="J210" s="239"/>
      <c r="K210" s="239"/>
      <c r="L210" s="96"/>
      <c r="M210" s="219"/>
      <c r="N210" s="55"/>
    </row>
    <row r="211" spans="1:14">
      <c r="A211" s="27"/>
      <c r="B211" s="242"/>
      <c r="C211" s="95"/>
      <c r="D211" s="96"/>
      <c r="E211" s="96"/>
      <c r="F211" s="96"/>
      <c r="G211" s="96"/>
      <c r="H211" s="96"/>
      <c r="I211" s="96"/>
      <c r="J211" s="239"/>
      <c r="K211" s="239"/>
      <c r="L211" s="96"/>
      <c r="M211" s="219"/>
      <c r="N211" s="55"/>
    </row>
    <row r="212" spans="1:14">
      <c r="A212" s="99"/>
      <c r="B212" s="246"/>
      <c r="C212" s="100"/>
      <c r="D212" s="101"/>
      <c r="E212" s="101"/>
      <c r="F212" s="101"/>
      <c r="G212" s="101"/>
      <c r="H212" s="101"/>
      <c r="I212" s="101"/>
      <c r="J212" s="241"/>
      <c r="K212" s="241"/>
      <c r="L212" s="101"/>
      <c r="M212" s="227"/>
      <c r="N212" s="55"/>
    </row>
    <row r="213" spans="1:14">
      <c r="A213" s="27"/>
      <c r="B213" s="242"/>
      <c r="C213" s="95"/>
      <c r="D213" s="96"/>
      <c r="E213" s="96"/>
      <c r="F213" s="96"/>
      <c r="G213" s="96"/>
      <c r="H213" s="96"/>
      <c r="I213" s="96"/>
      <c r="J213" s="239"/>
      <c r="K213" s="239"/>
      <c r="L213" s="96"/>
      <c r="M213" s="219"/>
      <c r="N213" s="55"/>
    </row>
    <row r="214" spans="1:14">
      <c r="A214" s="27"/>
      <c r="B214" s="242"/>
      <c r="C214" s="95"/>
      <c r="D214" s="96"/>
      <c r="E214" s="96"/>
      <c r="F214" s="96"/>
      <c r="G214" s="96"/>
      <c r="H214" s="96"/>
      <c r="I214" s="96"/>
      <c r="J214" s="239"/>
      <c r="K214" s="239"/>
      <c r="L214" s="96"/>
      <c r="M214" s="219"/>
      <c r="N214" s="55"/>
    </row>
    <row r="215" spans="1:14">
      <c r="A215" s="27"/>
      <c r="B215" s="242"/>
      <c r="C215" s="95"/>
      <c r="D215" s="96"/>
      <c r="E215" s="96"/>
      <c r="F215" s="96"/>
      <c r="G215" s="96"/>
      <c r="H215" s="96"/>
      <c r="I215" s="96"/>
      <c r="J215" s="239"/>
      <c r="K215" s="239"/>
      <c r="L215" s="96"/>
      <c r="M215" s="219"/>
      <c r="N215" s="55"/>
    </row>
    <row r="216" spans="1:14">
      <c r="A216" s="27"/>
      <c r="B216" s="242"/>
      <c r="C216" s="95"/>
      <c r="D216" s="96"/>
      <c r="E216" s="96"/>
      <c r="F216" s="96"/>
      <c r="G216" s="96"/>
      <c r="H216" s="96"/>
      <c r="I216" s="96"/>
      <c r="J216" s="239"/>
      <c r="K216" s="239"/>
      <c r="L216" s="96"/>
      <c r="M216" s="219"/>
      <c r="N216" s="55"/>
    </row>
    <row r="217" spans="1:14">
      <c r="A217" s="27"/>
      <c r="B217" s="242"/>
      <c r="C217" s="95"/>
      <c r="D217" s="96"/>
      <c r="E217" s="96"/>
      <c r="F217" s="96"/>
      <c r="G217" s="96"/>
      <c r="H217" s="96"/>
      <c r="I217" s="96"/>
      <c r="J217" s="239"/>
      <c r="K217" s="239"/>
      <c r="L217" s="96"/>
      <c r="M217" s="219"/>
      <c r="N217" s="55"/>
    </row>
    <row r="218" spans="1:14">
      <c r="A218" s="27"/>
      <c r="B218" s="242"/>
      <c r="C218" s="95"/>
      <c r="D218" s="96"/>
      <c r="E218" s="96"/>
      <c r="F218" s="96"/>
      <c r="G218" s="96"/>
      <c r="H218" s="96"/>
      <c r="I218" s="96"/>
      <c r="J218" s="239"/>
      <c r="K218" s="239"/>
      <c r="L218" s="96"/>
      <c r="M218" s="219"/>
      <c r="N218" s="55"/>
    </row>
    <row r="219" spans="1:14">
      <c r="A219" s="27"/>
      <c r="B219" s="242"/>
      <c r="C219" s="95"/>
      <c r="D219" s="96"/>
      <c r="E219" s="96"/>
      <c r="F219" s="96"/>
      <c r="G219" s="96"/>
      <c r="H219" s="96"/>
      <c r="I219" s="96"/>
      <c r="J219" s="239"/>
      <c r="K219" s="239"/>
      <c r="L219" s="96"/>
      <c r="M219" s="219"/>
      <c r="N219" s="55"/>
    </row>
    <row r="220" spans="1:14">
      <c r="A220" s="27"/>
      <c r="B220" s="242"/>
      <c r="C220" s="95"/>
      <c r="D220" s="96"/>
      <c r="E220" s="96"/>
      <c r="F220" s="96"/>
      <c r="G220" s="96"/>
      <c r="H220" s="96"/>
      <c r="I220" s="96"/>
      <c r="J220" s="239"/>
      <c r="K220" s="239"/>
      <c r="L220" s="96"/>
      <c r="M220" s="219"/>
      <c r="N220" s="55"/>
    </row>
    <row r="221" spans="1:14">
      <c r="A221" s="27"/>
      <c r="B221" s="242"/>
      <c r="C221" s="95"/>
      <c r="D221" s="96"/>
      <c r="E221" s="96"/>
      <c r="F221" s="96"/>
      <c r="G221" s="96"/>
      <c r="H221" s="96"/>
      <c r="I221" s="96"/>
      <c r="J221" s="239"/>
      <c r="K221" s="239"/>
      <c r="L221" s="96"/>
      <c r="M221" s="219"/>
      <c r="N221" s="55"/>
    </row>
    <row r="222" spans="1:14">
      <c r="A222" s="27"/>
      <c r="B222" s="242"/>
      <c r="C222" s="95"/>
      <c r="D222" s="96"/>
      <c r="E222" s="96"/>
      <c r="F222" s="96"/>
      <c r="G222" s="96"/>
      <c r="H222" s="96"/>
      <c r="I222" s="96"/>
      <c r="J222" s="239"/>
      <c r="K222" s="239"/>
      <c r="L222" s="96"/>
      <c r="M222" s="219"/>
      <c r="N222" s="55"/>
    </row>
    <row r="223" spans="1:14">
      <c r="A223" s="27"/>
      <c r="B223" s="242"/>
      <c r="C223" s="95"/>
      <c r="D223" s="96"/>
      <c r="E223" s="96"/>
      <c r="F223" s="96"/>
      <c r="G223" s="96"/>
      <c r="H223" s="96"/>
      <c r="I223" s="96"/>
      <c r="J223" s="239"/>
      <c r="K223" s="239"/>
      <c r="L223" s="96"/>
      <c r="M223" s="219"/>
      <c r="N223" s="55"/>
    </row>
    <row r="224" spans="1:14">
      <c r="A224" s="99"/>
      <c r="B224" s="246"/>
      <c r="C224" s="100"/>
      <c r="D224" s="101"/>
      <c r="E224" s="101"/>
      <c r="F224" s="101"/>
      <c r="G224" s="101"/>
      <c r="H224" s="101"/>
      <c r="I224" s="101"/>
      <c r="J224" s="241"/>
      <c r="K224" s="241"/>
      <c r="L224" s="101"/>
      <c r="M224" s="227"/>
      <c r="N224" s="55"/>
    </row>
    <row r="225" spans="1:14">
      <c r="A225" s="27"/>
      <c r="B225" s="242"/>
      <c r="C225" s="95"/>
      <c r="D225" s="96"/>
      <c r="E225" s="96"/>
      <c r="F225" s="96"/>
      <c r="G225" s="96"/>
      <c r="H225" s="96"/>
      <c r="I225" s="96"/>
      <c r="J225" s="239"/>
      <c r="K225" s="239"/>
      <c r="L225" s="96"/>
      <c r="M225" s="219"/>
      <c r="N225" s="55"/>
    </row>
    <row r="226" spans="1:14">
      <c r="A226" s="27"/>
      <c r="B226" s="242"/>
      <c r="C226" s="95"/>
      <c r="D226" s="96"/>
      <c r="E226" s="96"/>
      <c r="F226" s="96"/>
      <c r="G226" s="96"/>
      <c r="H226" s="96"/>
      <c r="I226" s="96"/>
      <c r="J226" s="239"/>
      <c r="K226" s="239"/>
      <c r="L226" s="96"/>
      <c r="M226" s="219"/>
      <c r="N226" s="55"/>
    </row>
    <row r="227" spans="1:14">
      <c r="A227" s="27"/>
      <c r="B227" s="242"/>
      <c r="C227" s="95"/>
      <c r="D227" s="96"/>
      <c r="E227" s="96"/>
      <c r="F227" s="96"/>
      <c r="G227" s="96"/>
      <c r="H227" s="96"/>
      <c r="I227" s="96"/>
      <c r="J227" s="239"/>
      <c r="K227" s="239"/>
      <c r="L227" s="96"/>
      <c r="M227" s="219"/>
      <c r="N227" s="55"/>
    </row>
    <row r="228" spans="1:14">
      <c r="A228" s="27"/>
      <c r="B228" s="242"/>
      <c r="C228" s="95"/>
      <c r="D228" s="96"/>
      <c r="E228" s="96"/>
      <c r="F228" s="96"/>
      <c r="G228" s="96"/>
      <c r="H228" s="96"/>
      <c r="I228" s="96"/>
      <c r="J228" s="239"/>
      <c r="K228" s="239"/>
      <c r="L228" s="96"/>
      <c r="M228" s="219"/>
      <c r="N228" s="55"/>
    </row>
    <row r="229" spans="1:14">
      <c r="A229" s="27"/>
      <c r="B229" s="242"/>
      <c r="C229" s="95"/>
      <c r="D229" s="96"/>
      <c r="E229" s="96"/>
      <c r="F229" s="96"/>
      <c r="G229" s="96"/>
      <c r="H229" s="96"/>
      <c r="I229" s="96"/>
      <c r="J229" s="239"/>
      <c r="K229" s="239"/>
      <c r="L229" s="96"/>
      <c r="M229" s="219"/>
      <c r="N229" s="103"/>
    </row>
    <row r="230" spans="1:14">
      <c r="A230" s="27"/>
      <c r="B230" s="242"/>
      <c r="C230" s="95"/>
      <c r="D230" s="96"/>
      <c r="E230" s="96"/>
      <c r="F230" s="96"/>
      <c r="G230" s="96"/>
      <c r="H230" s="96"/>
      <c r="I230" s="96"/>
      <c r="J230" s="239"/>
      <c r="K230" s="239"/>
      <c r="L230" s="96"/>
      <c r="M230" s="219"/>
      <c r="N230" s="55"/>
    </row>
    <row r="231" spans="1:14">
      <c r="A231" s="27"/>
      <c r="B231" s="242"/>
      <c r="C231" s="95"/>
      <c r="D231" s="96"/>
      <c r="E231" s="96"/>
      <c r="F231" s="96"/>
      <c r="G231" s="96"/>
      <c r="H231" s="96"/>
      <c r="I231" s="96"/>
      <c r="J231" s="239"/>
      <c r="K231" s="239"/>
      <c r="L231" s="96"/>
      <c r="M231" s="219"/>
      <c r="N231" s="55"/>
    </row>
    <row r="232" spans="1:14">
      <c r="A232" s="27"/>
      <c r="B232" s="242"/>
      <c r="C232" s="95"/>
      <c r="D232" s="96"/>
      <c r="E232" s="96"/>
      <c r="F232" s="96"/>
      <c r="G232" s="96"/>
      <c r="H232" s="96"/>
      <c r="I232" s="96"/>
      <c r="J232" s="239"/>
      <c r="K232" s="239"/>
      <c r="L232" s="96"/>
      <c r="M232" s="219"/>
      <c r="N232" s="55"/>
    </row>
    <row r="233" spans="1:14">
      <c r="A233" s="27"/>
      <c r="B233" s="242"/>
      <c r="C233" s="95"/>
      <c r="D233" s="96"/>
      <c r="E233" s="96"/>
      <c r="F233" s="96"/>
      <c r="G233" s="96"/>
      <c r="H233" s="96"/>
      <c r="I233" s="96"/>
      <c r="J233" s="239"/>
      <c r="K233" s="239"/>
      <c r="L233" s="96"/>
      <c r="M233" s="219"/>
      <c r="N233" s="55"/>
    </row>
    <row r="234" spans="1:14">
      <c r="A234" s="27"/>
      <c r="B234" s="242"/>
      <c r="C234" s="95"/>
      <c r="D234" s="96"/>
      <c r="E234" s="96"/>
      <c r="F234" s="96"/>
      <c r="G234" s="96"/>
      <c r="H234" s="96"/>
      <c r="I234" s="96"/>
      <c r="J234" s="239"/>
      <c r="K234" s="239"/>
      <c r="L234" s="96"/>
      <c r="M234" s="219"/>
      <c r="N234" s="55"/>
    </row>
    <row r="235" spans="1:14">
      <c r="A235" s="27"/>
      <c r="B235" s="242"/>
      <c r="C235" s="95"/>
      <c r="D235" s="96"/>
      <c r="E235" s="96"/>
      <c r="F235" s="96"/>
      <c r="G235" s="96"/>
      <c r="H235" s="96"/>
      <c r="I235" s="96"/>
      <c r="J235" s="239"/>
      <c r="K235" s="239"/>
      <c r="L235" s="96"/>
      <c r="M235" s="219"/>
      <c r="N235" s="55"/>
    </row>
    <row r="236" spans="1:14">
      <c r="A236" s="99"/>
      <c r="B236" s="246"/>
      <c r="C236" s="100"/>
      <c r="D236" s="101"/>
      <c r="E236" s="101"/>
      <c r="F236" s="101"/>
      <c r="G236" s="101"/>
      <c r="H236" s="101"/>
      <c r="I236" s="101"/>
      <c r="J236" s="241"/>
      <c r="K236" s="241"/>
      <c r="L236" s="101"/>
      <c r="M236" s="227"/>
      <c r="N236" s="55"/>
    </row>
    <row r="237" spans="1:14">
      <c r="A237" s="27"/>
      <c r="B237" s="242"/>
      <c r="C237" s="95"/>
      <c r="D237" s="96"/>
      <c r="E237" s="96"/>
      <c r="F237" s="96"/>
      <c r="G237" s="96"/>
      <c r="H237" s="96"/>
      <c r="I237" s="96"/>
      <c r="J237" s="239"/>
      <c r="K237" s="239"/>
      <c r="L237" s="96"/>
      <c r="M237" s="219"/>
      <c r="N237" s="55"/>
    </row>
    <row r="238" spans="1:14">
      <c r="A238" s="27"/>
      <c r="B238" s="242"/>
      <c r="C238" s="95"/>
      <c r="D238" s="96"/>
      <c r="E238" s="96"/>
      <c r="F238" s="96"/>
      <c r="G238" s="96"/>
      <c r="H238" s="96"/>
      <c r="I238" s="96"/>
      <c r="J238" s="239"/>
      <c r="K238" s="239"/>
      <c r="L238" s="96"/>
      <c r="M238" s="219"/>
      <c r="N238" s="55"/>
    </row>
    <row r="239" spans="1:14">
      <c r="A239" s="27"/>
      <c r="B239" s="242"/>
      <c r="C239" s="95"/>
      <c r="D239" s="96"/>
      <c r="E239" s="96"/>
      <c r="F239" s="96"/>
      <c r="G239" s="96"/>
      <c r="H239" s="96"/>
      <c r="I239" s="96"/>
      <c r="J239" s="239"/>
      <c r="K239" s="239"/>
      <c r="L239" s="96"/>
      <c r="M239" s="219"/>
      <c r="N239" s="55"/>
    </row>
    <row r="240" spans="1:14">
      <c r="A240" s="27"/>
      <c r="B240" s="242"/>
      <c r="C240" s="95"/>
      <c r="D240" s="96"/>
      <c r="E240" s="96"/>
      <c r="F240" s="96"/>
      <c r="G240" s="96"/>
      <c r="H240" s="96"/>
      <c r="I240" s="96"/>
      <c r="J240" s="239"/>
      <c r="K240" s="239"/>
      <c r="L240" s="96"/>
      <c r="M240" s="219"/>
      <c r="N240" s="55"/>
    </row>
    <row r="241" spans="1:14">
      <c r="A241" s="27"/>
      <c r="B241" s="242"/>
      <c r="C241" s="95"/>
      <c r="D241" s="96"/>
      <c r="E241" s="96"/>
      <c r="F241" s="96"/>
      <c r="G241" s="96"/>
      <c r="H241" s="96"/>
      <c r="I241" s="96"/>
      <c r="J241" s="239"/>
      <c r="K241" s="239"/>
      <c r="L241" s="96"/>
      <c r="M241" s="219"/>
      <c r="N241" s="103"/>
    </row>
    <row r="242" spans="1:14">
      <c r="A242" s="27"/>
      <c r="B242" s="242"/>
      <c r="C242" s="95"/>
      <c r="D242" s="96"/>
      <c r="E242" s="96"/>
      <c r="F242" s="96"/>
      <c r="G242" s="96"/>
      <c r="H242" s="96"/>
      <c r="I242" s="96"/>
      <c r="J242" s="239"/>
      <c r="K242" s="239"/>
      <c r="L242" s="96"/>
      <c r="M242" s="219"/>
      <c r="N242" s="55"/>
    </row>
    <row r="243" spans="1:14">
      <c r="A243" s="27"/>
      <c r="B243" s="242"/>
      <c r="C243" s="95"/>
      <c r="D243" s="96"/>
      <c r="E243" s="96"/>
      <c r="F243" s="96"/>
      <c r="G243" s="96"/>
      <c r="H243" s="96"/>
      <c r="I243" s="96"/>
      <c r="J243" s="239"/>
      <c r="K243" s="239"/>
      <c r="L243" s="96"/>
      <c r="M243" s="219"/>
      <c r="N243" s="55"/>
    </row>
    <row r="244" spans="1:14">
      <c r="A244" s="27"/>
      <c r="B244" s="242"/>
      <c r="C244" s="95"/>
      <c r="D244" s="96"/>
      <c r="E244" s="96"/>
      <c r="F244" s="96"/>
      <c r="G244" s="96"/>
      <c r="H244" s="96"/>
      <c r="I244" s="96"/>
      <c r="J244" s="239"/>
      <c r="K244" s="239"/>
      <c r="L244" s="96"/>
      <c r="M244" s="219"/>
      <c r="N244" s="55"/>
    </row>
    <row r="245" spans="1:14">
      <c r="A245" s="27"/>
      <c r="B245" s="242"/>
      <c r="C245" s="95"/>
      <c r="D245" s="96"/>
      <c r="E245" s="96"/>
      <c r="F245" s="96"/>
      <c r="G245" s="96"/>
      <c r="H245" s="96"/>
      <c r="I245" s="96"/>
      <c r="J245" s="239"/>
      <c r="K245" s="239"/>
      <c r="L245" s="96"/>
      <c r="M245" s="219"/>
      <c r="N245" s="55"/>
    </row>
    <row r="246" spans="1:14">
      <c r="A246" s="27"/>
      <c r="B246" s="242"/>
      <c r="C246" s="95"/>
      <c r="D246" s="96"/>
      <c r="E246" s="96"/>
      <c r="F246" s="96"/>
      <c r="G246" s="96"/>
      <c r="H246" s="96"/>
      <c r="I246" s="96"/>
      <c r="J246" s="239"/>
      <c r="K246" s="239"/>
      <c r="L246" s="96"/>
      <c r="M246" s="219"/>
      <c r="N246" s="55"/>
    </row>
    <row r="247" spans="1:14">
      <c r="A247" s="27"/>
      <c r="B247" s="242"/>
      <c r="C247" s="95"/>
      <c r="D247" s="96"/>
      <c r="E247" s="96"/>
      <c r="F247" s="96"/>
      <c r="G247" s="96"/>
      <c r="H247" s="96"/>
      <c r="I247" s="96"/>
      <c r="J247" s="239"/>
      <c r="K247" s="239"/>
      <c r="L247" s="96"/>
      <c r="M247" s="219"/>
      <c r="N247" s="55"/>
    </row>
    <row r="248" spans="1:14">
      <c r="A248" s="99"/>
      <c r="B248" s="246"/>
      <c r="C248" s="100"/>
      <c r="D248" s="101"/>
      <c r="E248" s="101"/>
      <c r="F248" s="101"/>
      <c r="G248" s="101"/>
      <c r="H248" s="101"/>
      <c r="I248" s="101"/>
      <c r="J248" s="241"/>
      <c r="K248" s="241"/>
      <c r="L248" s="101"/>
      <c r="M248" s="227"/>
      <c r="N248" s="55"/>
    </row>
    <row r="249" spans="1:14">
      <c r="A249" s="27"/>
      <c r="B249" s="242"/>
      <c r="C249" s="95"/>
      <c r="D249" s="96"/>
      <c r="E249" s="96"/>
      <c r="F249" s="96"/>
      <c r="G249" s="96"/>
      <c r="H249" s="96"/>
      <c r="I249" s="96"/>
      <c r="J249" s="239"/>
      <c r="K249" s="239"/>
      <c r="L249" s="96"/>
      <c r="M249" s="219"/>
      <c r="N249" s="55"/>
    </row>
    <row r="250" spans="1:14">
      <c r="A250" s="27"/>
      <c r="B250" s="242"/>
      <c r="C250" s="95"/>
      <c r="D250" s="96"/>
      <c r="E250" s="96"/>
      <c r="F250" s="96"/>
      <c r="G250" s="96"/>
      <c r="H250" s="96"/>
      <c r="I250" s="96"/>
      <c r="J250" s="239"/>
      <c r="K250" s="239"/>
      <c r="L250" s="96"/>
      <c r="M250" s="219"/>
      <c r="N250" s="55"/>
    </row>
    <row r="251" spans="1:14">
      <c r="A251" s="27"/>
      <c r="B251" s="242"/>
      <c r="C251" s="95"/>
      <c r="D251" s="96"/>
      <c r="E251" s="96"/>
      <c r="F251" s="96"/>
      <c r="G251" s="96"/>
      <c r="H251" s="96"/>
      <c r="I251" s="96"/>
      <c r="J251" s="239"/>
      <c r="K251" s="239"/>
      <c r="L251" s="96"/>
      <c r="M251" s="219"/>
      <c r="N251" s="55"/>
    </row>
    <row r="252" spans="1:14">
      <c r="A252" s="27"/>
      <c r="B252" s="242"/>
      <c r="C252" s="95"/>
      <c r="D252" s="96"/>
      <c r="E252" s="96"/>
      <c r="F252" s="96"/>
      <c r="G252" s="96"/>
      <c r="H252" s="96"/>
      <c r="I252" s="96"/>
      <c r="J252" s="239"/>
      <c r="K252" s="239"/>
      <c r="L252" s="96"/>
      <c r="M252" s="219"/>
      <c r="N252" s="55"/>
    </row>
    <row r="253" spans="1:14">
      <c r="A253" s="27"/>
      <c r="B253" s="242"/>
      <c r="C253" s="95"/>
      <c r="D253" s="96"/>
      <c r="E253" s="96"/>
      <c r="F253" s="96"/>
      <c r="G253" s="96"/>
      <c r="H253" s="96"/>
      <c r="I253" s="96"/>
      <c r="J253" s="239"/>
      <c r="K253" s="239"/>
      <c r="L253" s="96"/>
      <c r="M253" s="219"/>
      <c r="N253" s="55"/>
    </row>
    <row r="254" spans="1:14">
      <c r="A254" s="27"/>
      <c r="B254" s="242"/>
      <c r="C254" s="95"/>
      <c r="D254" s="96"/>
      <c r="E254" s="96"/>
      <c r="F254" s="96"/>
      <c r="G254" s="96"/>
      <c r="H254" s="96"/>
      <c r="I254" s="96"/>
      <c r="J254" s="239"/>
      <c r="K254" s="239"/>
      <c r="L254" s="96"/>
      <c r="M254" s="219"/>
      <c r="N254" s="55"/>
    </row>
    <row r="255" spans="1:14">
      <c r="A255" s="104"/>
      <c r="B255" s="242"/>
      <c r="C255" s="95"/>
      <c r="D255" s="96"/>
      <c r="E255" s="96"/>
      <c r="F255" s="96"/>
      <c r="G255" s="96"/>
      <c r="H255" s="96"/>
      <c r="I255" s="96"/>
      <c r="J255" s="239"/>
      <c r="K255" s="239"/>
      <c r="L255" s="96"/>
      <c r="M255" s="219"/>
      <c r="N255" s="55"/>
    </row>
    <row r="256" spans="1:14">
      <c r="A256" s="27"/>
      <c r="B256" s="242"/>
      <c r="C256" s="95"/>
      <c r="D256" s="96"/>
      <c r="E256" s="96"/>
      <c r="F256" s="96"/>
      <c r="G256" s="96"/>
      <c r="H256" s="96"/>
      <c r="I256" s="96"/>
      <c r="J256" s="239"/>
      <c r="K256" s="239"/>
      <c r="L256" s="96"/>
      <c r="M256" s="219"/>
      <c r="N256" s="55"/>
    </row>
    <row r="257" spans="1:14">
      <c r="A257" s="104"/>
      <c r="B257" s="242"/>
      <c r="C257" s="95"/>
      <c r="D257" s="96"/>
      <c r="E257" s="96"/>
      <c r="F257" s="96"/>
      <c r="G257" s="96"/>
      <c r="H257" s="96"/>
      <c r="I257" s="96"/>
      <c r="J257" s="239"/>
      <c r="K257" s="239"/>
      <c r="L257" s="96"/>
      <c r="M257" s="219"/>
      <c r="N257" s="55"/>
    </row>
    <row r="258" spans="1:14">
      <c r="A258" s="27"/>
      <c r="B258" s="242"/>
      <c r="C258" s="95"/>
      <c r="D258" s="96"/>
      <c r="E258" s="96"/>
      <c r="F258" s="96"/>
      <c r="G258" s="96"/>
      <c r="H258" s="96"/>
      <c r="I258" s="96"/>
      <c r="J258" s="239"/>
      <c r="K258" s="239"/>
      <c r="L258" s="96"/>
      <c r="M258" s="219"/>
      <c r="N258" s="55"/>
    </row>
    <row r="259" spans="1:14">
      <c r="A259" s="104"/>
      <c r="B259" s="242"/>
      <c r="C259" s="95"/>
      <c r="D259" s="96"/>
      <c r="E259" s="96"/>
      <c r="F259" s="96"/>
      <c r="G259" s="96"/>
      <c r="H259" s="96"/>
      <c r="I259" s="96"/>
      <c r="J259" s="239"/>
      <c r="K259" s="239"/>
      <c r="L259" s="96"/>
      <c r="M259" s="219"/>
      <c r="N259" s="55"/>
    </row>
    <row r="260" spans="1:14">
      <c r="A260" s="99"/>
      <c r="B260" s="246"/>
      <c r="C260" s="100"/>
      <c r="D260" s="101"/>
      <c r="E260" s="101"/>
      <c r="F260" s="101"/>
      <c r="G260" s="101"/>
      <c r="H260" s="101"/>
      <c r="I260" s="101"/>
      <c r="J260" s="241"/>
      <c r="K260" s="241"/>
      <c r="L260" s="101"/>
      <c r="M260" s="227"/>
      <c r="N260" s="55"/>
    </row>
    <row r="261" spans="1:14">
      <c r="A261" s="104"/>
      <c r="B261" s="242"/>
      <c r="C261" s="95"/>
      <c r="D261" s="96"/>
      <c r="E261" s="96"/>
      <c r="F261" s="96"/>
      <c r="G261" s="96"/>
      <c r="H261" s="96"/>
      <c r="I261" s="96"/>
      <c r="J261" s="239"/>
      <c r="K261" s="239"/>
      <c r="L261" s="96"/>
      <c r="M261" s="219"/>
      <c r="N261" s="55"/>
    </row>
    <row r="262" spans="1:14">
      <c r="A262" s="104"/>
      <c r="B262" s="242"/>
      <c r="C262" s="95"/>
      <c r="D262" s="96"/>
      <c r="E262" s="96"/>
      <c r="F262" s="96"/>
      <c r="G262" s="96"/>
      <c r="H262" s="96"/>
      <c r="I262" s="96"/>
      <c r="J262" s="239"/>
      <c r="K262" s="239"/>
      <c r="L262" s="96"/>
      <c r="M262" s="219"/>
      <c r="N262" s="55"/>
    </row>
    <row r="263" spans="1:14">
      <c r="A263" s="104"/>
      <c r="B263" s="242"/>
      <c r="C263" s="95"/>
      <c r="D263" s="96"/>
      <c r="E263" s="96"/>
      <c r="F263" s="96"/>
      <c r="G263" s="96"/>
      <c r="H263" s="96"/>
      <c r="I263" s="96"/>
      <c r="J263" s="239"/>
      <c r="K263" s="239"/>
      <c r="L263" s="96"/>
      <c r="M263" s="219"/>
      <c r="N263" s="55"/>
    </row>
    <row r="264" spans="1:14">
      <c r="A264" s="104"/>
      <c r="B264" s="242"/>
      <c r="C264" s="95"/>
      <c r="D264" s="96"/>
      <c r="E264" s="96"/>
      <c r="F264" s="96"/>
      <c r="G264" s="96"/>
      <c r="H264" s="96"/>
      <c r="I264" s="96"/>
      <c r="J264" s="239"/>
      <c r="K264" s="239"/>
      <c r="L264" s="96"/>
      <c r="M264" s="219"/>
      <c r="N264" s="55"/>
    </row>
    <row r="265" spans="1:14">
      <c r="A265" s="104"/>
      <c r="B265" s="242"/>
      <c r="C265" s="95"/>
      <c r="D265" s="96"/>
      <c r="E265" s="96"/>
      <c r="F265" s="96"/>
      <c r="G265" s="96"/>
      <c r="H265" s="96"/>
      <c r="I265" s="96"/>
      <c r="J265" s="239"/>
      <c r="K265" s="239"/>
      <c r="L265" s="96"/>
      <c r="M265" s="219"/>
      <c r="N265" s="55"/>
    </row>
    <row r="266" spans="1:14">
      <c r="A266" s="104"/>
      <c r="B266" s="242"/>
      <c r="C266" s="95"/>
      <c r="D266" s="96"/>
      <c r="E266" s="96"/>
      <c r="F266" s="96"/>
      <c r="G266" s="96"/>
      <c r="H266" s="96"/>
      <c r="I266" s="96"/>
      <c r="J266" s="239"/>
      <c r="K266" s="239"/>
      <c r="L266" s="96"/>
      <c r="M266" s="219"/>
      <c r="N266" s="55"/>
    </row>
    <row r="267" spans="1:14">
      <c r="A267" s="104"/>
      <c r="B267" s="242"/>
      <c r="C267" s="95"/>
      <c r="D267" s="96"/>
      <c r="E267" s="96"/>
      <c r="F267" s="96"/>
      <c r="G267" s="96"/>
      <c r="H267" s="96"/>
      <c r="I267" s="96"/>
      <c r="J267" s="239"/>
      <c r="K267" s="239"/>
      <c r="L267" s="96"/>
      <c r="M267" s="219"/>
      <c r="N267" s="55"/>
    </row>
    <row r="268" spans="1:14">
      <c r="A268" s="104"/>
      <c r="B268" s="242"/>
      <c r="C268" s="95"/>
      <c r="D268" s="96"/>
      <c r="E268" s="96"/>
      <c r="F268" s="96"/>
      <c r="G268" s="96"/>
      <c r="H268" s="96"/>
      <c r="I268" s="96"/>
      <c r="J268" s="239"/>
      <c r="K268" s="239"/>
      <c r="L268" s="96"/>
      <c r="M268" s="219"/>
      <c r="N268" s="55"/>
    </row>
    <row r="269" spans="1:14">
      <c r="A269" s="104"/>
      <c r="B269" s="242"/>
      <c r="C269" s="95"/>
      <c r="D269" s="96"/>
      <c r="E269" s="96"/>
      <c r="F269" s="96"/>
      <c r="G269" s="96"/>
      <c r="H269" s="96"/>
      <c r="I269" s="96"/>
      <c r="J269" s="239"/>
      <c r="K269" s="239"/>
      <c r="L269" s="96"/>
      <c r="M269" s="219"/>
      <c r="N269" s="55"/>
    </row>
    <row r="270" spans="1:14">
      <c r="A270" s="104"/>
      <c r="B270" s="242"/>
      <c r="C270" s="95"/>
      <c r="D270" s="96"/>
      <c r="E270" s="96"/>
      <c r="F270" s="96"/>
      <c r="G270" s="96"/>
      <c r="H270" s="96"/>
      <c r="I270" s="96"/>
      <c r="J270" s="239"/>
      <c r="K270" s="239"/>
      <c r="L270" s="96"/>
      <c r="M270" s="219"/>
      <c r="N270" s="55"/>
    </row>
    <row r="271" spans="1:14">
      <c r="A271" s="104"/>
      <c r="B271" s="242"/>
      <c r="C271" s="95"/>
      <c r="D271" s="96"/>
      <c r="E271" s="96"/>
      <c r="F271" s="96"/>
      <c r="G271" s="96"/>
      <c r="H271" s="96"/>
      <c r="I271" s="96"/>
      <c r="J271" s="239"/>
      <c r="K271" s="239"/>
      <c r="L271" s="96"/>
      <c r="M271" s="219"/>
      <c r="N271" s="55"/>
    </row>
    <row r="272" spans="1:14">
      <c r="A272" s="99"/>
      <c r="B272" s="246"/>
      <c r="C272" s="100"/>
      <c r="D272" s="101"/>
      <c r="E272" s="101"/>
      <c r="F272" s="101"/>
      <c r="G272" s="101"/>
      <c r="H272" s="101"/>
      <c r="I272" s="101"/>
      <c r="J272" s="241"/>
      <c r="K272" s="241"/>
      <c r="L272" s="101"/>
      <c r="M272" s="227"/>
      <c r="N272" s="55"/>
    </row>
    <row r="273" spans="1:14">
      <c r="A273" s="104"/>
      <c r="B273" s="242"/>
      <c r="C273" s="95"/>
      <c r="D273" s="96"/>
      <c r="E273" s="96"/>
      <c r="F273" s="96"/>
      <c r="G273" s="96"/>
      <c r="H273" s="96"/>
      <c r="I273" s="96"/>
      <c r="J273" s="239"/>
      <c r="K273" s="239"/>
      <c r="L273" s="96"/>
      <c r="M273" s="219"/>
      <c r="N273" s="55"/>
    </row>
    <row r="274" spans="1:14">
      <c r="A274" s="99"/>
      <c r="B274" s="242"/>
      <c r="C274" s="95"/>
      <c r="D274" s="96"/>
      <c r="E274" s="96"/>
      <c r="F274" s="96"/>
      <c r="G274" s="96"/>
      <c r="H274" s="96"/>
      <c r="I274" s="96"/>
      <c r="J274" s="239"/>
      <c r="K274" s="239"/>
      <c r="L274" s="96"/>
      <c r="M274" s="219"/>
      <c r="N274" s="55"/>
    </row>
    <row r="279" spans="1:14">
      <c r="A279" s="32" t="s">
        <v>255</v>
      </c>
      <c r="B279" s="242"/>
      <c r="C279" s="146"/>
      <c r="D279" s="147"/>
      <c r="E279" s="147"/>
      <c r="F279" s="147"/>
      <c r="G279" s="147"/>
      <c r="H279" s="147"/>
      <c r="I279" s="147"/>
      <c r="J279" s="237"/>
      <c r="K279" s="237"/>
      <c r="L279" s="147"/>
      <c r="M279" s="238"/>
      <c r="N279" s="55"/>
    </row>
  </sheetData>
  <phoneticPr fontId="8" type="noConversion"/>
  <pageMargins left="0.7" right="0.7" top="0.75" bottom="0.75" header="0.3" footer="0.3"/>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3">
    <tabColor rgb="FF92D050"/>
  </sheetPr>
  <dimension ref="A1:J281"/>
  <sheetViews>
    <sheetView zoomScaleNormal="100" workbookViewId="0">
      <pane xSplit="1" ySplit="6" topLeftCell="B66" activePane="bottomRight" state="frozen"/>
      <selection pane="bottomRight" activeCell="I29" sqref="I29"/>
      <selection pane="bottomLeft" activeCell="B261" sqref="B261"/>
      <selection pane="topRight" activeCell="B261" sqref="B261"/>
    </sheetView>
  </sheetViews>
  <sheetFormatPr defaultColWidth="11.42578125" defaultRowHeight="10.15"/>
  <cols>
    <col min="1" max="1" width="15.5703125" style="3" bestFit="1" customWidth="1"/>
    <col min="2" max="2" width="18" style="24" customWidth="1"/>
    <col min="3" max="3" width="12.28515625" style="20" bestFit="1" customWidth="1"/>
    <col min="4" max="4" width="10.28515625" style="21" bestFit="1" customWidth="1"/>
    <col min="5" max="5" width="16" style="21" bestFit="1" customWidth="1"/>
    <col min="6" max="7" width="10.28515625" style="21" bestFit="1" customWidth="1"/>
    <col min="8" max="8" width="20.42578125" style="21" customWidth="1"/>
    <col min="9" max="9" width="8" style="21" customWidth="1"/>
    <col min="10" max="10" width="10.28515625" style="22" bestFit="1" customWidth="1"/>
    <col min="11" max="16384" width="11.42578125" style="34"/>
  </cols>
  <sheetData>
    <row r="1" spans="1:10">
      <c r="A1" s="23" t="s">
        <v>44</v>
      </c>
      <c r="B1" s="23" t="s">
        <v>270</v>
      </c>
      <c r="C1" s="23"/>
      <c r="D1" s="23"/>
      <c r="E1" s="23"/>
      <c r="F1" s="23"/>
      <c r="G1" s="23"/>
      <c r="H1" s="23"/>
      <c r="I1" s="23"/>
      <c r="J1" s="23"/>
    </row>
    <row r="2" spans="1:10">
      <c r="A2" s="23" t="s">
        <v>46</v>
      </c>
      <c r="B2" s="23" t="s">
        <v>47</v>
      </c>
      <c r="C2" s="23"/>
      <c r="D2" s="23"/>
      <c r="E2" s="23"/>
      <c r="F2" s="23"/>
      <c r="G2" s="23"/>
      <c r="H2" s="23"/>
      <c r="I2" s="23"/>
      <c r="J2" s="23"/>
    </row>
    <row r="3" spans="1:10">
      <c r="A3" s="23" t="s">
        <v>48</v>
      </c>
      <c r="B3" s="23" t="s">
        <v>49</v>
      </c>
      <c r="C3" s="23"/>
      <c r="D3" s="23"/>
      <c r="E3" s="23"/>
      <c r="F3" s="23"/>
      <c r="G3" s="23"/>
      <c r="H3" s="23"/>
      <c r="I3" s="23"/>
      <c r="J3" s="23"/>
    </row>
    <row r="4" spans="1:10">
      <c r="A4" s="23" t="s">
        <v>50</v>
      </c>
      <c r="B4" s="23" t="s">
        <v>51</v>
      </c>
      <c r="C4" s="23"/>
      <c r="D4" s="23"/>
      <c r="E4" s="23"/>
      <c r="F4" s="23"/>
      <c r="G4" s="23"/>
      <c r="H4" s="23"/>
      <c r="I4" s="23"/>
      <c r="J4" s="23"/>
    </row>
    <row r="5" spans="1:10">
      <c r="A5" s="23" t="s">
        <v>271</v>
      </c>
      <c r="B5" s="23"/>
      <c r="C5" s="23"/>
      <c r="D5" s="23"/>
      <c r="E5" s="23"/>
      <c r="F5" s="23"/>
      <c r="G5" s="23"/>
      <c r="H5" s="23"/>
      <c r="I5" s="23"/>
      <c r="J5" s="23"/>
    </row>
    <row r="6" spans="1:10" ht="28.5" customHeight="1">
      <c r="A6" s="11" t="s">
        <v>53</v>
      </c>
      <c r="B6" s="61" t="s">
        <v>272</v>
      </c>
      <c r="C6" s="61" t="s">
        <v>273</v>
      </c>
      <c r="D6" s="61" t="s">
        <v>274</v>
      </c>
      <c r="E6" s="61" t="s">
        <v>275</v>
      </c>
      <c r="F6" s="61" t="s">
        <v>276</v>
      </c>
      <c r="G6" s="61" t="s">
        <v>277</v>
      </c>
      <c r="H6" s="72" t="s">
        <v>278</v>
      </c>
      <c r="I6" s="61" t="s">
        <v>279</v>
      </c>
      <c r="J6" s="61" t="s">
        <v>280</v>
      </c>
    </row>
    <row r="7" spans="1:10">
      <c r="A7" s="27" t="s">
        <v>61</v>
      </c>
      <c r="B7" s="242">
        <v>403400</v>
      </c>
      <c r="C7" s="95">
        <v>139200</v>
      </c>
      <c r="D7" s="96">
        <v>42100</v>
      </c>
      <c r="E7" s="96">
        <v>25200</v>
      </c>
      <c r="F7" s="96">
        <v>18700</v>
      </c>
      <c r="G7" s="96">
        <v>8300</v>
      </c>
      <c r="H7" s="96">
        <v>109800</v>
      </c>
      <c r="I7" s="96">
        <v>7500</v>
      </c>
      <c r="J7" s="81">
        <v>52700</v>
      </c>
    </row>
    <row r="8" spans="1:10">
      <c r="A8" s="27" t="s">
        <v>62</v>
      </c>
      <c r="B8" s="242">
        <v>412400</v>
      </c>
      <c r="C8" s="95">
        <v>143700</v>
      </c>
      <c r="D8" s="96">
        <v>40500</v>
      </c>
      <c r="E8" s="96">
        <v>25300</v>
      </c>
      <c r="F8" s="96">
        <v>18700</v>
      </c>
      <c r="G8" s="96">
        <v>8700</v>
      </c>
      <c r="H8" s="96">
        <v>112600</v>
      </c>
      <c r="I8" s="96">
        <v>8000</v>
      </c>
      <c r="J8" s="81">
        <v>54900</v>
      </c>
    </row>
    <row r="9" spans="1:10">
      <c r="A9" s="27" t="s">
        <v>63</v>
      </c>
      <c r="B9" s="242">
        <v>408400</v>
      </c>
      <c r="C9" s="95">
        <v>140000</v>
      </c>
      <c r="D9" s="96">
        <v>40900</v>
      </c>
      <c r="E9" s="96">
        <v>24000</v>
      </c>
      <c r="F9" s="96">
        <v>18600</v>
      </c>
      <c r="G9" s="96">
        <v>8300</v>
      </c>
      <c r="H9" s="96">
        <v>117400</v>
      </c>
      <c r="I9" s="96">
        <v>9000</v>
      </c>
      <c r="J9" s="81">
        <v>50200</v>
      </c>
    </row>
    <row r="10" spans="1:10">
      <c r="A10" s="60" t="s">
        <v>64</v>
      </c>
      <c r="B10" s="244">
        <v>404200</v>
      </c>
      <c r="C10" s="232">
        <v>127600</v>
      </c>
      <c r="D10" s="233">
        <v>39200</v>
      </c>
      <c r="E10" s="233">
        <v>23400</v>
      </c>
      <c r="F10" s="233">
        <v>18200</v>
      </c>
      <c r="G10" s="233">
        <v>8900</v>
      </c>
      <c r="H10" s="233">
        <v>130800</v>
      </c>
      <c r="I10" s="233">
        <v>7700</v>
      </c>
      <c r="J10" s="234">
        <v>48300</v>
      </c>
    </row>
    <row r="11" spans="1:10">
      <c r="A11" s="27" t="s">
        <v>65</v>
      </c>
      <c r="B11" s="242">
        <v>397600</v>
      </c>
      <c r="C11" s="95">
        <v>127600</v>
      </c>
      <c r="D11" s="96">
        <v>37200</v>
      </c>
      <c r="E11" s="96">
        <v>22600</v>
      </c>
      <c r="F11" s="96">
        <v>18000</v>
      </c>
      <c r="G11" s="96">
        <v>9100</v>
      </c>
      <c r="H11" s="96">
        <v>124800</v>
      </c>
      <c r="I11" s="96">
        <v>7900</v>
      </c>
      <c r="J11" s="81">
        <v>50400</v>
      </c>
    </row>
    <row r="12" spans="1:10">
      <c r="A12" s="27" t="s">
        <v>66</v>
      </c>
      <c r="B12" s="242">
        <v>398400</v>
      </c>
      <c r="C12" s="95">
        <v>127000</v>
      </c>
      <c r="D12" s="96">
        <v>37200</v>
      </c>
      <c r="E12" s="96">
        <v>22500</v>
      </c>
      <c r="F12" s="96">
        <v>17400</v>
      </c>
      <c r="G12" s="96">
        <v>9100</v>
      </c>
      <c r="H12" s="96">
        <v>125800</v>
      </c>
      <c r="I12" s="96">
        <v>9200</v>
      </c>
      <c r="J12" s="81">
        <v>50300</v>
      </c>
    </row>
    <row r="13" spans="1:10">
      <c r="A13" s="27" t="s">
        <v>67</v>
      </c>
      <c r="B13" s="242">
        <v>406100</v>
      </c>
      <c r="C13" s="95">
        <v>128100</v>
      </c>
      <c r="D13" s="96">
        <v>34500</v>
      </c>
      <c r="E13" s="96">
        <v>21400</v>
      </c>
      <c r="F13" s="96">
        <v>18200</v>
      </c>
      <c r="G13" s="96">
        <v>10100</v>
      </c>
      <c r="H13" s="96">
        <v>131200</v>
      </c>
      <c r="I13" s="96">
        <v>10100</v>
      </c>
      <c r="J13" s="81">
        <v>52600</v>
      </c>
    </row>
    <row r="14" spans="1:10">
      <c r="A14" s="60" t="s">
        <v>68</v>
      </c>
      <c r="B14" s="244">
        <v>404000</v>
      </c>
      <c r="C14" s="232">
        <v>126000</v>
      </c>
      <c r="D14" s="233">
        <v>35300</v>
      </c>
      <c r="E14" s="233">
        <v>22200</v>
      </c>
      <c r="F14" s="233">
        <v>17900</v>
      </c>
      <c r="G14" s="233">
        <v>9900</v>
      </c>
      <c r="H14" s="233">
        <v>128000</v>
      </c>
      <c r="I14" s="233">
        <v>10800</v>
      </c>
      <c r="J14" s="234">
        <v>53800</v>
      </c>
    </row>
    <row r="15" spans="1:10">
      <c r="A15" s="27" t="s">
        <v>69</v>
      </c>
      <c r="B15" s="242">
        <v>398500</v>
      </c>
      <c r="C15" s="95">
        <v>125700</v>
      </c>
      <c r="D15" s="96">
        <v>35400</v>
      </c>
      <c r="E15" s="96">
        <v>20700</v>
      </c>
      <c r="F15" s="96">
        <v>18100</v>
      </c>
      <c r="G15" s="96">
        <v>9500</v>
      </c>
      <c r="H15" s="96">
        <v>122100</v>
      </c>
      <c r="I15" s="96">
        <v>11600</v>
      </c>
      <c r="J15" s="81">
        <v>55400</v>
      </c>
    </row>
    <row r="16" spans="1:10">
      <c r="A16" s="27" t="s">
        <v>70</v>
      </c>
      <c r="B16" s="242">
        <v>400700</v>
      </c>
      <c r="C16" s="95">
        <v>124900</v>
      </c>
      <c r="D16" s="96">
        <v>32900</v>
      </c>
      <c r="E16" s="96">
        <v>19500</v>
      </c>
      <c r="F16" s="96">
        <v>18100</v>
      </c>
      <c r="G16" s="96">
        <v>10000</v>
      </c>
      <c r="H16" s="96">
        <v>128400</v>
      </c>
      <c r="I16" s="96">
        <v>12700</v>
      </c>
      <c r="J16" s="81">
        <v>54300</v>
      </c>
    </row>
    <row r="17" spans="1:10">
      <c r="A17" s="27" t="s">
        <v>71</v>
      </c>
      <c r="B17" s="242">
        <v>400500</v>
      </c>
      <c r="C17" s="95">
        <v>123000</v>
      </c>
      <c r="D17" s="96">
        <v>33300</v>
      </c>
      <c r="E17" s="96">
        <v>19500</v>
      </c>
      <c r="F17" s="96">
        <v>18300</v>
      </c>
      <c r="G17" s="96">
        <v>9500</v>
      </c>
      <c r="H17" s="96">
        <v>129300</v>
      </c>
      <c r="I17" s="96">
        <v>13600</v>
      </c>
      <c r="J17" s="81">
        <v>54000</v>
      </c>
    </row>
    <row r="18" spans="1:10">
      <c r="A18" s="60" t="s">
        <v>72</v>
      </c>
      <c r="B18" s="244">
        <v>399200</v>
      </c>
      <c r="C18" s="232">
        <v>121800</v>
      </c>
      <c r="D18" s="233">
        <v>33600</v>
      </c>
      <c r="E18" s="233">
        <v>19300</v>
      </c>
      <c r="F18" s="233">
        <v>18600</v>
      </c>
      <c r="G18" s="233">
        <v>9600</v>
      </c>
      <c r="H18" s="233">
        <v>123700</v>
      </c>
      <c r="I18" s="233">
        <v>14700</v>
      </c>
      <c r="J18" s="234">
        <v>58100</v>
      </c>
    </row>
    <row r="19" spans="1:10">
      <c r="A19" s="27" t="s">
        <v>73</v>
      </c>
      <c r="B19" s="242">
        <v>402500</v>
      </c>
      <c r="C19" s="95">
        <v>118300</v>
      </c>
      <c r="D19" s="96">
        <v>33800</v>
      </c>
      <c r="E19" s="96">
        <v>18900</v>
      </c>
      <c r="F19" s="96">
        <v>18000</v>
      </c>
      <c r="G19" s="96">
        <v>10700</v>
      </c>
      <c r="H19" s="96">
        <v>129500</v>
      </c>
      <c r="I19" s="96">
        <v>15300</v>
      </c>
      <c r="J19" s="81">
        <v>58000</v>
      </c>
    </row>
    <row r="20" spans="1:10">
      <c r="A20" s="27" t="s">
        <v>74</v>
      </c>
      <c r="B20" s="242">
        <v>411200</v>
      </c>
      <c r="C20" s="95">
        <v>121400</v>
      </c>
      <c r="D20" s="96">
        <v>34900</v>
      </c>
      <c r="E20" s="96">
        <v>19500</v>
      </c>
      <c r="F20" s="96">
        <v>18100</v>
      </c>
      <c r="G20" s="96">
        <v>10200</v>
      </c>
      <c r="H20" s="96">
        <v>131800</v>
      </c>
      <c r="I20" s="96">
        <v>16700</v>
      </c>
      <c r="J20" s="81">
        <v>58700</v>
      </c>
    </row>
    <row r="21" spans="1:10">
      <c r="A21" s="27" t="s">
        <v>75</v>
      </c>
      <c r="B21" s="242">
        <v>433900</v>
      </c>
      <c r="C21" s="95">
        <v>123300</v>
      </c>
      <c r="D21" s="96">
        <v>34500</v>
      </c>
      <c r="E21" s="96">
        <v>20000</v>
      </c>
      <c r="F21" s="96">
        <v>18500</v>
      </c>
      <c r="G21" s="96">
        <v>18900</v>
      </c>
      <c r="H21" s="96">
        <v>140500</v>
      </c>
      <c r="I21" s="96">
        <v>18700</v>
      </c>
      <c r="J21" s="81">
        <v>59500</v>
      </c>
    </row>
    <row r="22" spans="1:10">
      <c r="A22" s="60" t="s">
        <v>76</v>
      </c>
      <c r="B22" s="244">
        <v>429600</v>
      </c>
      <c r="C22" s="232">
        <v>125800</v>
      </c>
      <c r="D22" s="233">
        <v>36000</v>
      </c>
      <c r="E22" s="233">
        <v>20100</v>
      </c>
      <c r="F22" s="233">
        <v>18500</v>
      </c>
      <c r="G22" s="233">
        <v>12400</v>
      </c>
      <c r="H22" s="233">
        <v>140800</v>
      </c>
      <c r="I22" s="233">
        <v>19000</v>
      </c>
      <c r="J22" s="234">
        <v>57000</v>
      </c>
    </row>
    <row r="23" spans="1:10">
      <c r="A23" s="27" t="s">
        <v>77</v>
      </c>
      <c r="B23" s="242">
        <v>437200</v>
      </c>
      <c r="C23" s="95">
        <v>125400</v>
      </c>
      <c r="D23" s="96">
        <v>34300</v>
      </c>
      <c r="E23" s="96">
        <v>20000</v>
      </c>
      <c r="F23" s="96">
        <v>18500</v>
      </c>
      <c r="G23" s="96">
        <v>12900</v>
      </c>
      <c r="H23" s="96">
        <v>147500</v>
      </c>
      <c r="I23" s="96">
        <v>20700</v>
      </c>
      <c r="J23" s="81">
        <v>57800</v>
      </c>
    </row>
    <row r="24" spans="1:10">
      <c r="A24" s="27" t="s">
        <v>78</v>
      </c>
      <c r="B24" s="242">
        <v>441100</v>
      </c>
      <c r="C24" s="95">
        <v>122100</v>
      </c>
      <c r="D24" s="96">
        <v>34500</v>
      </c>
      <c r="E24" s="96">
        <v>18200</v>
      </c>
      <c r="F24" s="96">
        <v>18800</v>
      </c>
      <c r="G24" s="96">
        <v>11400</v>
      </c>
      <c r="H24" s="96">
        <v>159400</v>
      </c>
      <c r="I24" s="96">
        <v>20500</v>
      </c>
      <c r="J24" s="81">
        <v>56300</v>
      </c>
    </row>
    <row r="25" spans="1:10">
      <c r="A25" s="27" t="s">
        <v>79</v>
      </c>
      <c r="B25" s="242">
        <v>436200</v>
      </c>
      <c r="C25" s="95">
        <v>122700</v>
      </c>
      <c r="D25" s="96">
        <v>34300</v>
      </c>
      <c r="E25" s="96">
        <v>18200</v>
      </c>
      <c r="F25" s="96">
        <v>19400</v>
      </c>
      <c r="G25" s="96">
        <v>12200</v>
      </c>
      <c r="H25" s="96">
        <v>151700</v>
      </c>
      <c r="I25" s="96">
        <v>22200</v>
      </c>
      <c r="J25" s="81">
        <v>55400</v>
      </c>
    </row>
    <row r="26" spans="1:10">
      <c r="A26" s="60" t="s">
        <v>80</v>
      </c>
      <c r="B26" s="244">
        <v>438700</v>
      </c>
      <c r="C26" s="232">
        <v>122300</v>
      </c>
      <c r="D26" s="233">
        <v>34700</v>
      </c>
      <c r="E26" s="233">
        <v>17600</v>
      </c>
      <c r="F26" s="233">
        <v>19000</v>
      </c>
      <c r="G26" s="233">
        <v>11700</v>
      </c>
      <c r="H26" s="233">
        <v>158300</v>
      </c>
      <c r="I26" s="233">
        <v>22800</v>
      </c>
      <c r="J26" s="234">
        <v>52300</v>
      </c>
    </row>
    <row r="27" spans="1:10">
      <c r="A27" s="27" t="s">
        <v>81</v>
      </c>
      <c r="B27" s="242">
        <v>437400</v>
      </c>
      <c r="C27" s="95">
        <v>114900</v>
      </c>
      <c r="D27" s="96">
        <v>32400</v>
      </c>
      <c r="E27" s="96">
        <v>17300</v>
      </c>
      <c r="F27" s="96">
        <v>19000</v>
      </c>
      <c r="G27" s="96">
        <v>10700</v>
      </c>
      <c r="H27" s="96">
        <v>169500</v>
      </c>
      <c r="I27" s="96">
        <v>23900</v>
      </c>
      <c r="J27" s="81">
        <v>49800</v>
      </c>
    </row>
    <row r="28" spans="1:10">
      <c r="A28" s="27" t="s">
        <v>82</v>
      </c>
      <c r="B28" s="242">
        <v>432100</v>
      </c>
      <c r="C28" s="95">
        <v>110000</v>
      </c>
      <c r="D28" s="96">
        <v>35000</v>
      </c>
      <c r="E28" s="96">
        <v>16000</v>
      </c>
      <c r="F28" s="96">
        <v>19700</v>
      </c>
      <c r="G28" s="96">
        <v>12700</v>
      </c>
      <c r="H28" s="96">
        <v>167300</v>
      </c>
      <c r="I28" s="96">
        <v>22600</v>
      </c>
      <c r="J28" s="81">
        <v>49000</v>
      </c>
    </row>
    <row r="29" spans="1:10">
      <c r="A29" s="27" t="s">
        <v>83</v>
      </c>
      <c r="B29" s="242">
        <v>424300</v>
      </c>
      <c r="C29" s="95">
        <v>107400</v>
      </c>
      <c r="D29" s="96">
        <v>29500</v>
      </c>
      <c r="E29" s="96">
        <v>14600</v>
      </c>
      <c r="F29" s="96">
        <v>19100</v>
      </c>
      <c r="G29" s="96">
        <v>12200</v>
      </c>
      <c r="H29" s="96">
        <v>170700</v>
      </c>
      <c r="I29" s="96">
        <v>23200</v>
      </c>
      <c r="J29" s="81">
        <v>47700</v>
      </c>
    </row>
    <row r="30" spans="1:10">
      <c r="A30" s="60" t="s">
        <v>84</v>
      </c>
      <c r="B30" s="244">
        <v>413700</v>
      </c>
      <c r="C30" s="232">
        <v>104200</v>
      </c>
      <c r="D30" s="233">
        <v>31200</v>
      </c>
      <c r="E30" s="233">
        <v>13300</v>
      </c>
      <c r="F30" s="233">
        <v>17800</v>
      </c>
      <c r="G30" s="233">
        <v>11100</v>
      </c>
      <c r="H30" s="233">
        <v>167600</v>
      </c>
      <c r="I30" s="233">
        <v>24800</v>
      </c>
      <c r="J30" s="234">
        <v>43700</v>
      </c>
    </row>
    <row r="31" spans="1:10">
      <c r="A31" s="27" t="s">
        <v>85</v>
      </c>
      <c r="B31" s="242">
        <v>439900</v>
      </c>
      <c r="C31" s="95">
        <v>108500</v>
      </c>
      <c r="D31" s="96">
        <v>38700</v>
      </c>
      <c r="E31" s="96">
        <v>14000</v>
      </c>
      <c r="F31" s="96">
        <v>19200</v>
      </c>
      <c r="G31" s="96">
        <v>13200</v>
      </c>
      <c r="H31" s="96">
        <v>168100</v>
      </c>
      <c r="I31" s="96">
        <v>32400</v>
      </c>
      <c r="J31" s="81">
        <v>45600</v>
      </c>
    </row>
    <row r="32" spans="1:10">
      <c r="A32" s="27" t="s">
        <v>86</v>
      </c>
      <c r="B32" s="242">
        <v>443300</v>
      </c>
      <c r="C32" s="95">
        <v>111000</v>
      </c>
      <c r="D32" s="96">
        <v>38800</v>
      </c>
      <c r="E32" s="96">
        <v>14300</v>
      </c>
      <c r="F32" s="96">
        <v>19800</v>
      </c>
      <c r="G32" s="96">
        <v>12800</v>
      </c>
      <c r="H32" s="96">
        <v>160200</v>
      </c>
      <c r="I32" s="96">
        <v>38800</v>
      </c>
      <c r="J32" s="81">
        <v>47700</v>
      </c>
    </row>
    <row r="33" spans="1:10">
      <c r="A33" s="27" t="s">
        <v>87</v>
      </c>
      <c r="B33" s="242">
        <v>447800</v>
      </c>
      <c r="C33" s="95">
        <v>110800</v>
      </c>
      <c r="D33" s="96">
        <v>37700</v>
      </c>
      <c r="E33" s="96">
        <v>13800</v>
      </c>
      <c r="F33" s="96">
        <v>19900</v>
      </c>
      <c r="G33" s="96">
        <v>12100</v>
      </c>
      <c r="H33" s="96">
        <v>161100</v>
      </c>
      <c r="I33" s="96">
        <v>43400</v>
      </c>
      <c r="J33" s="81">
        <v>49000</v>
      </c>
    </row>
    <row r="34" spans="1:10">
      <c r="A34" s="60" t="s">
        <v>88</v>
      </c>
      <c r="B34" s="244">
        <v>455600</v>
      </c>
      <c r="C34" s="232">
        <v>103300</v>
      </c>
      <c r="D34" s="233">
        <v>38900</v>
      </c>
      <c r="E34" s="233">
        <v>12800</v>
      </c>
      <c r="F34" s="233">
        <v>20300</v>
      </c>
      <c r="G34" s="233">
        <v>14600</v>
      </c>
      <c r="H34" s="233">
        <v>180100</v>
      </c>
      <c r="I34" s="233">
        <v>40200</v>
      </c>
      <c r="J34" s="234">
        <v>45400</v>
      </c>
    </row>
    <row r="35" spans="1:10">
      <c r="A35" s="27" t="s">
        <v>89</v>
      </c>
      <c r="B35" s="242">
        <v>451000</v>
      </c>
      <c r="C35" s="95">
        <v>105800</v>
      </c>
      <c r="D35" s="96">
        <v>41700</v>
      </c>
      <c r="E35" s="96">
        <v>11800</v>
      </c>
      <c r="F35" s="96">
        <v>21000</v>
      </c>
      <c r="G35" s="96">
        <v>13200</v>
      </c>
      <c r="H35" s="96">
        <v>172500</v>
      </c>
      <c r="I35" s="96">
        <v>41400</v>
      </c>
      <c r="J35" s="81">
        <v>43600</v>
      </c>
    </row>
    <row r="36" spans="1:10">
      <c r="A36" s="27" t="s">
        <v>90</v>
      </c>
      <c r="B36" s="242">
        <v>458400</v>
      </c>
      <c r="C36" s="95">
        <v>102900</v>
      </c>
      <c r="D36" s="96">
        <v>40200</v>
      </c>
      <c r="E36" s="96">
        <v>11100</v>
      </c>
      <c r="F36" s="96">
        <v>20500</v>
      </c>
      <c r="G36" s="96">
        <v>14400</v>
      </c>
      <c r="H36" s="96">
        <v>188900</v>
      </c>
      <c r="I36" s="96">
        <v>39400</v>
      </c>
      <c r="J36" s="81">
        <v>41000</v>
      </c>
    </row>
    <row r="37" spans="1:10">
      <c r="A37" s="27" t="s">
        <v>91</v>
      </c>
      <c r="B37" s="242">
        <v>465900</v>
      </c>
      <c r="C37" s="95">
        <v>104000</v>
      </c>
      <c r="D37" s="96">
        <v>40900</v>
      </c>
      <c r="E37" s="96">
        <v>10600</v>
      </c>
      <c r="F37" s="96">
        <v>20700</v>
      </c>
      <c r="G37" s="96">
        <v>14400</v>
      </c>
      <c r="H37" s="96">
        <v>191500</v>
      </c>
      <c r="I37" s="96">
        <v>42500</v>
      </c>
      <c r="J37" s="81">
        <v>41300</v>
      </c>
    </row>
    <row r="38" spans="1:10">
      <c r="A38" s="60" t="s">
        <v>92</v>
      </c>
      <c r="B38" s="244">
        <v>464100</v>
      </c>
      <c r="C38" s="232">
        <v>107100</v>
      </c>
      <c r="D38" s="233">
        <v>41200</v>
      </c>
      <c r="E38" s="233">
        <v>10300</v>
      </c>
      <c r="F38" s="233">
        <v>20900</v>
      </c>
      <c r="G38" s="233">
        <v>14400</v>
      </c>
      <c r="H38" s="233">
        <v>186300</v>
      </c>
      <c r="I38" s="233">
        <v>43300</v>
      </c>
      <c r="J38" s="234">
        <v>40500</v>
      </c>
    </row>
    <row r="39" spans="1:10">
      <c r="A39" s="27" t="s">
        <v>93</v>
      </c>
      <c r="B39" s="242">
        <v>487100</v>
      </c>
      <c r="C39" s="95">
        <v>106800</v>
      </c>
      <c r="D39" s="96">
        <v>42100</v>
      </c>
      <c r="E39" s="96">
        <v>10700</v>
      </c>
      <c r="F39" s="96">
        <v>21100</v>
      </c>
      <c r="G39" s="96">
        <v>14300</v>
      </c>
      <c r="H39" s="96">
        <v>206700</v>
      </c>
      <c r="I39" s="96">
        <v>42900</v>
      </c>
      <c r="J39" s="81">
        <v>42500</v>
      </c>
    </row>
    <row r="40" spans="1:10">
      <c r="A40" s="27" t="s">
        <v>94</v>
      </c>
      <c r="B40" s="242">
        <v>452400</v>
      </c>
      <c r="C40" s="95">
        <v>107000</v>
      </c>
      <c r="D40" s="96">
        <v>41400</v>
      </c>
      <c r="E40" s="96">
        <v>10000</v>
      </c>
      <c r="F40" s="96">
        <v>20000</v>
      </c>
      <c r="G40" s="96">
        <v>12700</v>
      </c>
      <c r="H40" s="96">
        <v>178500</v>
      </c>
      <c r="I40" s="96">
        <v>42300</v>
      </c>
      <c r="J40" s="81">
        <v>40600</v>
      </c>
    </row>
    <row r="41" spans="1:10">
      <c r="A41" s="27" t="s">
        <v>95</v>
      </c>
      <c r="B41" s="242">
        <v>462800</v>
      </c>
      <c r="C41" s="95">
        <v>108100</v>
      </c>
      <c r="D41" s="96">
        <v>43300</v>
      </c>
      <c r="E41" s="96">
        <v>10300</v>
      </c>
      <c r="F41" s="96">
        <v>21000</v>
      </c>
      <c r="G41" s="96">
        <v>13200</v>
      </c>
      <c r="H41" s="96">
        <v>179400</v>
      </c>
      <c r="I41" s="96">
        <v>46700</v>
      </c>
      <c r="J41" s="81">
        <v>40900</v>
      </c>
    </row>
    <row r="42" spans="1:10">
      <c r="A42" s="60" t="s">
        <v>96</v>
      </c>
      <c r="B42" s="244">
        <v>448700</v>
      </c>
      <c r="C42" s="232">
        <v>108800</v>
      </c>
      <c r="D42" s="233">
        <v>38800</v>
      </c>
      <c r="E42" s="233">
        <v>10500</v>
      </c>
      <c r="F42" s="233">
        <v>21200</v>
      </c>
      <c r="G42" s="233">
        <v>12500</v>
      </c>
      <c r="H42" s="233">
        <v>170000</v>
      </c>
      <c r="I42" s="233">
        <v>44800</v>
      </c>
      <c r="J42" s="234">
        <v>42100</v>
      </c>
    </row>
    <row r="43" spans="1:10">
      <c r="A43" s="27" t="s">
        <v>97</v>
      </c>
      <c r="B43" s="242">
        <v>454000</v>
      </c>
      <c r="C43" s="95">
        <v>108900</v>
      </c>
      <c r="D43" s="96">
        <v>37900</v>
      </c>
      <c r="E43" s="96">
        <v>10700</v>
      </c>
      <c r="F43" s="96">
        <v>21500</v>
      </c>
      <c r="G43" s="96">
        <v>13200</v>
      </c>
      <c r="H43" s="96">
        <v>175800</v>
      </c>
      <c r="I43" s="96">
        <v>43700</v>
      </c>
      <c r="J43" s="81">
        <v>42400</v>
      </c>
    </row>
    <row r="44" spans="1:10">
      <c r="A44" s="27" t="s">
        <v>98</v>
      </c>
      <c r="B44" s="242">
        <v>467900</v>
      </c>
      <c r="C44" s="95">
        <v>110700</v>
      </c>
      <c r="D44" s="96">
        <v>35600</v>
      </c>
      <c r="E44" s="96">
        <v>10900</v>
      </c>
      <c r="F44" s="96">
        <v>21200</v>
      </c>
      <c r="G44" s="96">
        <v>13300</v>
      </c>
      <c r="H44" s="96">
        <v>188300</v>
      </c>
      <c r="I44" s="96">
        <v>45200</v>
      </c>
      <c r="J44" s="81">
        <v>42800</v>
      </c>
    </row>
    <row r="45" spans="1:10">
      <c r="A45" s="27" t="s">
        <v>99</v>
      </c>
      <c r="B45" s="242">
        <v>494100</v>
      </c>
      <c r="C45" s="95">
        <v>120300</v>
      </c>
      <c r="D45" s="96">
        <v>38600</v>
      </c>
      <c r="E45" s="96">
        <v>11400</v>
      </c>
      <c r="F45" s="96">
        <v>21700</v>
      </c>
      <c r="G45" s="96">
        <v>14300</v>
      </c>
      <c r="H45" s="96">
        <v>197600</v>
      </c>
      <c r="I45" s="96">
        <v>44100</v>
      </c>
      <c r="J45" s="81">
        <v>46000</v>
      </c>
    </row>
    <row r="46" spans="1:10">
      <c r="A46" s="60" t="s">
        <v>100</v>
      </c>
      <c r="B46" s="244">
        <v>495800</v>
      </c>
      <c r="C46" s="232">
        <v>123600</v>
      </c>
      <c r="D46" s="233">
        <v>36200</v>
      </c>
      <c r="E46" s="233">
        <v>11600</v>
      </c>
      <c r="F46" s="233">
        <v>20900</v>
      </c>
      <c r="G46" s="233">
        <v>13000</v>
      </c>
      <c r="H46" s="233">
        <v>203400</v>
      </c>
      <c r="I46" s="233">
        <v>42400</v>
      </c>
      <c r="J46" s="234">
        <v>44700</v>
      </c>
    </row>
    <row r="47" spans="1:10">
      <c r="A47" s="27" t="s">
        <v>101</v>
      </c>
      <c r="B47" s="242">
        <v>490300</v>
      </c>
      <c r="C47" s="95">
        <v>120900</v>
      </c>
      <c r="D47" s="96">
        <v>33600</v>
      </c>
      <c r="E47" s="96">
        <v>12500</v>
      </c>
      <c r="F47" s="96">
        <v>20900</v>
      </c>
      <c r="G47" s="96">
        <v>13200</v>
      </c>
      <c r="H47" s="96">
        <v>194900</v>
      </c>
      <c r="I47" s="96">
        <v>47400</v>
      </c>
      <c r="J47" s="81">
        <v>47000</v>
      </c>
    </row>
    <row r="48" spans="1:10">
      <c r="A48" s="27" t="s">
        <v>102</v>
      </c>
      <c r="B48" s="242">
        <v>493700</v>
      </c>
      <c r="C48" s="95">
        <v>122600</v>
      </c>
      <c r="D48" s="96">
        <v>33600</v>
      </c>
      <c r="E48" s="96">
        <v>12600</v>
      </c>
      <c r="F48" s="96">
        <v>20900</v>
      </c>
      <c r="G48" s="96">
        <v>15100</v>
      </c>
      <c r="H48" s="96">
        <v>194800</v>
      </c>
      <c r="I48" s="96">
        <v>47700</v>
      </c>
      <c r="J48" s="81">
        <v>46300</v>
      </c>
    </row>
    <row r="49" spans="1:10">
      <c r="A49" s="27" t="s">
        <v>103</v>
      </c>
      <c r="B49" s="242">
        <v>482500</v>
      </c>
      <c r="C49" s="95">
        <v>120500</v>
      </c>
      <c r="D49" s="96">
        <v>34800</v>
      </c>
      <c r="E49" s="96">
        <v>12700</v>
      </c>
      <c r="F49" s="96">
        <v>21000</v>
      </c>
      <c r="G49" s="96">
        <v>14700</v>
      </c>
      <c r="H49" s="96">
        <v>187800</v>
      </c>
      <c r="I49" s="96">
        <v>46200</v>
      </c>
      <c r="J49" s="81">
        <v>44900</v>
      </c>
    </row>
    <row r="50" spans="1:10">
      <c r="A50" s="60" t="s">
        <v>104</v>
      </c>
      <c r="B50" s="244">
        <v>491400</v>
      </c>
      <c r="C50" s="232">
        <v>121400</v>
      </c>
      <c r="D50" s="233">
        <v>32800</v>
      </c>
      <c r="E50" s="233">
        <v>14400</v>
      </c>
      <c r="F50" s="233">
        <v>20900</v>
      </c>
      <c r="G50" s="233">
        <v>13400</v>
      </c>
      <c r="H50" s="233">
        <v>191400</v>
      </c>
      <c r="I50" s="233">
        <v>52100</v>
      </c>
      <c r="J50" s="234">
        <v>44900</v>
      </c>
    </row>
    <row r="51" spans="1:10">
      <c r="A51" s="27" t="s">
        <v>105</v>
      </c>
      <c r="B51" s="242">
        <v>498700</v>
      </c>
      <c r="C51" s="95">
        <v>122400</v>
      </c>
      <c r="D51" s="96">
        <v>34000</v>
      </c>
      <c r="E51" s="96">
        <v>14300</v>
      </c>
      <c r="F51" s="96">
        <v>20700</v>
      </c>
      <c r="G51" s="96">
        <v>14300</v>
      </c>
      <c r="H51" s="96">
        <v>194100</v>
      </c>
      <c r="I51" s="96">
        <v>53200</v>
      </c>
      <c r="J51" s="81">
        <v>45700</v>
      </c>
    </row>
    <row r="52" spans="1:10">
      <c r="A52" s="27" t="s">
        <v>106</v>
      </c>
      <c r="B52" s="242">
        <v>487300</v>
      </c>
      <c r="C52" s="95">
        <v>116300</v>
      </c>
      <c r="D52" s="96">
        <v>32800</v>
      </c>
      <c r="E52" s="96">
        <v>15000</v>
      </c>
      <c r="F52" s="96">
        <v>20300</v>
      </c>
      <c r="G52" s="96">
        <v>15400</v>
      </c>
      <c r="H52" s="96">
        <v>190400</v>
      </c>
      <c r="I52" s="96">
        <v>50100</v>
      </c>
      <c r="J52" s="81">
        <v>47200</v>
      </c>
    </row>
    <row r="53" spans="1:10">
      <c r="A53" s="27" t="s">
        <v>107</v>
      </c>
      <c r="B53" s="242">
        <v>477200</v>
      </c>
      <c r="C53" s="95">
        <v>115400</v>
      </c>
      <c r="D53" s="96">
        <v>32800</v>
      </c>
      <c r="E53" s="96">
        <v>14700</v>
      </c>
      <c r="F53" s="96">
        <v>19800</v>
      </c>
      <c r="G53" s="96">
        <v>12700</v>
      </c>
      <c r="H53" s="96">
        <v>184400</v>
      </c>
      <c r="I53" s="96">
        <v>50700</v>
      </c>
      <c r="J53" s="81">
        <v>46600</v>
      </c>
    </row>
    <row r="54" spans="1:10">
      <c r="A54" s="60" t="s">
        <v>108</v>
      </c>
      <c r="B54" s="244">
        <v>474200</v>
      </c>
      <c r="C54" s="232">
        <v>113100</v>
      </c>
      <c r="D54" s="233">
        <v>31100</v>
      </c>
      <c r="E54" s="233">
        <v>14900</v>
      </c>
      <c r="F54" s="233">
        <v>19700</v>
      </c>
      <c r="G54" s="233">
        <v>11100</v>
      </c>
      <c r="H54" s="233">
        <v>187800</v>
      </c>
      <c r="I54" s="233">
        <v>52000</v>
      </c>
      <c r="J54" s="234">
        <v>44500</v>
      </c>
    </row>
    <row r="55" spans="1:10">
      <c r="A55" s="27" t="s">
        <v>109</v>
      </c>
      <c r="B55" s="242">
        <v>471500</v>
      </c>
      <c r="C55" s="95">
        <v>113800</v>
      </c>
      <c r="D55" s="96">
        <v>33800</v>
      </c>
      <c r="E55" s="96">
        <v>15000</v>
      </c>
      <c r="F55" s="96">
        <v>20300</v>
      </c>
      <c r="G55" s="96">
        <v>12900</v>
      </c>
      <c r="H55" s="96">
        <v>179400</v>
      </c>
      <c r="I55" s="96">
        <v>51700</v>
      </c>
      <c r="J55" s="81">
        <v>44700</v>
      </c>
    </row>
    <row r="56" spans="1:10">
      <c r="A56" s="27" t="s">
        <v>110</v>
      </c>
      <c r="B56" s="242">
        <v>458000</v>
      </c>
      <c r="C56" s="95">
        <v>106100</v>
      </c>
      <c r="D56" s="96">
        <v>33200</v>
      </c>
      <c r="E56" s="96">
        <v>14600</v>
      </c>
      <c r="F56" s="96">
        <v>20000</v>
      </c>
      <c r="G56" s="96">
        <v>9500</v>
      </c>
      <c r="H56" s="96">
        <v>177500</v>
      </c>
      <c r="I56" s="96">
        <v>52300</v>
      </c>
      <c r="J56" s="81">
        <v>44900</v>
      </c>
    </row>
    <row r="57" spans="1:10">
      <c r="A57" s="27" t="s">
        <v>111</v>
      </c>
      <c r="B57" s="242">
        <v>447200</v>
      </c>
      <c r="C57" s="95">
        <v>101600</v>
      </c>
      <c r="D57" s="96">
        <v>30900</v>
      </c>
      <c r="E57" s="96">
        <v>13700</v>
      </c>
      <c r="F57" s="96">
        <v>19300</v>
      </c>
      <c r="G57" s="96">
        <v>8400</v>
      </c>
      <c r="H57" s="96">
        <v>182100</v>
      </c>
      <c r="I57" s="96">
        <v>46700</v>
      </c>
      <c r="J57" s="81">
        <v>44500</v>
      </c>
    </row>
    <row r="58" spans="1:10">
      <c r="A58" s="60" t="s">
        <v>112</v>
      </c>
      <c r="B58" s="244">
        <v>426400</v>
      </c>
      <c r="C58" s="232">
        <v>95200</v>
      </c>
      <c r="D58" s="233">
        <v>30800</v>
      </c>
      <c r="E58" s="233">
        <v>12600</v>
      </c>
      <c r="F58" s="233">
        <v>18900</v>
      </c>
      <c r="G58" s="233">
        <v>7900</v>
      </c>
      <c r="H58" s="233">
        <v>171900</v>
      </c>
      <c r="I58" s="233">
        <v>45600</v>
      </c>
      <c r="J58" s="234">
        <v>43600</v>
      </c>
    </row>
    <row r="59" spans="1:10">
      <c r="A59" s="27" t="s">
        <v>113</v>
      </c>
      <c r="B59" s="242">
        <v>432000</v>
      </c>
      <c r="C59" s="95">
        <v>88800</v>
      </c>
      <c r="D59" s="96">
        <v>30500</v>
      </c>
      <c r="E59" s="96">
        <v>12000</v>
      </c>
      <c r="F59" s="96">
        <v>18500</v>
      </c>
      <c r="G59" s="96">
        <v>6700</v>
      </c>
      <c r="H59" s="96">
        <v>185500</v>
      </c>
      <c r="I59" s="96">
        <v>42900</v>
      </c>
      <c r="J59" s="81">
        <v>47100</v>
      </c>
    </row>
    <row r="60" spans="1:10">
      <c r="A60" s="27" t="s">
        <v>114</v>
      </c>
      <c r="B60" s="242">
        <v>450300</v>
      </c>
      <c r="C60" s="95">
        <v>95100</v>
      </c>
      <c r="D60" s="96">
        <v>30400</v>
      </c>
      <c r="E60" s="96">
        <v>11800</v>
      </c>
      <c r="F60" s="96">
        <v>18600</v>
      </c>
      <c r="G60" s="96">
        <v>7100</v>
      </c>
      <c r="H60" s="96">
        <v>195100</v>
      </c>
      <c r="I60" s="96">
        <v>41700</v>
      </c>
      <c r="J60" s="81">
        <v>50500</v>
      </c>
    </row>
    <row r="61" spans="1:10">
      <c r="A61" s="27" t="s">
        <v>115</v>
      </c>
      <c r="B61" s="242">
        <v>484000</v>
      </c>
      <c r="C61" s="95">
        <v>100900</v>
      </c>
      <c r="D61" s="96">
        <v>32400</v>
      </c>
      <c r="E61" s="96">
        <v>12000</v>
      </c>
      <c r="F61" s="96">
        <v>18800</v>
      </c>
      <c r="G61" s="96">
        <v>7000</v>
      </c>
      <c r="H61" s="96">
        <v>207400</v>
      </c>
      <c r="I61" s="96">
        <v>41900</v>
      </c>
      <c r="J61" s="81">
        <v>63400</v>
      </c>
    </row>
    <row r="62" spans="1:10">
      <c r="A62" s="60" t="s">
        <v>116</v>
      </c>
      <c r="B62" s="244">
        <v>494000</v>
      </c>
      <c r="C62" s="232">
        <v>107700</v>
      </c>
      <c r="D62" s="233">
        <v>32400</v>
      </c>
      <c r="E62" s="233">
        <v>12400</v>
      </c>
      <c r="F62" s="233">
        <v>19300</v>
      </c>
      <c r="G62" s="233">
        <v>7000</v>
      </c>
      <c r="H62" s="233">
        <v>212600</v>
      </c>
      <c r="I62" s="233">
        <v>41600</v>
      </c>
      <c r="J62" s="234">
        <v>61000</v>
      </c>
    </row>
    <row r="63" spans="1:10">
      <c r="A63" s="27" t="s">
        <v>117</v>
      </c>
      <c r="B63" s="242">
        <v>492800</v>
      </c>
      <c r="C63" s="95">
        <v>104000</v>
      </c>
      <c r="D63" s="96">
        <v>32100</v>
      </c>
      <c r="E63" s="96">
        <v>12300</v>
      </c>
      <c r="F63" s="96">
        <v>19900</v>
      </c>
      <c r="G63" s="96">
        <v>5800</v>
      </c>
      <c r="H63" s="96">
        <v>214700</v>
      </c>
      <c r="I63" s="96">
        <v>43800</v>
      </c>
      <c r="J63" s="81">
        <v>60200</v>
      </c>
    </row>
    <row r="64" spans="1:10">
      <c r="A64" s="27" t="s">
        <v>118</v>
      </c>
      <c r="B64" s="242">
        <v>495900</v>
      </c>
      <c r="C64" s="95">
        <v>111200</v>
      </c>
      <c r="D64" s="96">
        <v>33700</v>
      </c>
      <c r="E64" s="96">
        <v>12000</v>
      </c>
      <c r="F64" s="96">
        <v>19500</v>
      </c>
      <c r="G64" s="96">
        <v>5400</v>
      </c>
      <c r="H64" s="96">
        <v>213100</v>
      </c>
      <c r="I64" s="96">
        <v>43800</v>
      </c>
      <c r="J64" s="81">
        <v>57300</v>
      </c>
    </row>
    <row r="65" spans="1:10">
      <c r="A65" s="27" t="s">
        <v>119</v>
      </c>
      <c r="B65" s="242">
        <v>492000</v>
      </c>
      <c r="C65" s="95">
        <v>103800</v>
      </c>
      <c r="D65" s="96">
        <v>34700</v>
      </c>
      <c r="E65" s="96">
        <v>12200</v>
      </c>
      <c r="F65" s="96">
        <v>20600</v>
      </c>
      <c r="G65" s="96">
        <v>5100</v>
      </c>
      <c r="H65" s="96">
        <v>210200</v>
      </c>
      <c r="I65" s="96">
        <v>45800</v>
      </c>
      <c r="J65" s="81">
        <v>59500</v>
      </c>
    </row>
    <row r="66" spans="1:10">
      <c r="A66" s="60" t="s">
        <v>120</v>
      </c>
      <c r="B66" s="244">
        <v>496700</v>
      </c>
      <c r="C66" s="232">
        <v>97800</v>
      </c>
      <c r="D66" s="233">
        <v>34600</v>
      </c>
      <c r="E66" s="233">
        <v>13200</v>
      </c>
      <c r="F66" s="233">
        <v>20900</v>
      </c>
      <c r="G66" s="233">
        <v>4700</v>
      </c>
      <c r="H66" s="233">
        <v>218900</v>
      </c>
      <c r="I66" s="233">
        <v>47500</v>
      </c>
      <c r="J66" s="234">
        <v>59200</v>
      </c>
    </row>
    <row r="67" spans="1:10">
      <c r="A67" s="27" t="s">
        <v>121</v>
      </c>
      <c r="B67" s="242">
        <v>499900</v>
      </c>
      <c r="C67" s="95">
        <v>104100</v>
      </c>
      <c r="D67" s="96">
        <v>34000</v>
      </c>
      <c r="E67" s="96">
        <v>13600</v>
      </c>
      <c r="F67" s="96">
        <v>21300</v>
      </c>
      <c r="G67" s="96">
        <v>3200</v>
      </c>
      <c r="H67" s="96">
        <v>218000</v>
      </c>
      <c r="I67" s="96">
        <v>48200</v>
      </c>
      <c r="J67" s="81">
        <v>57500</v>
      </c>
    </row>
    <row r="68" spans="1:10">
      <c r="A68" s="27" t="s">
        <v>122</v>
      </c>
      <c r="B68" s="242">
        <v>475600</v>
      </c>
      <c r="C68" s="95">
        <v>102700</v>
      </c>
      <c r="D68" s="96">
        <v>31400</v>
      </c>
      <c r="E68" s="96">
        <v>13200</v>
      </c>
      <c r="F68" s="96">
        <v>21100</v>
      </c>
      <c r="G68" s="96">
        <v>2400</v>
      </c>
      <c r="H68" s="96">
        <v>206200</v>
      </c>
      <c r="I68" s="96">
        <v>42400</v>
      </c>
      <c r="J68" s="81">
        <v>56200</v>
      </c>
    </row>
    <row r="69" spans="1:10">
      <c r="A69" s="27" t="s">
        <v>123</v>
      </c>
      <c r="B69" s="242">
        <v>488000</v>
      </c>
      <c r="C69" s="95">
        <v>103100</v>
      </c>
      <c r="D69" s="96">
        <v>33600</v>
      </c>
      <c r="E69" s="96">
        <v>12900</v>
      </c>
      <c r="F69" s="96">
        <v>21400</v>
      </c>
      <c r="G69" s="96">
        <v>2000</v>
      </c>
      <c r="H69" s="96">
        <v>208800</v>
      </c>
      <c r="I69" s="96">
        <v>45900</v>
      </c>
      <c r="J69" s="81">
        <v>60400</v>
      </c>
    </row>
    <row r="70" spans="1:10">
      <c r="A70" s="60" t="s">
        <v>124</v>
      </c>
      <c r="B70" s="244">
        <v>481600</v>
      </c>
      <c r="C70" s="232">
        <v>102000</v>
      </c>
      <c r="D70" s="233">
        <v>36000</v>
      </c>
      <c r="E70" s="233">
        <v>12700</v>
      </c>
      <c r="F70" s="233">
        <v>20800</v>
      </c>
      <c r="G70" s="233">
        <v>2200</v>
      </c>
      <c r="H70" s="233">
        <v>208400</v>
      </c>
      <c r="I70" s="233">
        <v>43100</v>
      </c>
      <c r="J70" s="234">
        <v>56400</v>
      </c>
    </row>
    <row r="71" spans="1:10">
      <c r="A71" s="27" t="s">
        <v>125</v>
      </c>
      <c r="B71" s="242">
        <v>477700</v>
      </c>
      <c r="C71" s="95">
        <v>101700</v>
      </c>
      <c r="D71" s="96">
        <v>37600</v>
      </c>
      <c r="E71" s="96">
        <v>12800</v>
      </c>
      <c r="F71" s="96">
        <v>21100</v>
      </c>
      <c r="G71" s="96">
        <v>800</v>
      </c>
      <c r="H71" s="96">
        <v>208900</v>
      </c>
      <c r="I71" s="96">
        <v>41900</v>
      </c>
      <c r="J71" s="81">
        <v>52900</v>
      </c>
    </row>
    <row r="72" spans="1:10">
      <c r="A72" s="27" t="s">
        <v>126</v>
      </c>
      <c r="B72" s="242">
        <v>482000</v>
      </c>
      <c r="C72" s="95">
        <v>98000</v>
      </c>
      <c r="D72" s="96">
        <v>41000</v>
      </c>
      <c r="E72" s="96">
        <v>12500</v>
      </c>
      <c r="F72" s="96">
        <v>21500</v>
      </c>
      <c r="G72" s="96">
        <v>100</v>
      </c>
      <c r="H72" s="96">
        <v>213400</v>
      </c>
      <c r="I72" s="96">
        <v>43400</v>
      </c>
      <c r="J72" s="81">
        <v>52200</v>
      </c>
    </row>
    <row r="73" spans="1:10">
      <c r="A73" s="27" t="s">
        <v>127</v>
      </c>
      <c r="B73" s="242">
        <v>468300</v>
      </c>
      <c r="C73" s="95">
        <v>94300</v>
      </c>
      <c r="D73" s="96">
        <v>37200</v>
      </c>
      <c r="E73" s="96">
        <v>11700</v>
      </c>
      <c r="F73" s="96">
        <v>21700</v>
      </c>
      <c r="G73" s="96">
        <v>100</v>
      </c>
      <c r="H73" s="96">
        <v>211500</v>
      </c>
      <c r="I73" s="96">
        <v>41000</v>
      </c>
      <c r="J73" s="81">
        <v>50800</v>
      </c>
    </row>
    <row r="74" spans="1:10">
      <c r="A74" s="60" t="s">
        <v>128</v>
      </c>
      <c r="B74" s="244">
        <v>472600</v>
      </c>
      <c r="C74" s="232">
        <v>92700</v>
      </c>
      <c r="D74" s="233">
        <v>36900</v>
      </c>
      <c r="E74" s="233">
        <v>14200</v>
      </c>
      <c r="F74" s="233">
        <v>21600</v>
      </c>
      <c r="G74" s="233">
        <v>100</v>
      </c>
      <c r="H74" s="233">
        <v>213400</v>
      </c>
      <c r="I74" s="233">
        <v>41600</v>
      </c>
      <c r="J74" s="234">
        <v>52100</v>
      </c>
    </row>
    <row r="75" spans="1:10">
      <c r="A75" s="27" t="s">
        <v>129</v>
      </c>
      <c r="B75" s="242">
        <v>468600</v>
      </c>
      <c r="C75" s="95">
        <v>95300</v>
      </c>
      <c r="D75" s="96">
        <v>37000</v>
      </c>
      <c r="E75" s="96">
        <v>14200</v>
      </c>
      <c r="F75" s="96">
        <v>21100</v>
      </c>
      <c r="G75" s="96" t="s">
        <v>281</v>
      </c>
      <c r="H75" s="96">
        <v>217200</v>
      </c>
      <c r="I75" s="96">
        <v>31100</v>
      </c>
      <c r="J75" s="81">
        <v>52700</v>
      </c>
    </row>
    <row r="76" spans="1:10">
      <c r="A76" s="27" t="s">
        <v>130</v>
      </c>
      <c r="B76" s="242">
        <v>487800</v>
      </c>
      <c r="C76" s="95">
        <v>95600</v>
      </c>
      <c r="D76" s="96">
        <v>37700</v>
      </c>
      <c r="E76" s="96">
        <v>14000</v>
      </c>
      <c r="F76" s="96">
        <v>20700</v>
      </c>
      <c r="G76" s="96" t="s">
        <v>281</v>
      </c>
      <c r="H76" s="96">
        <v>217600</v>
      </c>
      <c r="I76" s="96">
        <v>49400</v>
      </c>
      <c r="J76" s="81">
        <v>52800</v>
      </c>
    </row>
    <row r="77" spans="1:10">
      <c r="A77" s="27" t="s">
        <v>131</v>
      </c>
      <c r="B77" s="242">
        <v>498700</v>
      </c>
      <c r="C77" s="95">
        <v>96800</v>
      </c>
      <c r="D77" s="96">
        <v>34800</v>
      </c>
      <c r="E77" s="96">
        <v>14500</v>
      </c>
      <c r="F77" s="96">
        <v>20700</v>
      </c>
      <c r="G77" s="96" t="s">
        <v>281</v>
      </c>
      <c r="H77" s="96">
        <v>231100</v>
      </c>
      <c r="I77" s="96">
        <v>49200</v>
      </c>
      <c r="J77" s="81">
        <v>51700</v>
      </c>
    </row>
    <row r="78" spans="1:10">
      <c r="A78" s="60" t="s">
        <v>132</v>
      </c>
      <c r="B78" s="244">
        <v>492900</v>
      </c>
      <c r="C78" s="232">
        <v>100200</v>
      </c>
      <c r="D78" s="233">
        <v>41400</v>
      </c>
      <c r="E78" s="233">
        <v>12600</v>
      </c>
      <c r="F78" s="233">
        <v>21800</v>
      </c>
      <c r="G78" s="233" t="s">
        <v>281</v>
      </c>
      <c r="H78" s="233">
        <v>213800</v>
      </c>
      <c r="I78" s="233">
        <v>51000</v>
      </c>
      <c r="J78" s="234">
        <v>52100</v>
      </c>
    </row>
    <row r="79" spans="1:10">
      <c r="A79" s="27" t="s">
        <v>133</v>
      </c>
      <c r="B79" s="242">
        <v>499200</v>
      </c>
      <c r="C79" s="95">
        <v>98700</v>
      </c>
      <c r="D79" s="96">
        <v>40700</v>
      </c>
      <c r="E79" s="96">
        <v>12800</v>
      </c>
      <c r="F79" s="96">
        <v>22500</v>
      </c>
      <c r="G79" s="96" t="s">
        <v>281</v>
      </c>
      <c r="H79" s="96">
        <v>218200</v>
      </c>
      <c r="I79" s="96">
        <v>51800</v>
      </c>
      <c r="J79" s="81">
        <v>54500</v>
      </c>
    </row>
    <row r="80" spans="1:10">
      <c r="A80" s="27" t="s">
        <v>134</v>
      </c>
      <c r="B80" s="242">
        <v>494600</v>
      </c>
      <c r="C80" s="95">
        <v>96500</v>
      </c>
      <c r="D80" s="96">
        <v>43100</v>
      </c>
      <c r="E80" s="96">
        <v>14900</v>
      </c>
      <c r="F80" s="96">
        <v>21700</v>
      </c>
      <c r="G80" s="96" t="s">
        <v>281</v>
      </c>
      <c r="H80" s="96">
        <v>216200</v>
      </c>
      <c r="I80" s="96">
        <v>50300</v>
      </c>
      <c r="J80" s="81">
        <v>52000</v>
      </c>
    </row>
    <row r="81" spans="1:10">
      <c r="A81" s="27" t="s">
        <v>135</v>
      </c>
      <c r="B81" s="242">
        <v>491600</v>
      </c>
      <c r="C81" s="95">
        <v>92800</v>
      </c>
      <c r="D81" s="96">
        <v>40600</v>
      </c>
      <c r="E81" s="96">
        <v>15900</v>
      </c>
      <c r="F81" s="96">
        <v>22000</v>
      </c>
      <c r="G81" s="96" t="s">
        <v>281</v>
      </c>
      <c r="H81" s="96">
        <v>217300</v>
      </c>
      <c r="I81" s="96">
        <v>52300</v>
      </c>
      <c r="J81" s="81">
        <v>50800</v>
      </c>
    </row>
    <row r="82" spans="1:10">
      <c r="A82" s="60" t="s">
        <v>136</v>
      </c>
      <c r="B82" s="244">
        <v>488600</v>
      </c>
      <c r="C82" s="232">
        <v>89400</v>
      </c>
      <c r="D82" s="233">
        <v>43800</v>
      </c>
      <c r="E82" s="233">
        <v>16200</v>
      </c>
      <c r="F82" s="233">
        <v>21600</v>
      </c>
      <c r="G82" s="233" t="s">
        <v>281</v>
      </c>
      <c r="H82" s="233">
        <v>216900</v>
      </c>
      <c r="I82" s="233">
        <v>48300</v>
      </c>
      <c r="J82" s="234">
        <v>52400</v>
      </c>
    </row>
    <row r="83" spans="1:10">
      <c r="A83" s="27" t="s">
        <v>137</v>
      </c>
      <c r="B83" s="242">
        <v>493600</v>
      </c>
      <c r="C83" s="95">
        <v>89700</v>
      </c>
      <c r="D83" s="96">
        <v>46500</v>
      </c>
      <c r="E83" s="96">
        <v>15400</v>
      </c>
      <c r="F83" s="96">
        <v>22000</v>
      </c>
      <c r="G83" s="96" t="s">
        <v>281</v>
      </c>
      <c r="H83" s="96">
        <v>219000</v>
      </c>
      <c r="I83" s="96">
        <v>47700</v>
      </c>
      <c r="J83" s="81">
        <v>53200</v>
      </c>
    </row>
    <row r="84" spans="1:10">
      <c r="A84" s="27" t="s">
        <v>138</v>
      </c>
      <c r="B84" s="242">
        <v>479200</v>
      </c>
      <c r="C84" s="95">
        <v>95500</v>
      </c>
      <c r="D84" s="96">
        <v>44000</v>
      </c>
      <c r="E84" s="96">
        <v>13300</v>
      </c>
      <c r="F84" s="96">
        <v>22100</v>
      </c>
      <c r="G84" s="96" t="s">
        <v>281</v>
      </c>
      <c r="H84" s="96">
        <v>207800</v>
      </c>
      <c r="I84" s="96">
        <v>42100</v>
      </c>
      <c r="J84" s="81">
        <v>54300</v>
      </c>
    </row>
    <row r="85" spans="1:10">
      <c r="A85" s="27" t="s">
        <v>139</v>
      </c>
      <c r="B85" s="242">
        <v>506300</v>
      </c>
      <c r="C85" s="95">
        <v>99800</v>
      </c>
      <c r="D85" s="96">
        <v>48600</v>
      </c>
      <c r="E85" s="96">
        <v>14900</v>
      </c>
      <c r="F85" s="96">
        <v>22500</v>
      </c>
      <c r="G85" s="96" t="s">
        <v>281</v>
      </c>
      <c r="H85" s="96">
        <v>224900</v>
      </c>
      <c r="I85" s="96">
        <v>41200</v>
      </c>
      <c r="J85" s="81">
        <v>54400</v>
      </c>
    </row>
    <row r="86" spans="1:10">
      <c r="A86" s="60" t="s">
        <v>140</v>
      </c>
      <c r="B86" s="244">
        <v>511800</v>
      </c>
      <c r="C86" s="232">
        <v>103200</v>
      </c>
      <c r="D86" s="233">
        <v>47100</v>
      </c>
      <c r="E86" s="233">
        <v>16800</v>
      </c>
      <c r="F86" s="233">
        <v>22800</v>
      </c>
      <c r="G86" s="233" t="s">
        <v>281</v>
      </c>
      <c r="H86" s="233">
        <v>221600</v>
      </c>
      <c r="I86" s="233">
        <v>44200</v>
      </c>
      <c r="J86" s="234">
        <v>56200</v>
      </c>
    </row>
    <row r="87" spans="1:10">
      <c r="A87" s="27" t="s">
        <v>141</v>
      </c>
      <c r="B87" s="242">
        <v>540100</v>
      </c>
      <c r="C87" s="95">
        <v>103500</v>
      </c>
      <c r="D87" s="96">
        <v>51600</v>
      </c>
      <c r="E87" s="96">
        <v>17300</v>
      </c>
      <c r="F87" s="96">
        <v>23100</v>
      </c>
      <c r="G87" s="96" t="s">
        <v>281</v>
      </c>
      <c r="H87" s="96">
        <v>241200</v>
      </c>
      <c r="I87" s="96">
        <v>47400</v>
      </c>
      <c r="J87" s="81">
        <v>56000</v>
      </c>
    </row>
    <row r="88" spans="1:10">
      <c r="A88" s="27" t="s">
        <v>142</v>
      </c>
      <c r="B88" s="242">
        <v>577200</v>
      </c>
      <c r="C88" s="95">
        <v>104800</v>
      </c>
      <c r="D88" s="96">
        <v>76000</v>
      </c>
      <c r="E88" s="96">
        <v>17700</v>
      </c>
      <c r="F88" s="96">
        <v>23400</v>
      </c>
      <c r="G88" s="96" t="s">
        <v>281</v>
      </c>
      <c r="H88" s="96">
        <v>249200</v>
      </c>
      <c r="I88" s="96">
        <v>51200</v>
      </c>
      <c r="J88" s="81">
        <v>55000</v>
      </c>
    </row>
    <row r="89" spans="1:10">
      <c r="A89" s="27" t="s">
        <v>143</v>
      </c>
      <c r="B89" s="242">
        <v>567300</v>
      </c>
      <c r="C89" s="95">
        <v>106200</v>
      </c>
      <c r="D89" s="96">
        <v>87700</v>
      </c>
      <c r="E89" s="96">
        <v>16800</v>
      </c>
      <c r="F89" s="96">
        <v>23900</v>
      </c>
      <c r="G89" s="96" t="s">
        <v>281</v>
      </c>
      <c r="H89" s="96">
        <v>224400</v>
      </c>
      <c r="I89" s="96">
        <v>54200</v>
      </c>
      <c r="J89" s="81">
        <v>54300</v>
      </c>
    </row>
    <row r="90" spans="1:10">
      <c r="A90" s="60" t="s">
        <v>144</v>
      </c>
      <c r="B90" s="244">
        <v>572400</v>
      </c>
      <c r="C90" s="232">
        <v>107700</v>
      </c>
      <c r="D90" s="233">
        <v>89500</v>
      </c>
      <c r="E90" s="233">
        <v>15400</v>
      </c>
      <c r="F90" s="233">
        <v>24300</v>
      </c>
      <c r="G90" s="233" t="s">
        <v>281</v>
      </c>
      <c r="H90" s="233">
        <v>227600</v>
      </c>
      <c r="I90" s="233">
        <v>53100</v>
      </c>
      <c r="J90" s="234">
        <v>54700</v>
      </c>
    </row>
    <row r="91" spans="1:10">
      <c r="A91" s="27" t="s">
        <v>145</v>
      </c>
      <c r="B91" s="242">
        <v>553100</v>
      </c>
      <c r="C91" s="95">
        <v>108800</v>
      </c>
      <c r="D91" s="96">
        <v>72000</v>
      </c>
      <c r="E91" s="96">
        <v>17800</v>
      </c>
      <c r="F91" s="96">
        <v>24600</v>
      </c>
      <c r="G91" s="96" t="s">
        <v>281</v>
      </c>
      <c r="H91" s="96">
        <v>225100</v>
      </c>
      <c r="I91" s="96">
        <v>52900</v>
      </c>
      <c r="J91" s="81">
        <v>52000</v>
      </c>
    </row>
    <row r="92" spans="1:10">
      <c r="A92" s="27" t="s">
        <v>146</v>
      </c>
      <c r="B92" s="242">
        <v>553700</v>
      </c>
      <c r="C92" s="95">
        <v>111700</v>
      </c>
      <c r="D92" s="96">
        <v>64000</v>
      </c>
      <c r="E92" s="96">
        <v>19300</v>
      </c>
      <c r="F92" s="96">
        <v>24900</v>
      </c>
      <c r="G92" s="96" t="s">
        <v>281</v>
      </c>
      <c r="H92" s="96">
        <v>228100</v>
      </c>
      <c r="I92" s="96">
        <v>53800</v>
      </c>
      <c r="J92" s="81">
        <v>52000</v>
      </c>
    </row>
    <row r="93" spans="1:10">
      <c r="A93" s="27" t="s">
        <v>147</v>
      </c>
      <c r="B93" s="242">
        <v>541900</v>
      </c>
      <c r="C93" s="95">
        <v>108100</v>
      </c>
      <c r="D93" s="96">
        <v>57200</v>
      </c>
      <c r="E93" s="96">
        <v>19500</v>
      </c>
      <c r="F93" s="96">
        <v>25500</v>
      </c>
      <c r="G93" s="96" t="s">
        <v>281</v>
      </c>
      <c r="H93" s="96">
        <v>230500</v>
      </c>
      <c r="I93" s="96">
        <v>49100</v>
      </c>
      <c r="J93" s="81">
        <v>52100</v>
      </c>
    </row>
    <row r="94" spans="1:10">
      <c r="A94" s="60" t="s">
        <v>148</v>
      </c>
      <c r="B94" s="244">
        <v>545700</v>
      </c>
      <c r="C94" s="232">
        <v>110000</v>
      </c>
      <c r="D94" s="233">
        <v>64300</v>
      </c>
      <c r="E94" s="233">
        <v>20200</v>
      </c>
      <c r="F94" s="233">
        <v>26000</v>
      </c>
      <c r="G94" s="233" t="s">
        <v>281</v>
      </c>
      <c r="H94" s="233">
        <v>229000</v>
      </c>
      <c r="I94" s="233">
        <v>47600</v>
      </c>
      <c r="J94" s="234">
        <v>48700</v>
      </c>
    </row>
    <row r="95" spans="1:10">
      <c r="A95" s="27" t="s">
        <v>149</v>
      </c>
      <c r="B95" s="242">
        <v>535800</v>
      </c>
      <c r="C95" s="95">
        <v>107900</v>
      </c>
      <c r="D95" s="96">
        <v>51300</v>
      </c>
      <c r="E95" s="96">
        <v>20800</v>
      </c>
      <c r="F95" s="96">
        <v>25700</v>
      </c>
      <c r="G95" s="96" t="s">
        <v>281</v>
      </c>
      <c r="H95" s="96">
        <v>236100</v>
      </c>
      <c r="I95" s="96">
        <v>46900</v>
      </c>
      <c r="J95" s="81">
        <v>47200</v>
      </c>
    </row>
    <row r="96" spans="1:10">
      <c r="A96" s="27" t="s">
        <v>150</v>
      </c>
      <c r="B96" s="242">
        <v>550500</v>
      </c>
      <c r="C96" s="95">
        <v>110800</v>
      </c>
      <c r="D96" s="96">
        <v>48400</v>
      </c>
      <c r="E96" s="96">
        <v>21000</v>
      </c>
      <c r="F96" s="96">
        <v>25800</v>
      </c>
      <c r="G96" s="96" t="s">
        <v>281</v>
      </c>
      <c r="H96" s="96">
        <v>250200</v>
      </c>
      <c r="I96" s="96">
        <v>47100</v>
      </c>
      <c r="J96" s="81">
        <v>47300</v>
      </c>
    </row>
    <row r="97" spans="1:10">
      <c r="A97" s="27" t="s">
        <v>151</v>
      </c>
      <c r="B97" s="242">
        <v>535100</v>
      </c>
      <c r="C97" s="95">
        <v>109400</v>
      </c>
      <c r="D97" s="96">
        <v>54600</v>
      </c>
      <c r="E97" s="96">
        <v>21300</v>
      </c>
      <c r="F97" s="96">
        <v>25100</v>
      </c>
      <c r="G97" s="96" t="s">
        <v>281</v>
      </c>
      <c r="H97" s="96">
        <v>233000</v>
      </c>
      <c r="I97" s="96">
        <v>45500</v>
      </c>
      <c r="J97" s="81">
        <v>46300</v>
      </c>
    </row>
    <row r="98" spans="1:10">
      <c r="A98" s="60" t="s">
        <v>152</v>
      </c>
      <c r="B98" s="244">
        <v>542600</v>
      </c>
      <c r="C98" s="232">
        <v>110600</v>
      </c>
      <c r="D98" s="233">
        <v>57600</v>
      </c>
      <c r="E98" s="233">
        <v>20800</v>
      </c>
      <c r="F98" s="233">
        <v>24600</v>
      </c>
      <c r="G98" s="233" t="s">
        <v>281</v>
      </c>
      <c r="H98" s="233">
        <v>240000</v>
      </c>
      <c r="I98" s="233">
        <v>43300</v>
      </c>
      <c r="J98" s="234">
        <v>45700</v>
      </c>
    </row>
    <row r="99" spans="1:10">
      <c r="A99" s="27" t="s">
        <v>153</v>
      </c>
      <c r="B99" s="242">
        <v>551400</v>
      </c>
      <c r="C99" s="95">
        <v>115700</v>
      </c>
      <c r="D99" s="96">
        <v>58700</v>
      </c>
      <c r="E99" s="96">
        <v>21200</v>
      </c>
      <c r="F99" s="96">
        <v>25700</v>
      </c>
      <c r="G99" s="96" t="s">
        <v>281</v>
      </c>
      <c r="H99" s="96">
        <v>241800</v>
      </c>
      <c r="I99" s="96">
        <v>41700</v>
      </c>
      <c r="J99" s="81">
        <v>46600</v>
      </c>
    </row>
    <row r="100" spans="1:10">
      <c r="A100" s="27" t="s">
        <v>154</v>
      </c>
      <c r="B100" s="242">
        <v>557300</v>
      </c>
      <c r="C100" s="95">
        <v>116200</v>
      </c>
      <c r="D100" s="96">
        <v>59800</v>
      </c>
      <c r="E100" s="96">
        <v>21300</v>
      </c>
      <c r="F100" s="96">
        <v>25400</v>
      </c>
      <c r="G100" s="96" t="s">
        <v>281</v>
      </c>
      <c r="H100" s="96">
        <v>240300</v>
      </c>
      <c r="I100" s="96">
        <v>48300</v>
      </c>
      <c r="J100" s="81">
        <v>46000</v>
      </c>
    </row>
    <row r="101" spans="1:10">
      <c r="A101" s="27" t="s">
        <v>155</v>
      </c>
      <c r="B101" s="242">
        <v>567800</v>
      </c>
      <c r="C101" s="95">
        <v>118000</v>
      </c>
      <c r="D101" s="96">
        <v>62800</v>
      </c>
      <c r="E101" s="96">
        <v>21400</v>
      </c>
      <c r="F101" s="96">
        <v>24900</v>
      </c>
      <c r="G101" s="96" t="s">
        <v>281</v>
      </c>
      <c r="H101" s="96">
        <v>248600</v>
      </c>
      <c r="I101" s="96">
        <v>47300</v>
      </c>
      <c r="J101" s="81">
        <v>45000</v>
      </c>
    </row>
    <row r="102" spans="1:10">
      <c r="A102" s="60" t="s">
        <v>156</v>
      </c>
      <c r="B102" s="244">
        <v>559500</v>
      </c>
      <c r="C102" s="232">
        <v>113900</v>
      </c>
      <c r="D102" s="233">
        <v>60600</v>
      </c>
      <c r="E102" s="233">
        <v>23200</v>
      </c>
      <c r="F102" s="233">
        <v>24200</v>
      </c>
      <c r="G102" s="233" t="s">
        <v>281</v>
      </c>
      <c r="H102" s="233">
        <v>248800</v>
      </c>
      <c r="I102" s="233">
        <v>46500</v>
      </c>
      <c r="J102" s="234">
        <v>42400</v>
      </c>
    </row>
    <row r="103" spans="1:10">
      <c r="A103" s="27" t="s">
        <v>157</v>
      </c>
      <c r="B103" s="242">
        <v>524100</v>
      </c>
      <c r="C103" s="95">
        <v>104500</v>
      </c>
      <c r="D103" s="96">
        <v>52200</v>
      </c>
      <c r="E103" s="96">
        <v>22500</v>
      </c>
      <c r="F103" s="96">
        <v>24700</v>
      </c>
      <c r="G103" s="96" t="s">
        <v>281</v>
      </c>
      <c r="H103" s="96">
        <v>238100</v>
      </c>
      <c r="I103" s="96">
        <v>42200</v>
      </c>
      <c r="J103" s="81">
        <v>39900</v>
      </c>
    </row>
    <row r="104" spans="1:10">
      <c r="A104" s="27" t="s">
        <v>158</v>
      </c>
      <c r="B104" s="242">
        <v>371700</v>
      </c>
      <c r="C104" s="95">
        <v>76500</v>
      </c>
      <c r="D104" s="96">
        <v>37400</v>
      </c>
      <c r="E104" s="96">
        <v>17300</v>
      </c>
      <c r="F104" s="96">
        <v>19000</v>
      </c>
      <c r="G104" s="96" t="s">
        <v>281</v>
      </c>
      <c r="H104" s="96">
        <v>190800</v>
      </c>
      <c r="I104" s="96">
        <v>5500</v>
      </c>
      <c r="J104" s="81">
        <v>25300</v>
      </c>
    </row>
    <row r="105" spans="1:10">
      <c r="A105" s="27" t="s">
        <v>159</v>
      </c>
      <c r="B105" s="242">
        <v>540500</v>
      </c>
      <c r="C105" s="95">
        <v>121900</v>
      </c>
      <c r="D105" s="96">
        <v>71900</v>
      </c>
      <c r="E105" s="96">
        <v>21600</v>
      </c>
      <c r="F105" s="96">
        <v>24000</v>
      </c>
      <c r="G105" s="96" t="s">
        <v>281</v>
      </c>
      <c r="H105" s="96">
        <v>232500</v>
      </c>
      <c r="I105" s="96">
        <v>26700</v>
      </c>
      <c r="J105" s="81">
        <v>42000</v>
      </c>
    </row>
    <row r="106" spans="1:10">
      <c r="A106" s="60" t="s">
        <v>160</v>
      </c>
      <c r="B106" s="244">
        <v>521100</v>
      </c>
      <c r="C106" s="232">
        <v>108700</v>
      </c>
      <c r="D106" s="233">
        <v>65100</v>
      </c>
      <c r="E106" s="233">
        <v>22000</v>
      </c>
      <c r="F106" s="233">
        <v>23000</v>
      </c>
      <c r="G106" s="233" t="s">
        <v>281</v>
      </c>
      <c r="H106" s="233">
        <v>220800</v>
      </c>
      <c r="I106" s="233">
        <v>34900</v>
      </c>
      <c r="J106" s="234">
        <v>46700</v>
      </c>
    </row>
    <row r="107" spans="1:10">
      <c r="A107" s="27" t="s">
        <v>161</v>
      </c>
      <c r="B107" s="242">
        <v>525500</v>
      </c>
      <c r="C107" s="95">
        <v>113400</v>
      </c>
      <c r="D107" s="96">
        <v>70100</v>
      </c>
      <c r="E107" s="96">
        <v>21400</v>
      </c>
      <c r="F107" s="96">
        <v>24400</v>
      </c>
      <c r="G107" s="96" t="s">
        <v>281</v>
      </c>
      <c r="H107" s="96">
        <v>211900</v>
      </c>
      <c r="I107" s="96">
        <v>38000</v>
      </c>
      <c r="J107" s="81">
        <v>46400</v>
      </c>
    </row>
    <row r="108" spans="1:10">
      <c r="A108" s="27" t="s">
        <v>162</v>
      </c>
      <c r="B108" s="242">
        <v>540000</v>
      </c>
      <c r="C108" s="95">
        <v>124500</v>
      </c>
      <c r="D108" s="96">
        <v>67800</v>
      </c>
      <c r="E108" s="96">
        <v>22100</v>
      </c>
      <c r="F108" s="96">
        <v>24300</v>
      </c>
      <c r="G108" s="96" t="s">
        <v>281</v>
      </c>
      <c r="H108" s="96">
        <v>218200</v>
      </c>
      <c r="I108" s="96">
        <v>38200</v>
      </c>
      <c r="J108" s="81">
        <v>45000</v>
      </c>
    </row>
    <row r="109" spans="1:10">
      <c r="A109" s="27" t="s">
        <v>163</v>
      </c>
      <c r="B109" s="242">
        <v>572600</v>
      </c>
      <c r="C109" s="95">
        <v>129100</v>
      </c>
      <c r="D109" s="96">
        <v>71900</v>
      </c>
      <c r="E109" s="96">
        <v>23300</v>
      </c>
      <c r="F109" s="96">
        <v>26100</v>
      </c>
      <c r="G109" s="96" t="s">
        <v>281</v>
      </c>
      <c r="H109" s="96">
        <v>232300</v>
      </c>
      <c r="I109" s="96">
        <v>45000</v>
      </c>
      <c r="J109" s="81">
        <v>44800</v>
      </c>
    </row>
    <row r="110" spans="1:10">
      <c r="A110" s="60" t="s">
        <v>164</v>
      </c>
      <c r="B110" s="244">
        <v>575500</v>
      </c>
      <c r="C110" s="232">
        <v>129200</v>
      </c>
      <c r="D110" s="233">
        <v>67900</v>
      </c>
      <c r="E110" s="233">
        <v>24800</v>
      </c>
      <c r="F110" s="233">
        <v>26300</v>
      </c>
      <c r="G110" s="233" t="s">
        <v>281</v>
      </c>
      <c r="H110" s="233">
        <v>228700</v>
      </c>
      <c r="I110" s="233">
        <v>52900</v>
      </c>
      <c r="J110" s="234">
        <v>45600</v>
      </c>
    </row>
    <row r="111" spans="1:10">
      <c r="A111" s="27" t="s">
        <v>165</v>
      </c>
      <c r="B111" s="242">
        <v>570700</v>
      </c>
      <c r="C111" s="95">
        <v>110900</v>
      </c>
      <c r="D111" s="96">
        <v>68100</v>
      </c>
      <c r="E111" s="96">
        <v>21200</v>
      </c>
      <c r="F111" s="96">
        <v>26900</v>
      </c>
      <c r="G111" s="96" t="s">
        <v>281</v>
      </c>
      <c r="H111" s="96">
        <v>248500</v>
      </c>
      <c r="I111" s="96">
        <v>51900</v>
      </c>
      <c r="J111" s="81">
        <v>43200</v>
      </c>
    </row>
    <row r="112" spans="1:10">
      <c r="A112" s="27" t="s">
        <v>166</v>
      </c>
      <c r="B112" s="242">
        <v>566400</v>
      </c>
      <c r="C112" s="95">
        <v>99200</v>
      </c>
      <c r="D112" s="96">
        <v>67100</v>
      </c>
      <c r="E112" s="96">
        <v>21100</v>
      </c>
      <c r="F112" s="96">
        <v>27100</v>
      </c>
      <c r="G112" s="96" t="s">
        <v>281</v>
      </c>
      <c r="H112" s="96">
        <v>256400</v>
      </c>
      <c r="I112" s="96">
        <v>53100</v>
      </c>
      <c r="J112" s="81">
        <v>42500</v>
      </c>
    </row>
    <row r="113" spans="1:10">
      <c r="A113" s="27" t="s">
        <v>167</v>
      </c>
      <c r="B113" s="242">
        <v>547700</v>
      </c>
      <c r="C113" s="95">
        <v>94800</v>
      </c>
      <c r="D113" s="96">
        <v>67100</v>
      </c>
      <c r="E113" s="96">
        <v>20500</v>
      </c>
      <c r="F113" s="96">
        <v>27300</v>
      </c>
      <c r="G113" s="96" t="s">
        <v>281</v>
      </c>
      <c r="H113" s="96">
        <v>243500</v>
      </c>
      <c r="I113" s="96">
        <v>50700</v>
      </c>
      <c r="J113" s="81">
        <v>43800</v>
      </c>
    </row>
    <row r="114" spans="1:10">
      <c r="A114" s="60" t="s">
        <v>168</v>
      </c>
      <c r="B114" s="244">
        <v>574200</v>
      </c>
      <c r="C114" s="232">
        <v>89800</v>
      </c>
      <c r="D114" s="233">
        <v>66400</v>
      </c>
      <c r="E114" s="233">
        <v>19500</v>
      </c>
      <c r="F114" s="233">
        <v>28000</v>
      </c>
      <c r="G114" s="233" t="s">
        <v>281</v>
      </c>
      <c r="H114" s="233">
        <v>270400</v>
      </c>
      <c r="I114" s="233">
        <v>55400</v>
      </c>
      <c r="J114" s="234">
        <v>44800</v>
      </c>
    </row>
    <row r="115" spans="1:10">
      <c r="A115" s="27" t="s">
        <v>169</v>
      </c>
      <c r="B115" s="242">
        <v>558600</v>
      </c>
      <c r="C115" s="95">
        <v>87800</v>
      </c>
      <c r="D115" s="96">
        <v>68200</v>
      </c>
      <c r="E115" s="96">
        <v>19400</v>
      </c>
      <c r="F115" s="96">
        <v>28100</v>
      </c>
      <c r="G115" s="96" t="s">
        <v>281</v>
      </c>
      <c r="H115" s="96">
        <v>255300</v>
      </c>
      <c r="I115" s="96">
        <v>55200</v>
      </c>
      <c r="J115" s="81">
        <v>44700</v>
      </c>
    </row>
    <row r="116" spans="1:10">
      <c r="A116" s="27" t="s">
        <v>170</v>
      </c>
      <c r="B116" s="242">
        <v>560100</v>
      </c>
      <c r="C116" s="95">
        <v>85400</v>
      </c>
      <c r="D116" s="96">
        <v>65100</v>
      </c>
      <c r="E116" s="96">
        <v>19500</v>
      </c>
      <c r="F116" s="96">
        <v>28200</v>
      </c>
      <c r="G116" s="96" t="s">
        <v>281</v>
      </c>
      <c r="H116" s="96">
        <v>259300</v>
      </c>
      <c r="I116" s="96">
        <v>57900</v>
      </c>
      <c r="J116" s="81">
        <v>44700</v>
      </c>
    </row>
    <row r="117" spans="1:10">
      <c r="A117" s="27" t="s">
        <v>171</v>
      </c>
      <c r="B117" s="242">
        <v>544100</v>
      </c>
      <c r="C117" s="95">
        <v>87300</v>
      </c>
      <c r="D117" s="96">
        <v>64300</v>
      </c>
      <c r="E117" s="96">
        <v>18700</v>
      </c>
      <c r="F117" s="96">
        <v>27100</v>
      </c>
      <c r="G117" s="96" t="s">
        <v>281</v>
      </c>
      <c r="H117" s="96">
        <v>244900</v>
      </c>
      <c r="I117" s="96">
        <v>56900</v>
      </c>
      <c r="J117" s="81">
        <v>44900</v>
      </c>
    </row>
    <row r="118" spans="1:10">
      <c r="A118" s="60" t="s">
        <v>172</v>
      </c>
      <c r="B118" s="244">
        <v>549700</v>
      </c>
      <c r="C118" s="232">
        <v>89300</v>
      </c>
      <c r="D118" s="233">
        <v>64700</v>
      </c>
      <c r="E118" s="233">
        <v>17900</v>
      </c>
      <c r="F118" s="233">
        <v>27700</v>
      </c>
      <c r="G118" s="233" t="s">
        <v>281</v>
      </c>
      <c r="H118" s="233">
        <v>244900</v>
      </c>
      <c r="I118" s="233">
        <v>58100</v>
      </c>
      <c r="J118" s="234">
        <v>47200</v>
      </c>
    </row>
    <row r="119" spans="1:10">
      <c r="A119" s="27" t="s">
        <v>173</v>
      </c>
      <c r="B119" s="242">
        <v>566700</v>
      </c>
      <c r="C119" s="95">
        <v>88200</v>
      </c>
      <c r="D119" s="96">
        <v>59400</v>
      </c>
      <c r="E119" s="96">
        <v>19000</v>
      </c>
      <c r="F119" s="96">
        <v>28100</v>
      </c>
      <c r="G119" s="96" t="s">
        <v>281</v>
      </c>
      <c r="H119" s="96">
        <v>264200</v>
      </c>
      <c r="I119" s="96">
        <v>60000</v>
      </c>
      <c r="J119" s="81">
        <v>47800</v>
      </c>
    </row>
    <row r="120" spans="1:10">
      <c r="A120" s="27" t="s">
        <v>174</v>
      </c>
      <c r="B120" s="242">
        <v>555400</v>
      </c>
      <c r="C120" s="95">
        <v>86400</v>
      </c>
      <c r="D120" s="96">
        <v>60900</v>
      </c>
      <c r="E120" s="96">
        <v>17500</v>
      </c>
      <c r="F120" s="96">
        <v>28400</v>
      </c>
      <c r="G120" s="96" t="s">
        <v>281</v>
      </c>
      <c r="H120" s="96">
        <v>255700</v>
      </c>
      <c r="I120" s="96">
        <v>57700</v>
      </c>
      <c r="J120" s="81">
        <v>48700</v>
      </c>
    </row>
    <row r="121" spans="1:10">
      <c r="A121" s="27" t="s">
        <v>175</v>
      </c>
      <c r="B121" s="242">
        <v>534000</v>
      </c>
      <c r="C121" s="95">
        <v>79600</v>
      </c>
      <c r="D121" s="96">
        <v>57000</v>
      </c>
      <c r="E121" s="96">
        <v>18100</v>
      </c>
      <c r="F121" s="96">
        <v>28400</v>
      </c>
      <c r="G121" s="96" t="s">
        <v>281</v>
      </c>
      <c r="H121" s="96">
        <v>248400</v>
      </c>
      <c r="I121" s="96">
        <v>55200</v>
      </c>
      <c r="J121" s="81">
        <v>47400</v>
      </c>
    </row>
    <row r="122" spans="1:10">
      <c r="A122" s="60" t="s">
        <v>176</v>
      </c>
      <c r="B122" s="244">
        <v>521500</v>
      </c>
      <c r="C122" s="232">
        <v>74100</v>
      </c>
      <c r="D122" s="233">
        <v>56300</v>
      </c>
      <c r="E122" s="233">
        <v>19100</v>
      </c>
      <c r="F122" s="233">
        <v>27600</v>
      </c>
      <c r="G122" s="233" t="s">
        <v>281</v>
      </c>
      <c r="H122" s="233">
        <v>249200</v>
      </c>
      <c r="I122" s="233">
        <v>48600</v>
      </c>
      <c r="J122" s="234">
        <v>46600</v>
      </c>
    </row>
    <row r="123" spans="1:10">
      <c r="A123" s="27" t="s">
        <v>177</v>
      </c>
      <c r="B123" s="242">
        <v>531300</v>
      </c>
      <c r="C123" s="95">
        <v>72700</v>
      </c>
      <c r="D123" s="96">
        <v>58200</v>
      </c>
      <c r="E123" s="96">
        <v>19000</v>
      </c>
      <c r="F123" s="96">
        <v>28100</v>
      </c>
      <c r="G123" s="96" t="s">
        <v>281</v>
      </c>
      <c r="H123" s="96">
        <v>246600</v>
      </c>
      <c r="I123" s="96">
        <v>45200</v>
      </c>
      <c r="J123" s="81">
        <v>61600</v>
      </c>
    </row>
    <row r="124" spans="1:10">
      <c r="A124" s="27" t="s">
        <v>178</v>
      </c>
      <c r="B124" s="242">
        <v>756800</v>
      </c>
      <c r="C124" s="95">
        <v>72700</v>
      </c>
      <c r="D124" s="96">
        <v>55800</v>
      </c>
      <c r="E124" s="96">
        <v>18200</v>
      </c>
      <c r="F124" s="96">
        <v>27700</v>
      </c>
      <c r="G124" s="96" t="s">
        <v>282</v>
      </c>
      <c r="H124" s="96">
        <v>475400</v>
      </c>
      <c r="I124" s="96">
        <v>38500</v>
      </c>
      <c r="J124" s="81">
        <v>68600</v>
      </c>
    </row>
    <row r="125" spans="1:10">
      <c r="A125" s="27"/>
      <c r="B125" s="242"/>
      <c r="C125" s="95"/>
      <c r="D125" s="96"/>
      <c r="E125" s="96"/>
      <c r="F125" s="96"/>
      <c r="G125" s="96"/>
      <c r="H125" s="96"/>
      <c r="I125" s="96"/>
      <c r="J125" s="81"/>
    </row>
    <row r="126" spans="1:10">
      <c r="A126" s="99"/>
      <c r="B126" s="246"/>
      <c r="C126" s="100"/>
      <c r="D126" s="101"/>
      <c r="E126" s="101"/>
      <c r="F126" s="101"/>
      <c r="G126" s="101"/>
      <c r="H126" s="101"/>
      <c r="I126" s="101"/>
      <c r="J126" s="102"/>
    </row>
    <row r="127" spans="1:10">
      <c r="A127" s="27"/>
      <c r="B127" s="242"/>
      <c r="C127" s="95"/>
      <c r="D127" s="96"/>
      <c r="E127" s="96"/>
      <c r="F127" s="96"/>
      <c r="G127" s="96"/>
      <c r="H127" s="96"/>
      <c r="I127" s="96"/>
      <c r="J127" s="81"/>
    </row>
    <row r="128" spans="1:10">
      <c r="A128" s="27"/>
      <c r="B128" s="242"/>
      <c r="C128" s="95"/>
      <c r="D128" s="96"/>
      <c r="E128" s="96"/>
      <c r="F128" s="96"/>
      <c r="G128" s="96"/>
      <c r="H128" s="96"/>
      <c r="I128" s="96"/>
      <c r="J128" s="81"/>
    </row>
    <row r="129" spans="1:10">
      <c r="A129" s="27"/>
      <c r="B129" s="242"/>
      <c r="C129" s="95"/>
      <c r="D129" s="96"/>
      <c r="E129" s="96"/>
      <c r="F129" s="96"/>
      <c r="G129" s="96"/>
      <c r="H129" s="96"/>
      <c r="I129" s="96"/>
      <c r="J129" s="81"/>
    </row>
    <row r="130" spans="1:10">
      <c r="A130" s="27"/>
      <c r="B130" s="242"/>
      <c r="C130" s="95"/>
      <c r="D130" s="96"/>
      <c r="E130" s="96"/>
      <c r="F130" s="96"/>
      <c r="G130" s="96"/>
      <c r="H130" s="96"/>
      <c r="I130" s="96"/>
      <c r="J130" s="81"/>
    </row>
    <row r="131" spans="1:10">
      <c r="A131" s="27"/>
      <c r="B131" s="242"/>
      <c r="C131" s="95"/>
      <c r="D131" s="96"/>
      <c r="E131" s="96"/>
      <c r="F131" s="96"/>
      <c r="G131" s="96"/>
      <c r="H131" s="96"/>
      <c r="I131" s="96"/>
      <c r="J131" s="81"/>
    </row>
    <row r="132" spans="1:10">
      <c r="A132" s="27"/>
      <c r="B132" s="242"/>
      <c r="C132" s="95"/>
      <c r="D132" s="96"/>
      <c r="E132" s="96"/>
      <c r="F132" s="96"/>
      <c r="G132" s="96"/>
      <c r="H132" s="96"/>
      <c r="I132" s="96"/>
      <c r="J132" s="81"/>
    </row>
    <row r="133" spans="1:10">
      <c r="A133" s="27"/>
      <c r="B133" s="242"/>
      <c r="C133" s="95"/>
      <c r="D133" s="96"/>
      <c r="E133" s="96"/>
      <c r="F133" s="96"/>
      <c r="G133" s="96"/>
      <c r="H133" s="96"/>
      <c r="I133" s="96"/>
      <c r="J133" s="81"/>
    </row>
    <row r="134" spans="1:10">
      <c r="A134" s="27"/>
      <c r="B134" s="242"/>
      <c r="C134" s="95"/>
      <c r="D134" s="96"/>
      <c r="E134" s="96"/>
      <c r="F134" s="96"/>
      <c r="G134" s="96"/>
      <c r="H134" s="96"/>
      <c r="I134" s="96"/>
      <c r="J134" s="81"/>
    </row>
    <row r="135" spans="1:10">
      <c r="A135" s="27"/>
      <c r="B135" s="242"/>
      <c r="C135" s="95"/>
      <c r="D135" s="96"/>
      <c r="E135" s="96"/>
      <c r="F135" s="96"/>
      <c r="G135" s="96"/>
      <c r="H135" s="96"/>
      <c r="I135" s="96"/>
      <c r="J135" s="81"/>
    </row>
    <row r="136" spans="1:10">
      <c r="A136" s="27"/>
      <c r="B136" s="242"/>
      <c r="C136" s="95"/>
      <c r="D136" s="96"/>
      <c r="E136" s="96"/>
      <c r="F136" s="96"/>
      <c r="G136" s="96"/>
      <c r="H136" s="96"/>
      <c r="I136" s="96"/>
      <c r="J136" s="81"/>
    </row>
    <row r="137" spans="1:10">
      <c r="A137" s="27"/>
      <c r="B137" s="242"/>
      <c r="C137" s="95"/>
      <c r="D137" s="96"/>
      <c r="E137" s="96"/>
      <c r="F137" s="96"/>
      <c r="G137" s="96"/>
      <c r="H137" s="96"/>
      <c r="I137" s="96"/>
      <c r="J137" s="81"/>
    </row>
    <row r="138" spans="1:10">
      <c r="A138" s="99"/>
      <c r="B138" s="246"/>
      <c r="C138" s="100"/>
      <c r="D138" s="101"/>
      <c r="E138" s="101"/>
      <c r="F138" s="101"/>
      <c r="G138" s="101"/>
      <c r="H138" s="101"/>
      <c r="I138" s="101"/>
      <c r="J138" s="102"/>
    </row>
    <row r="139" spans="1:10">
      <c r="A139" s="27"/>
      <c r="B139" s="242"/>
      <c r="C139" s="95"/>
      <c r="D139" s="96"/>
      <c r="E139" s="96"/>
      <c r="F139" s="96"/>
      <c r="G139" s="96"/>
      <c r="H139" s="96"/>
      <c r="I139" s="96"/>
      <c r="J139" s="81"/>
    </row>
    <row r="140" spans="1:10">
      <c r="A140" s="27"/>
      <c r="B140" s="242"/>
      <c r="C140" s="95"/>
      <c r="D140" s="96"/>
      <c r="E140" s="96"/>
      <c r="F140" s="96"/>
      <c r="G140" s="96"/>
      <c r="H140" s="96"/>
      <c r="I140" s="96"/>
      <c r="J140" s="81"/>
    </row>
    <row r="141" spans="1:10">
      <c r="A141" s="27"/>
      <c r="B141" s="242"/>
      <c r="C141" s="95"/>
      <c r="D141" s="96"/>
      <c r="E141" s="96"/>
      <c r="F141" s="96"/>
      <c r="G141" s="96"/>
      <c r="H141" s="96"/>
      <c r="I141" s="96"/>
      <c r="J141" s="81"/>
    </row>
    <row r="142" spans="1:10">
      <c r="A142" s="27"/>
      <c r="B142" s="242"/>
      <c r="C142" s="95"/>
      <c r="D142" s="96"/>
      <c r="E142" s="96"/>
      <c r="F142" s="96"/>
      <c r="G142" s="96"/>
      <c r="H142" s="96"/>
      <c r="I142" s="96"/>
      <c r="J142" s="81"/>
    </row>
    <row r="143" spans="1:10">
      <c r="A143" s="27"/>
      <c r="B143" s="242"/>
      <c r="C143" s="95"/>
      <c r="D143" s="96"/>
      <c r="E143" s="96"/>
      <c r="F143" s="96"/>
      <c r="G143" s="96"/>
      <c r="H143" s="96"/>
      <c r="I143" s="96"/>
      <c r="J143" s="81"/>
    </row>
    <row r="144" spans="1:10">
      <c r="A144" s="27"/>
      <c r="B144" s="242"/>
      <c r="C144" s="95"/>
      <c r="D144" s="96"/>
      <c r="E144" s="96"/>
      <c r="F144" s="96"/>
      <c r="G144" s="96"/>
      <c r="H144" s="96"/>
      <c r="I144" s="96"/>
      <c r="J144" s="81"/>
    </row>
    <row r="145" spans="1:10">
      <c r="A145" s="27"/>
      <c r="B145" s="242"/>
      <c r="C145" s="95"/>
      <c r="D145" s="96"/>
      <c r="E145" s="96"/>
      <c r="F145" s="96"/>
      <c r="G145" s="96"/>
      <c r="H145" s="96"/>
      <c r="I145" s="96"/>
      <c r="J145" s="81"/>
    </row>
    <row r="146" spans="1:10">
      <c r="A146" s="27"/>
      <c r="B146" s="242"/>
      <c r="C146" s="95"/>
      <c r="D146" s="96"/>
      <c r="E146" s="96"/>
      <c r="F146" s="96"/>
      <c r="G146" s="96"/>
      <c r="H146" s="96"/>
      <c r="I146" s="96"/>
      <c r="J146" s="81"/>
    </row>
    <row r="147" spans="1:10">
      <c r="A147" s="27"/>
      <c r="B147" s="242"/>
      <c r="C147" s="95"/>
      <c r="D147" s="96"/>
      <c r="E147" s="96"/>
      <c r="F147" s="96"/>
      <c r="G147" s="96"/>
      <c r="H147" s="96"/>
      <c r="I147" s="96"/>
      <c r="J147" s="81"/>
    </row>
    <row r="148" spans="1:10">
      <c r="A148" s="27"/>
      <c r="B148" s="242"/>
      <c r="C148" s="95"/>
      <c r="D148" s="96"/>
      <c r="E148" s="96"/>
      <c r="F148" s="96"/>
      <c r="G148" s="96"/>
      <c r="H148" s="96"/>
      <c r="I148" s="96"/>
      <c r="J148" s="81"/>
    </row>
    <row r="149" spans="1:10">
      <c r="A149" s="27"/>
      <c r="B149" s="242"/>
      <c r="C149" s="95"/>
      <c r="D149" s="96"/>
      <c r="E149" s="96"/>
      <c r="F149" s="96"/>
      <c r="G149" s="96"/>
      <c r="H149" s="96"/>
      <c r="I149" s="96"/>
      <c r="J149" s="81"/>
    </row>
    <row r="150" spans="1:10">
      <c r="A150" s="99"/>
      <c r="B150" s="246"/>
      <c r="C150" s="100"/>
      <c r="D150" s="101"/>
      <c r="E150" s="101"/>
      <c r="F150" s="101"/>
      <c r="G150" s="101"/>
      <c r="H150" s="101"/>
      <c r="I150" s="101"/>
      <c r="J150" s="102"/>
    </row>
    <row r="151" spans="1:10">
      <c r="A151" s="27"/>
      <c r="B151" s="242"/>
      <c r="C151" s="95"/>
      <c r="D151" s="96"/>
      <c r="E151" s="96"/>
      <c r="F151" s="96"/>
      <c r="G151" s="96"/>
      <c r="H151" s="96"/>
      <c r="I151" s="96"/>
      <c r="J151" s="81"/>
    </row>
    <row r="152" spans="1:10">
      <c r="A152" s="27"/>
      <c r="B152" s="242"/>
      <c r="C152" s="95"/>
      <c r="D152" s="96"/>
      <c r="E152" s="96"/>
      <c r="F152" s="96"/>
      <c r="G152" s="96"/>
      <c r="H152" s="96"/>
      <c r="I152" s="96"/>
      <c r="J152" s="81"/>
    </row>
    <row r="153" spans="1:10">
      <c r="A153" s="27"/>
      <c r="B153" s="242"/>
      <c r="C153" s="95"/>
      <c r="D153" s="96"/>
      <c r="E153" s="96"/>
      <c r="F153" s="96"/>
      <c r="G153" s="96"/>
      <c r="H153" s="96"/>
      <c r="I153" s="96"/>
      <c r="J153" s="81"/>
    </row>
    <row r="154" spans="1:10">
      <c r="A154" s="27"/>
      <c r="B154" s="242"/>
      <c r="C154" s="95"/>
      <c r="D154" s="96"/>
      <c r="E154" s="96"/>
      <c r="F154" s="96"/>
      <c r="G154" s="96"/>
      <c r="H154" s="96"/>
      <c r="I154" s="96"/>
      <c r="J154" s="81"/>
    </row>
    <row r="155" spans="1:10">
      <c r="A155" s="27"/>
      <c r="B155" s="242"/>
      <c r="C155" s="95"/>
      <c r="D155" s="96"/>
      <c r="E155" s="96"/>
      <c r="F155" s="96"/>
      <c r="G155" s="96"/>
      <c r="H155" s="96"/>
      <c r="I155" s="96"/>
      <c r="J155" s="81"/>
    </row>
    <row r="156" spans="1:10">
      <c r="A156" s="27"/>
      <c r="B156" s="242"/>
      <c r="C156" s="95"/>
      <c r="D156" s="96"/>
      <c r="E156" s="96"/>
      <c r="F156" s="96"/>
      <c r="G156" s="96"/>
      <c r="H156" s="96"/>
      <c r="I156" s="96"/>
      <c r="J156" s="81"/>
    </row>
    <row r="157" spans="1:10">
      <c r="A157" s="27"/>
      <c r="B157" s="242"/>
      <c r="C157" s="95"/>
      <c r="D157" s="96"/>
      <c r="E157" s="96"/>
      <c r="F157" s="96"/>
      <c r="G157" s="96"/>
      <c r="H157" s="96"/>
      <c r="I157" s="96"/>
      <c r="J157" s="81"/>
    </row>
    <row r="158" spans="1:10">
      <c r="A158" s="27"/>
      <c r="B158" s="242"/>
      <c r="C158" s="95"/>
      <c r="D158" s="96"/>
      <c r="E158" s="96"/>
      <c r="F158" s="96"/>
      <c r="G158" s="96"/>
      <c r="H158" s="96"/>
      <c r="I158" s="96"/>
      <c r="J158" s="81"/>
    </row>
    <row r="159" spans="1:10">
      <c r="A159" s="27"/>
      <c r="B159" s="242"/>
      <c r="C159" s="95"/>
      <c r="D159" s="96"/>
      <c r="E159" s="96"/>
      <c r="F159" s="96"/>
      <c r="G159" s="96"/>
      <c r="H159" s="96"/>
      <c r="I159" s="96"/>
      <c r="J159" s="81"/>
    </row>
    <row r="160" spans="1:10">
      <c r="A160" s="27"/>
      <c r="B160" s="242"/>
      <c r="C160" s="95"/>
      <c r="D160" s="96"/>
      <c r="E160" s="96"/>
      <c r="F160" s="96"/>
      <c r="G160" s="96"/>
      <c r="H160" s="96"/>
      <c r="I160" s="96"/>
      <c r="J160" s="81"/>
    </row>
    <row r="161" spans="1:10">
      <c r="A161" s="27"/>
      <c r="B161" s="242"/>
      <c r="C161" s="95"/>
      <c r="D161" s="96"/>
      <c r="E161" s="96"/>
      <c r="F161" s="96"/>
      <c r="G161" s="96"/>
      <c r="H161" s="96"/>
      <c r="I161" s="96"/>
      <c r="J161" s="81"/>
    </row>
    <row r="162" spans="1:10">
      <c r="A162" s="99"/>
      <c r="B162" s="246"/>
      <c r="C162" s="100"/>
      <c r="D162" s="101"/>
      <c r="E162" s="101"/>
      <c r="F162" s="101"/>
      <c r="G162" s="101"/>
      <c r="H162" s="101"/>
      <c r="I162" s="101"/>
      <c r="J162" s="102"/>
    </row>
    <row r="163" spans="1:10">
      <c r="A163" s="27"/>
      <c r="B163" s="242"/>
      <c r="C163" s="95"/>
      <c r="D163" s="96"/>
      <c r="E163" s="96"/>
      <c r="F163" s="96"/>
      <c r="G163" s="96"/>
      <c r="H163" s="96"/>
      <c r="I163" s="96"/>
      <c r="J163" s="81"/>
    </row>
    <row r="164" spans="1:10">
      <c r="A164" s="27"/>
      <c r="B164" s="242"/>
      <c r="C164" s="95"/>
      <c r="D164" s="96"/>
      <c r="E164" s="96"/>
      <c r="F164" s="96"/>
      <c r="G164" s="96"/>
      <c r="H164" s="96"/>
      <c r="I164" s="96"/>
      <c r="J164" s="81"/>
    </row>
    <row r="165" spans="1:10">
      <c r="A165" s="27"/>
      <c r="B165" s="242"/>
      <c r="C165" s="95"/>
      <c r="D165" s="96"/>
      <c r="E165" s="96"/>
      <c r="F165" s="96"/>
      <c r="G165" s="96"/>
      <c r="H165" s="96"/>
      <c r="I165" s="96"/>
      <c r="J165" s="81"/>
    </row>
    <row r="166" spans="1:10">
      <c r="A166" s="27"/>
      <c r="B166" s="242"/>
      <c r="C166" s="95"/>
      <c r="D166" s="96"/>
      <c r="E166" s="96"/>
      <c r="F166" s="96"/>
      <c r="G166" s="96"/>
      <c r="H166" s="96"/>
      <c r="I166" s="96"/>
      <c r="J166" s="81"/>
    </row>
    <row r="167" spans="1:10">
      <c r="A167" s="27"/>
      <c r="B167" s="242"/>
      <c r="C167" s="95"/>
      <c r="D167" s="96"/>
      <c r="E167" s="96"/>
      <c r="F167" s="96"/>
      <c r="G167" s="96"/>
      <c r="H167" s="96"/>
      <c r="I167" s="96"/>
      <c r="J167" s="81"/>
    </row>
    <row r="168" spans="1:10">
      <c r="A168" s="27"/>
      <c r="B168" s="242"/>
      <c r="C168" s="95"/>
      <c r="D168" s="96"/>
      <c r="E168" s="96"/>
      <c r="F168" s="96"/>
      <c r="G168" s="96"/>
      <c r="H168" s="96"/>
      <c r="I168" s="96"/>
      <c r="J168" s="81"/>
    </row>
    <row r="169" spans="1:10">
      <c r="A169" s="27"/>
      <c r="B169" s="242"/>
      <c r="C169" s="95"/>
      <c r="D169" s="96"/>
      <c r="E169" s="96"/>
      <c r="F169" s="96"/>
      <c r="G169" s="96"/>
      <c r="H169" s="96"/>
      <c r="I169" s="96"/>
      <c r="J169" s="81"/>
    </row>
    <row r="170" spans="1:10">
      <c r="A170" s="27"/>
      <c r="B170" s="242"/>
      <c r="C170" s="95"/>
      <c r="D170" s="96"/>
      <c r="E170" s="96"/>
      <c r="F170" s="96"/>
      <c r="G170" s="96"/>
      <c r="H170" s="96"/>
      <c r="I170" s="96"/>
      <c r="J170" s="81"/>
    </row>
    <row r="171" spans="1:10">
      <c r="A171" s="27"/>
      <c r="B171" s="242"/>
      <c r="C171" s="95"/>
      <c r="D171" s="96"/>
      <c r="E171" s="96"/>
      <c r="F171" s="96"/>
      <c r="G171" s="96"/>
      <c r="H171" s="96"/>
      <c r="I171" s="96"/>
      <c r="J171" s="81"/>
    </row>
    <row r="172" spans="1:10">
      <c r="A172" s="27"/>
      <c r="B172" s="242"/>
      <c r="C172" s="95"/>
      <c r="D172" s="96"/>
      <c r="E172" s="96"/>
      <c r="F172" s="96"/>
      <c r="G172" s="96"/>
      <c r="H172" s="96"/>
      <c r="I172" s="96"/>
      <c r="J172" s="81"/>
    </row>
    <row r="173" spans="1:10">
      <c r="A173" s="27"/>
      <c r="B173" s="242"/>
      <c r="C173" s="95"/>
      <c r="D173" s="96"/>
      <c r="E173" s="96"/>
      <c r="F173" s="96"/>
      <c r="G173" s="96"/>
      <c r="H173" s="96"/>
      <c r="I173" s="96"/>
      <c r="J173" s="81"/>
    </row>
    <row r="174" spans="1:10">
      <c r="A174" s="99"/>
      <c r="B174" s="246"/>
      <c r="C174" s="100"/>
      <c r="D174" s="101"/>
      <c r="E174" s="101"/>
      <c r="F174" s="101"/>
      <c r="G174" s="101"/>
      <c r="H174" s="101"/>
      <c r="I174" s="101"/>
      <c r="J174" s="102"/>
    </row>
    <row r="175" spans="1:10">
      <c r="A175" s="27"/>
      <c r="B175" s="242"/>
      <c r="C175" s="95"/>
      <c r="D175" s="96"/>
      <c r="E175" s="96"/>
      <c r="F175" s="96"/>
      <c r="G175" s="96"/>
      <c r="H175" s="96"/>
      <c r="I175" s="96"/>
      <c r="J175" s="81"/>
    </row>
    <row r="176" spans="1:10">
      <c r="A176" s="27"/>
      <c r="B176" s="242"/>
      <c r="C176" s="95"/>
      <c r="D176" s="96"/>
      <c r="E176" s="96"/>
      <c r="F176" s="96"/>
      <c r="G176" s="96"/>
      <c r="H176" s="96"/>
      <c r="I176" s="96"/>
      <c r="J176" s="81"/>
    </row>
    <row r="177" spans="1:10">
      <c r="A177" s="27"/>
      <c r="B177" s="247"/>
      <c r="C177" s="95"/>
      <c r="D177" s="96"/>
      <c r="E177" s="96"/>
      <c r="F177" s="96"/>
      <c r="G177" s="96"/>
      <c r="H177" s="96"/>
      <c r="I177" s="96"/>
      <c r="J177" s="81"/>
    </row>
    <row r="178" spans="1:10">
      <c r="A178" s="27"/>
      <c r="B178" s="247"/>
      <c r="C178" s="95"/>
      <c r="D178" s="96"/>
      <c r="E178" s="96"/>
      <c r="F178" s="96"/>
      <c r="G178" s="96"/>
      <c r="H178" s="96"/>
      <c r="I178" s="96"/>
      <c r="J178" s="81"/>
    </row>
    <row r="179" spans="1:10">
      <c r="A179" s="27"/>
      <c r="B179" s="247"/>
      <c r="C179" s="95"/>
      <c r="D179" s="96"/>
      <c r="E179" s="96"/>
      <c r="F179" s="96"/>
      <c r="G179" s="96"/>
      <c r="H179" s="96"/>
      <c r="I179" s="96"/>
      <c r="J179" s="81"/>
    </row>
    <row r="180" spans="1:10">
      <c r="A180" s="27"/>
      <c r="B180" s="247"/>
      <c r="C180" s="95"/>
      <c r="D180" s="96"/>
      <c r="E180" s="96"/>
      <c r="F180" s="96"/>
      <c r="G180" s="96"/>
      <c r="H180" s="96"/>
      <c r="I180" s="96"/>
      <c r="J180" s="81"/>
    </row>
    <row r="181" spans="1:10">
      <c r="A181" s="27"/>
      <c r="B181" s="247"/>
      <c r="C181" s="95"/>
      <c r="D181" s="96"/>
      <c r="E181" s="96"/>
      <c r="F181" s="96"/>
      <c r="G181" s="96"/>
      <c r="H181" s="96"/>
      <c r="I181" s="96"/>
      <c r="J181" s="81"/>
    </row>
    <row r="182" spans="1:10">
      <c r="A182" s="27"/>
      <c r="B182" s="247"/>
      <c r="C182" s="95"/>
      <c r="D182" s="96"/>
      <c r="E182" s="96"/>
      <c r="F182" s="96"/>
      <c r="G182" s="96"/>
      <c r="H182" s="96"/>
      <c r="I182" s="96"/>
      <c r="J182" s="81"/>
    </row>
    <row r="183" spans="1:10">
      <c r="A183" s="27"/>
      <c r="B183" s="247"/>
      <c r="C183" s="95"/>
      <c r="D183" s="96"/>
      <c r="E183" s="96"/>
      <c r="F183" s="96"/>
      <c r="G183" s="96"/>
      <c r="H183" s="96"/>
      <c r="I183" s="96"/>
      <c r="J183" s="81"/>
    </row>
    <row r="184" spans="1:10">
      <c r="A184" s="27"/>
      <c r="B184" s="247"/>
      <c r="C184" s="95"/>
      <c r="D184" s="96"/>
      <c r="E184" s="96"/>
      <c r="F184" s="96"/>
      <c r="G184" s="96"/>
      <c r="H184" s="96"/>
      <c r="I184" s="96"/>
      <c r="J184" s="81"/>
    </row>
    <row r="185" spans="1:10">
      <c r="A185" s="27"/>
      <c r="B185" s="247"/>
      <c r="C185" s="95"/>
      <c r="D185" s="96"/>
      <c r="E185" s="96"/>
      <c r="F185" s="96"/>
      <c r="G185" s="96"/>
      <c r="H185" s="96"/>
      <c r="I185" s="96"/>
      <c r="J185" s="81"/>
    </row>
    <row r="186" spans="1:10">
      <c r="A186" s="99"/>
      <c r="B186" s="248"/>
      <c r="C186" s="100"/>
      <c r="D186" s="101"/>
      <c r="E186" s="101"/>
      <c r="F186" s="101"/>
      <c r="G186" s="101"/>
      <c r="H186" s="101"/>
      <c r="I186" s="101"/>
      <c r="J186" s="102"/>
    </row>
    <row r="187" spans="1:10">
      <c r="A187" s="27"/>
      <c r="B187" s="242"/>
      <c r="C187" s="95"/>
      <c r="D187" s="96"/>
      <c r="E187" s="96"/>
      <c r="F187" s="96"/>
      <c r="G187" s="96"/>
      <c r="H187" s="96"/>
      <c r="I187" s="96"/>
      <c r="J187" s="81"/>
    </row>
    <row r="188" spans="1:10">
      <c r="A188" s="27"/>
      <c r="B188" s="242"/>
      <c r="C188" s="95"/>
      <c r="D188" s="96"/>
      <c r="E188" s="96"/>
      <c r="F188" s="96"/>
      <c r="G188" s="96"/>
      <c r="H188" s="96"/>
      <c r="I188" s="96"/>
      <c r="J188" s="81"/>
    </row>
    <row r="189" spans="1:10">
      <c r="A189" s="27"/>
      <c r="B189" s="242"/>
      <c r="C189" s="95"/>
      <c r="D189" s="96"/>
      <c r="E189" s="96"/>
      <c r="F189" s="96"/>
      <c r="G189" s="96"/>
      <c r="H189" s="96"/>
      <c r="I189" s="96"/>
      <c r="J189" s="81"/>
    </row>
    <row r="190" spans="1:10">
      <c r="A190" s="27"/>
      <c r="B190" s="242"/>
      <c r="C190" s="95"/>
      <c r="D190" s="96"/>
      <c r="E190" s="96"/>
      <c r="F190" s="96"/>
      <c r="G190" s="96"/>
      <c r="H190" s="96"/>
      <c r="I190" s="96"/>
      <c r="J190" s="81"/>
    </row>
    <row r="191" spans="1:10">
      <c r="A191" s="27"/>
      <c r="B191" s="242"/>
      <c r="C191" s="95"/>
      <c r="D191" s="96"/>
      <c r="E191" s="96"/>
      <c r="F191" s="96"/>
      <c r="G191" s="96"/>
      <c r="H191" s="96"/>
      <c r="I191" s="96"/>
      <c r="J191" s="81"/>
    </row>
    <row r="192" spans="1:10">
      <c r="A192" s="27"/>
      <c r="B192" s="242"/>
      <c r="C192" s="95"/>
      <c r="D192" s="96"/>
      <c r="E192" s="96"/>
      <c r="F192" s="96"/>
      <c r="G192" s="96"/>
      <c r="H192" s="96"/>
      <c r="I192" s="96"/>
      <c r="J192" s="81"/>
    </row>
    <row r="193" spans="1:10">
      <c r="A193" s="27"/>
      <c r="B193" s="242"/>
      <c r="C193" s="95"/>
      <c r="D193" s="96"/>
      <c r="E193" s="96"/>
      <c r="F193" s="96"/>
      <c r="G193" s="96"/>
      <c r="H193" s="96"/>
      <c r="I193" s="96"/>
      <c r="J193" s="81"/>
    </row>
    <row r="194" spans="1:10">
      <c r="A194" s="27"/>
      <c r="B194" s="242"/>
      <c r="C194" s="95"/>
      <c r="D194" s="96"/>
      <c r="E194" s="96"/>
      <c r="F194" s="96"/>
      <c r="G194" s="96"/>
      <c r="H194" s="96"/>
      <c r="I194" s="96"/>
      <c r="J194" s="81"/>
    </row>
    <row r="195" spans="1:10">
      <c r="A195" s="27"/>
      <c r="B195" s="242"/>
      <c r="C195" s="95"/>
      <c r="D195" s="96"/>
      <c r="E195" s="96"/>
      <c r="F195" s="96"/>
      <c r="G195" s="96"/>
      <c r="H195" s="96"/>
      <c r="I195" s="96"/>
      <c r="J195" s="81"/>
    </row>
    <row r="196" spans="1:10">
      <c r="A196" s="27"/>
      <c r="B196" s="242"/>
      <c r="C196" s="95"/>
      <c r="D196" s="96"/>
      <c r="E196" s="96"/>
      <c r="F196" s="96"/>
      <c r="G196" s="96"/>
      <c r="H196" s="96"/>
      <c r="I196" s="96"/>
      <c r="J196" s="81"/>
    </row>
    <row r="197" spans="1:10">
      <c r="A197" s="27"/>
      <c r="B197" s="242"/>
      <c r="C197" s="95"/>
      <c r="D197" s="96"/>
      <c r="E197" s="96"/>
      <c r="F197" s="96"/>
      <c r="G197" s="96"/>
      <c r="H197" s="96"/>
      <c r="I197" s="96"/>
      <c r="J197" s="81"/>
    </row>
    <row r="198" spans="1:10">
      <c r="A198" s="99"/>
      <c r="B198" s="246"/>
      <c r="C198" s="100"/>
      <c r="D198" s="101"/>
      <c r="E198" s="101"/>
      <c r="F198" s="101"/>
      <c r="G198" s="101"/>
      <c r="H198" s="101"/>
      <c r="I198" s="101"/>
      <c r="J198" s="102"/>
    </row>
    <row r="199" spans="1:10">
      <c r="A199" s="27"/>
      <c r="B199" s="242"/>
      <c r="C199" s="95"/>
      <c r="D199" s="96"/>
      <c r="E199" s="96"/>
      <c r="F199" s="96"/>
      <c r="G199" s="96"/>
      <c r="H199" s="96"/>
      <c r="I199" s="96"/>
      <c r="J199" s="81"/>
    </row>
    <row r="200" spans="1:10">
      <c r="A200" s="27"/>
      <c r="B200" s="242"/>
      <c r="C200" s="95"/>
      <c r="D200" s="96"/>
      <c r="E200" s="96"/>
      <c r="F200" s="96"/>
      <c r="G200" s="96"/>
      <c r="H200" s="96"/>
      <c r="I200" s="96"/>
      <c r="J200" s="81"/>
    </row>
    <row r="201" spans="1:10">
      <c r="A201" s="27"/>
      <c r="B201" s="242"/>
      <c r="C201" s="95"/>
      <c r="D201" s="96"/>
      <c r="E201" s="96"/>
      <c r="F201" s="96"/>
      <c r="G201" s="96"/>
      <c r="H201" s="96"/>
      <c r="I201" s="96"/>
      <c r="J201" s="81"/>
    </row>
    <row r="202" spans="1:10">
      <c r="A202" s="27"/>
      <c r="B202" s="242"/>
      <c r="C202" s="95"/>
      <c r="D202" s="96"/>
      <c r="E202" s="96"/>
      <c r="F202" s="96"/>
      <c r="G202" s="96"/>
      <c r="H202" s="96"/>
      <c r="I202" s="96"/>
      <c r="J202" s="81"/>
    </row>
    <row r="203" spans="1:10">
      <c r="A203" s="27"/>
      <c r="B203" s="242"/>
      <c r="C203" s="95"/>
      <c r="D203" s="96"/>
      <c r="E203" s="96"/>
      <c r="F203" s="96"/>
      <c r="G203" s="96"/>
      <c r="H203" s="96"/>
      <c r="I203" s="96"/>
      <c r="J203" s="81"/>
    </row>
    <row r="204" spans="1:10">
      <c r="A204" s="27"/>
      <c r="B204" s="242"/>
      <c r="C204" s="95"/>
      <c r="D204" s="96"/>
      <c r="E204" s="96"/>
      <c r="F204" s="96"/>
      <c r="G204" s="96"/>
      <c r="H204" s="96"/>
      <c r="I204" s="96"/>
      <c r="J204" s="81"/>
    </row>
    <row r="205" spans="1:10">
      <c r="A205" s="27"/>
      <c r="B205" s="242"/>
      <c r="C205" s="95"/>
      <c r="D205" s="96"/>
      <c r="E205" s="96"/>
      <c r="F205" s="96"/>
      <c r="G205" s="96"/>
      <c r="H205" s="96"/>
      <c r="I205" s="96"/>
      <c r="J205" s="81"/>
    </row>
    <row r="206" spans="1:10">
      <c r="A206" s="27"/>
      <c r="B206" s="242"/>
      <c r="C206" s="95"/>
      <c r="D206" s="96"/>
      <c r="E206" s="96"/>
      <c r="F206" s="96"/>
      <c r="G206" s="96"/>
      <c r="H206" s="96"/>
      <c r="I206" s="96"/>
      <c r="J206" s="81"/>
    </row>
    <row r="207" spans="1:10">
      <c r="A207" s="27"/>
      <c r="B207" s="242"/>
      <c r="C207" s="95"/>
      <c r="D207" s="96"/>
      <c r="E207" s="96"/>
      <c r="F207" s="96"/>
      <c r="G207" s="96"/>
      <c r="H207" s="96"/>
      <c r="I207" s="96"/>
      <c r="J207" s="81"/>
    </row>
    <row r="208" spans="1:10">
      <c r="A208" s="27"/>
      <c r="B208" s="242"/>
      <c r="C208" s="95"/>
      <c r="D208" s="96"/>
      <c r="E208" s="96"/>
      <c r="F208" s="96"/>
      <c r="G208" s="96"/>
      <c r="H208" s="96"/>
      <c r="I208" s="96"/>
      <c r="J208" s="81"/>
    </row>
    <row r="209" spans="1:10">
      <c r="A209" s="27"/>
      <c r="B209" s="242"/>
      <c r="C209" s="95"/>
      <c r="D209" s="96"/>
      <c r="E209" s="96"/>
      <c r="F209" s="96"/>
      <c r="G209" s="96"/>
      <c r="H209" s="96"/>
      <c r="I209" s="96"/>
      <c r="J209" s="81"/>
    </row>
    <row r="210" spans="1:10">
      <c r="A210" s="99"/>
      <c r="B210" s="246"/>
      <c r="C210" s="100"/>
      <c r="D210" s="101"/>
      <c r="E210" s="101"/>
      <c r="F210" s="101"/>
      <c r="G210" s="101"/>
      <c r="H210" s="101"/>
      <c r="I210" s="101"/>
      <c r="J210" s="102"/>
    </row>
    <row r="211" spans="1:10">
      <c r="A211" s="27"/>
      <c r="B211" s="242"/>
      <c r="C211" s="95"/>
      <c r="D211" s="96"/>
      <c r="E211" s="96"/>
      <c r="F211" s="96"/>
      <c r="G211" s="96"/>
      <c r="H211" s="96"/>
      <c r="I211" s="96"/>
      <c r="J211" s="81"/>
    </row>
    <row r="212" spans="1:10">
      <c r="A212" s="27"/>
      <c r="B212" s="242"/>
      <c r="C212" s="95"/>
      <c r="D212" s="96"/>
      <c r="E212" s="96"/>
      <c r="F212" s="96"/>
      <c r="G212" s="96"/>
      <c r="H212" s="96"/>
      <c r="I212" s="96"/>
      <c r="J212" s="81"/>
    </row>
    <row r="213" spans="1:10">
      <c r="A213" s="27"/>
      <c r="B213" s="242"/>
      <c r="C213" s="95"/>
      <c r="D213" s="96"/>
      <c r="E213" s="96"/>
      <c r="F213" s="96"/>
      <c r="G213" s="96"/>
      <c r="H213" s="96"/>
      <c r="I213" s="96"/>
      <c r="J213" s="81"/>
    </row>
    <row r="214" spans="1:10">
      <c r="A214" s="27"/>
      <c r="B214" s="242"/>
      <c r="C214" s="95"/>
      <c r="D214" s="96"/>
      <c r="E214" s="96"/>
      <c r="F214" s="96"/>
      <c r="G214" s="96"/>
      <c r="H214" s="96"/>
      <c r="I214" s="96"/>
      <c r="J214" s="81"/>
    </row>
    <row r="215" spans="1:10">
      <c r="A215" s="27"/>
      <c r="B215" s="242"/>
      <c r="C215" s="95"/>
      <c r="D215" s="96"/>
      <c r="E215" s="96"/>
      <c r="F215" s="96"/>
      <c r="G215" s="96"/>
      <c r="H215" s="96"/>
      <c r="I215" s="96"/>
      <c r="J215" s="81"/>
    </row>
    <row r="216" spans="1:10">
      <c r="A216" s="27"/>
      <c r="B216" s="242"/>
      <c r="C216" s="95"/>
      <c r="D216" s="96"/>
      <c r="E216" s="96"/>
      <c r="F216" s="96"/>
      <c r="G216" s="96"/>
      <c r="H216" s="96"/>
      <c r="I216" s="96"/>
      <c r="J216" s="81"/>
    </row>
    <row r="217" spans="1:10">
      <c r="A217" s="27"/>
      <c r="B217" s="242"/>
      <c r="C217" s="95"/>
      <c r="D217" s="96"/>
      <c r="E217" s="96"/>
      <c r="F217" s="96"/>
      <c r="G217" s="96"/>
      <c r="H217" s="96"/>
      <c r="I217" s="96"/>
      <c r="J217" s="81"/>
    </row>
    <row r="218" spans="1:10">
      <c r="A218" s="27"/>
      <c r="B218" s="242"/>
      <c r="C218" s="95"/>
      <c r="D218" s="96"/>
      <c r="E218" s="96"/>
      <c r="F218" s="96"/>
      <c r="G218" s="96"/>
      <c r="H218" s="96"/>
      <c r="I218" s="96"/>
      <c r="J218" s="81"/>
    </row>
    <row r="219" spans="1:10">
      <c r="A219" s="27"/>
      <c r="B219" s="242"/>
      <c r="C219" s="95"/>
      <c r="D219" s="96"/>
      <c r="E219" s="96"/>
      <c r="F219" s="96"/>
      <c r="G219" s="96"/>
      <c r="H219" s="96"/>
      <c r="I219" s="96"/>
      <c r="J219" s="81"/>
    </row>
    <row r="220" spans="1:10">
      <c r="A220" s="27"/>
      <c r="B220" s="242"/>
      <c r="C220" s="95"/>
      <c r="D220" s="96"/>
      <c r="E220" s="96"/>
      <c r="F220" s="96"/>
      <c r="G220" s="96"/>
      <c r="H220" s="96"/>
      <c r="I220" s="96"/>
      <c r="J220" s="81"/>
    </row>
    <row r="221" spans="1:10">
      <c r="A221" s="27"/>
      <c r="B221" s="242"/>
      <c r="C221" s="95"/>
      <c r="D221" s="96"/>
      <c r="E221" s="96"/>
      <c r="F221" s="96"/>
      <c r="G221" s="96"/>
      <c r="H221" s="96"/>
      <c r="I221" s="96"/>
      <c r="J221" s="81"/>
    </row>
    <row r="222" spans="1:10">
      <c r="A222" s="99"/>
      <c r="B222" s="246"/>
      <c r="C222" s="100"/>
      <c r="D222" s="101"/>
      <c r="E222" s="101"/>
      <c r="F222" s="101"/>
      <c r="G222" s="101"/>
      <c r="H222" s="101"/>
      <c r="I222" s="101"/>
      <c r="J222" s="102"/>
    </row>
    <row r="223" spans="1:10">
      <c r="A223" s="27"/>
      <c r="B223" s="242"/>
      <c r="C223" s="95"/>
      <c r="D223" s="96"/>
      <c r="E223" s="96"/>
      <c r="F223" s="96"/>
      <c r="G223" s="96"/>
      <c r="H223" s="96"/>
      <c r="I223" s="96"/>
      <c r="J223" s="81"/>
    </row>
    <row r="224" spans="1:10">
      <c r="A224" s="27"/>
      <c r="B224" s="242"/>
      <c r="C224" s="95"/>
      <c r="D224" s="96"/>
      <c r="E224" s="96"/>
      <c r="F224" s="96"/>
      <c r="G224" s="96"/>
      <c r="H224" s="96"/>
      <c r="I224" s="96"/>
      <c r="J224" s="81"/>
    </row>
    <row r="225" spans="1:10">
      <c r="A225" s="27"/>
      <c r="B225" s="242"/>
      <c r="C225" s="95"/>
      <c r="D225" s="96"/>
      <c r="E225" s="96"/>
      <c r="F225" s="96"/>
      <c r="G225" s="96"/>
      <c r="H225" s="96"/>
      <c r="I225" s="96"/>
      <c r="J225" s="81"/>
    </row>
    <row r="226" spans="1:10">
      <c r="A226" s="27"/>
      <c r="B226" s="242"/>
      <c r="C226" s="95"/>
      <c r="D226" s="96"/>
      <c r="E226" s="96"/>
      <c r="F226" s="96"/>
      <c r="G226" s="96"/>
      <c r="H226" s="96"/>
      <c r="I226" s="96"/>
      <c r="J226" s="81"/>
    </row>
    <row r="227" spans="1:10">
      <c r="A227" s="27"/>
      <c r="B227" s="242"/>
      <c r="C227" s="95"/>
      <c r="D227" s="96"/>
      <c r="E227" s="96"/>
      <c r="F227" s="96"/>
      <c r="G227" s="96"/>
      <c r="H227" s="96"/>
      <c r="I227" s="96"/>
      <c r="J227" s="81"/>
    </row>
    <row r="228" spans="1:10">
      <c r="A228" s="27"/>
      <c r="B228" s="242"/>
      <c r="C228" s="95"/>
      <c r="D228" s="96"/>
      <c r="E228" s="96"/>
      <c r="F228" s="96"/>
      <c r="G228" s="96"/>
      <c r="H228" s="96"/>
      <c r="I228" s="96"/>
      <c r="J228" s="81"/>
    </row>
    <row r="229" spans="1:10">
      <c r="A229" s="27"/>
      <c r="B229" s="242"/>
      <c r="C229" s="95"/>
      <c r="D229" s="96"/>
      <c r="E229" s="96"/>
      <c r="F229" s="96"/>
      <c r="G229" s="96"/>
      <c r="H229" s="96"/>
      <c r="I229" s="96"/>
      <c r="J229" s="81"/>
    </row>
    <row r="230" spans="1:10">
      <c r="A230" s="27"/>
      <c r="B230" s="242"/>
      <c r="C230" s="95"/>
      <c r="D230" s="96"/>
      <c r="E230" s="96"/>
      <c r="F230" s="96"/>
      <c r="G230" s="96"/>
      <c r="H230" s="96"/>
      <c r="I230" s="96"/>
      <c r="J230" s="81"/>
    </row>
    <row r="231" spans="1:10">
      <c r="A231" s="27"/>
      <c r="B231" s="242"/>
      <c r="C231" s="95"/>
      <c r="D231" s="96"/>
      <c r="E231" s="96"/>
      <c r="F231" s="96"/>
      <c r="G231" s="96"/>
      <c r="H231" s="96"/>
      <c r="I231" s="96"/>
      <c r="J231" s="81"/>
    </row>
    <row r="232" spans="1:10">
      <c r="A232" s="27"/>
      <c r="B232" s="242"/>
      <c r="C232" s="95"/>
      <c r="D232" s="96"/>
      <c r="E232" s="96"/>
      <c r="F232" s="96"/>
      <c r="G232" s="96"/>
      <c r="H232" s="96"/>
      <c r="I232" s="96"/>
      <c r="J232" s="81"/>
    </row>
    <row r="233" spans="1:10">
      <c r="A233" s="27"/>
      <c r="B233" s="242"/>
      <c r="C233" s="95"/>
      <c r="D233" s="96"/>
      <c r="E233" s="96"/>
      <c r="F233" s="96"/>
      <c r="G233" s="96"/>
      <c r="H233" s="96"/>
      <c r="I233" s="96"/>
      <c r="J233" s="81"/>
    </row>
    <row r="234" spans="1:10">
      <c r="A234" s="99"/>
      <c r="B234" s="246"/>
      <c r="C234" s="100"/>
      <c r="D234" s="101"/>
      <c r="E234" s="101"/>
      <c r="F234" s="101"/>
      <c r="G234" s="101"/>
      <c r="H234" s="101"/>
      <c r="I234" s="101"/>
      <c r="J234" s="102"/>
    </row>
    <row r="235" spans="1:10">
      <c r="A235" s="27"/>
      <c r="B235" s="242"/>
      <c r="C235" s="95"/>
      <c r="D235" s="96"/>
      <c r="E235" s="96"/>
      <c r="F235" s="96"/>
      <c r="G235" s="96"/>
      <c r="H235" s="96"/>
      <c r="I235" s="96"/>
      <c r="J235" s="81"/>
    </row>
    <row r="236" spans="1:10">
      <c r="A236" s="27"/>
      <c r="B236" s="242"/>
      <c r="C236" s="95"/>
      <c r="D236" s="96"/>
      <c r="E236" s="96"/>
      <c r="F236" s="96"/>
      <c r="G236" s="96"/>
      <c r="H236" s="96"/>
      <c r="I236" s="96"/>
      <c r="J236" s="81"/>
    </row>
    <row r="237" spans="1:10">
      <c r="A237" s="27"/>
      <c r="B237" s="242"/>
      <c r="C237" s="95"/>
      <c r="D237" s="96"/>
      <c r="E237" s="96"/>
      <c r="F237" s="96"/>
      <c r="G237" s="96"/>
      <c r="H237" s="96"/>
      <c r="I237" s="96"/>
      <c r="J237" s="81"/>
    </row>
    <row r="238" spans="1:10">
      <c r="A238" s="27"/>
      <c r="B238" s="242"/>
      <c r="C238" s="95"/>
      <c r="D238" s="96"/>
      <c r="E238" s="96"/>
      <c r="F238" s="96"/>
      <c r="G238" s="96"/>
      <c r="H238" s="96"/>
      <c r="I238" s="96"/>
      <c r="J238" s="81"/>
    </row>
    <row r="239" spans="1:10">
      <c r="A239" s="27"/>
      <c r="B239" s="242"/>
      <c r="C239" s="95"/>
      <c r="D239" s="96"/>
      <c r="E239" s="96"/>
      <c r="F239" s="96"/>
      <c r="G239" s="96"/>
      <c r="H239" s="96"/>
      <c r="I239" s="96"/>
      <c r="J239" s="81"/>
    </row>
    <row r="240" spans="1:10">
      <c r="A240" s="27"/>
      <c r="B240" s="242"/>
      <c r="C240" s="95"/>
      <c r="D240" s="96"/>
      <c r="E240" s="96"/>
      <c r="F240" s="96"/>
      <c r="G240" s="96"/>
      <c r="H240" s="96"/>
      <c r="I240" s="96"/>
      <c r="J240" s="81"/>
    </row>
    <row r="241" spans="1:10">
      <c r="A241" s="27"/>
      <c r="B241" s="242"/>
      <c r="C241" s="95"/>
      <c r="D241" s="96"/>
      <c r="E241" s="96"/>
      <c r="F241" s="96"/>
      <c r="G241" s="96"/>
      <c r="H241" s="96"/>
      <c r="I241" s="96"/>
      <c r="J241" s="81"/>
    </row>
    <row r="242" spans="1:10">
      <c r="A242" s="27"/>
      <c r="B242" s="242"/>
      <c r="C242" s="95"/>
      <c r="D242" s="96"/>
      <c r="E242" s="96"/>
      <c r="F242" s="96"/>
      <c r="G242" s="96"/>
      <c r="H242" s="96"/>
      <c r="I242" s="96"/>
      <c r="J242" s="81"/>
    </row>
    <row r="243" spans="1:10">
      <c r="A243" s="27"/>
      <c r="B243" s="242"/>
      <c r="C243" s="95"/>
      <c r="D243" s="96"/>
      <c r="E243" s="96"/>
      <c r="F243" s="96"/>
      <c r="G243" s="96"/>
      <c r="H243" s="96"/>
      <c r="I243" s="96"/>
      <c r="J243" s="81"/>
    </row>
    <row r="244" spans="1:10">
      <c r="A244" s="27"/>
      <c r="B244" s="242"/>
      <c r="C244" s="95"/>
      <c r="D244" s="96"/>
      <c r="E244" s="96"/>
      <c r="F244" s="96"/>
      <c r="G244" s="96"/>
      <c r="H244" s="96"/>
      <c r="I244" s="96"/>
      <c r="J244" s="81"/>
    </row>
    <row r="245" spans="1:10">
      <c r="A245" s="27"/>
      <c r="B245" s="242"/>
      <c r="C245" s="95"/>
      <c r="D245" s="96"/>
      <c r="E245" s="96"/>
      <c r="F245" s="96"/>
      <c r="G245" s="96"/>
      <c r="H245" s="96"/>
      <c r="I245" s="96"/>
      <c r="J245" s="81"/>
    </row>
    <row r="246" spans="1:10">
      <c r="A246" s="99"/>
      <c r="B246" s="246"/>
      <c r="C246" s="100"/>
      <c r="D246" s="101"/>
      <c r="E246" s="101"/>
      <c r="F246" s="101"/>
      <c r="G246" s="101"/>
      <c r="H246" s="101"/>
      <c r="I246" s="101"/>
      <c r="J246" s="102"/>
    </row>
    <row r="247" spans="1:10">
      <c r="A247" s="27"/>
      <c r="B247" s="242"/>
      <c r="C247" s="95"/>
      <c r="D247" s="96"/>
      <c r="E247" s="96"/>
      <c r="F247" s="96"/>
      <c r="G247" s="96"/>
      <c r="H247" s="96"/>
      <c r="I247" s="96"/>
      <c r="J247" s="81"/>
    </row>
    <row r="248" spans="1:10">
      <c r="A248" s="27"/>
      <c r="B248" s="242"/>
      <c r="C248" s="95"/>
      <c r="D248" s="96"/>
      <c r="E248" s="96"/>
      <c r="F248" s="96"/>
      <c r="G248" s="96"/>
      <c r="H248" s="96"/>
      <c r="I248" s="96"/>
      <c r="J248" s="81"/>
    </row>
    <row r="249" spans="1:10">
      <c r="A249" s="27"/>
      <c r="B249" s="242"/>
      <c r="C249" s="95"/>
      <c r="D249" s="96"/>
      <c r="E249" s="96"/>
      <c r="F249" s="96"/>
      <c r="G249" s="96"/>
      <c r="H249" s="96"/>
      <c r="I249" s="96"/>
      <c r="J249" s="81"/>
    </row>
    <row r="250" spans="1:10">
      <c r="A250" s="27"/>
      <c r="B250" s="242"/>
      <c r="C250" s="95"/>
      <c r="D250" s="96"/>
      <c r="E250" s="96"/>
      <c r="F250" s="96"/>
      <c r="G250" s="96"/>
      <c r="H250" s="96"/>
      <c r="I250" s="96"/>
      <c r="J250" s="81"/>
    </row>
    <row r="251" spans="1:10">
      <c r="A251" s="104"/>
      <c r="B251" s="242"/>
      <c r="C251" s="95"/>
      <c r="D251" s="96"/>
      <c r="E251" s="96"/>
      <c r="F251" s="96"/>
      <c r="G251" s="96"/>
      <c r="H251" s="96"/>
      <c r="I251" s="96"/>
      <c r="J251" s="81"/>
    </row>
    <row r="252" spans="1:10">
      <c r="A252" s="104"/>
      <c r="B252" s="242"/>
      <c r="C252" s="95"/>
      <c r="D252" s="96"/>
      <c r="E252" s="96"/>
      <c r="F252" s="96"/>
      <c r="G252" s="96"/>
      <c r="H252" s="96"/>
      <c r="I252" s="96"/>
      <c r="J252" s="81"/>
    </row>
    <row r="253" spans="1:10">
      <c r="A253" s="104"/>
      <c r="B253" s="242"/>
      <c r="C253" s="95"/>
      <c r="D253" s="96"/>
      <c r="E253" s="96"/>
      <c r="F253" s="96"/>
      <c r="G253" s="96"/>
      <c r="H253" s="96"/>
      <c r="I253" s="96"/>
      <c r="J253" s="81"/>
    </row>
    <row r="254" spans="1:10">
      <c r="A254" s="104"/>
      <c r="B254" s="242"/>
      <c r="C254" s="95"/>
      <c r="D254" s="96"/>
      <c r="E254" s="96"/>
      <c r="F254" s="96"/>
      <c r="G254" s="96"/>
      <c r="H254" s="96"/>
      <c r="I254" s="96"/>
      <c r="J254" s="81"/>
    </row>
    <row r="255" spans="1:10">
      <c r="A255" s="104"/>
      <c r="B255" s="242"/>
      <c r="C255" s="95"/>
      <c r="D255" s="96"/>
      <c r="E255" s="96"/>
      <c r="F255" s="96"/>
      <c r="G255" s="96"/>
      <c r="H255" s="96"/>
      <c r="I255" s="96"/>
      <c r="J255" s="81"/>
    </row>
    <row r="256" spans="1:10">
      <c r="A256" s="104"/>
      <c r="B256" s="242"/>
      <c r="C256" s="95"/>
      <c r="D256" s="96"/>
      <c r="E256" s="96"/>
      <c r="F256" s="96"/>
      <c r="G256" s="96"/>
      <c r="H256" s="96"/>
      <c r="I256" s="96"/>
      <c r="J256" s="81"/>
    </row>
    <row r="257" spans="1:10">
      <c r="A257" s="104"/>
      <c r="B257" s="242"/>
      <c r="C257" s="95"/>
      <c r="D257" s="96"/>
      <c r="E257" s="96"/>
      <c r="F257" s="96"/>
      <c r="G257" s="96"/>
      <c r="H257" s="96"/>
      <c r="I257" s="96"/>
      <c r="J257" s="81"/>
    </row>
    <row r="258" spans="1:10">
      <c r="A258" s="99"/>
      <c r="B258" s="246"/>
      <c r="C258" s="100"/>
      <c r="D258" s="101"/>
      <c r="E258" s="101"/>
      <c r="F258" s="101"/>
      <c r="G258" s="101"/>
      <c r="H258" s="101"/>
      <c r="I258" s="101"/>
      <c r="J258" s="102"/>
    </row>
    <row r="259" spans="1:10">
      <c r="A259" s="104"/>
      <c r="B259" s="242"/>
      <c r="C259" s="95"/>
      <c r="D259" s="96"/>
      <c r="E259" s="96"/>
      <c r="F259" s="96"/>
      <c r="G259" s="96"/>
      <c r="H259" s="96"/>
      <c r="I259" s="96"/>
      <c r="J259" s="81"/>
    </row>
    <row r="260" spans="1:10">
      <c r="A260" s="104"/>
      <c r="B260" s="242"/>
      <c r="C260" s="95"/>
      <c r="D260" s="96"/>
      <c r="E260" s="96"/>
      <c r="F260" s="96"/>
      <c r="G260" s="96"/>
      <c r="H260" s="96"/>
      <c r="I260" s="96"/>
      <c r="J260" s="81"/>
    </row>
    <row r="261" spans="1:10">
      <c r="A261" s="104"/>
      <c r="B261" s="242"/>
      <c r="C261" s="95"/>
      <c r="D261" s="96"/>
      <c r="E261" s="96"/>
      <c r="F261" s="96"/>
      <c r="G261" s="96"/>
      <c r="H261" s="96"/>
      <c r="I261" s="96"/>
      <c r="J261" s="81"/>
    </row>
    <row r="262" spans="1:10">
      <c r="A262" s="104"/>
      <c r="B262" s="242"/>
      <c r="C262" s="95"/>
      <c r="D262" s="96"/>
      <c r="E262" s="96"/>
      <c r="F262" s="96"/>
      <c r="G262" s="96"/>
      <c r="H262" s="96"/>
      <c r="I262" s="96"/>
      <c r="J262" s="81"/>
    </row>
    <row r="263" spans="1:10">
      <c r="A263" s="104"/>
      <c r="B263" s="242"/>
      <c r="C263" s="95"/>
      <c r="D263" s="96"/>
      <c r="E263" s="96"/>
      <c r="F263" s="96"/>
      <c r="G263" s="96"/>
      <c r="H263" s="96"/>
      <c r="I263" s="96"/>
      <c r="J263" s="81"/>
    </row>
    <row r="264" spans="1:10">
      <c r="A264" s="104"/>
      <c r="B264" s="242"/>
      <c r="C264" s="95"/>
      <c r="D264" s="96"/>
      <c r="E264" s="96"/>
      <c r="F264" s="96"/>
      <c r="G264" s="96"/>
      <c r="H264" s="96"/>
      <c r="I264" s="96"/>
      <c r="J264" s="81"/>
    </row>
    <row r="265" spans="1:10">
      <c r="A265" s="104"/>
      <c r="B265" s="242"/>
      <c r="C265" s="95"/>
      <c r="D265" s="96"/>
      <c r="E265" s="96"/>
      <c r="F265" s="96"/>
      <c r="G265" s="96"/>
      <c r="H265" s="96"/>
      <c r="I265" s="96"/>
      <c r="J265" s="81"/>
    </row>
    <row r="266" spans="1:10">
      <c r="A266" s="104"/>
      <c r="B266" s="242"/>
      <c r="C266" s="95"/>
      <c r="D266" s="96"/>
      <c r="E266" s="96"/>
      <c r="F266" s="96"/>
      <c r="G266" s="96"/>
      <c r="H266" s="96"/>
      <c r="I266" s="96"/>
      <c r="J266" s="81"/>
    </row>
    <row r="267" spans="1:10">
      <c r="A267" s="104"/>
      <c r="B267" s="242"/>
      <c r="C267" s="95"/>
      <c r="D267" s="96"/>
      <c r="E267" s="96"/>
      <c r="F267" s="96"/>
      <c r="G267" s="96"/>
      <c r="H267" s="96"/>
      <c r="I267" s="96"/>
      <c r="J267" s="81"/>
    </row>
    <row r="268" spans="1:10">
      <c r="A268" s="104"/>
      <c r="B268" s="242"/>
      <c r="C268" s="95"/>
      <c r="D268" s="96"/>
      <c r="E268" s="96"/>
      <c r="F268" s="96"/>
      <c r="G268" s="96"/>
      <c r="H268" s="96"/>
      <c r="I268" s="96"/>
      <c r="J268" s="81"/>
    </row>
    <row r="269" spans="1:10">
      <c r="A269" s="104"/>
      <c r="B269" s="242"/>
      <c r="C269" s="95"/>
      <c r="D269" s="96"/>
      <c r="E269" s="96"/>
      <c r="F269" s="96"/>
      <c r="G269" s="96"/>
      <c r="H269" s="96"/>
      <c r="I269" s="96"/>
      <c r="J269" s="81"/>
    </row>
    <row r="270" spans="1:10">
      <c r="A270" s="99"/>
      <c r="B270" s="246"/>
      <c r="C270" s="100"/>
      <c r="D270" s="101"/>
      <c r="E270" s="101"/>
      <c r="F270" s="101"/>
      <c r="G270" s="101"/>
      <c r="H270" s="101"/>
      <c r="I270" s="101"/>
      <c r="J270" s="102"/>
    </row>
    <row r="271" spans="1:10">
      <c r="A271" s="104"/>
      <c r="B271" s="242"/>
      <c r="C271" s="95"/>
      <c r="D271" s="96"/>
      <c r="E271" s="96"/>
      <c r="F271" s="96"/>
      <c r="G271" s="96"/>
      <c r="H271" s="96"/>
      <c r="I271" s="96"/>
      <c r="J271" s="81"/>
    </row>
    <row r="281" spans="1:1">
      <c r="A281" s="23"/>
    </row>
  </sheetData>
  <phoneticPr fontId="8" type="noConversion"/>
  <pageMargins left="0.7" right="0.7" top="0.75" bottom="0.75" header="0.3" footer="0.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H299"/>
  <sheetViews>
    <sheetView workbookViewId="0">
      <selection activeCell="A33" sqref="A33"/>
    </sheetView>
  </sheetViews>
  <sheetFormatPr defaultColWidth="11.5703125" defaultRowHeight="10.15"/>
  <cols>
    <col min="1" max="1" width="11.5703125" style="55"/>
    <col min="2" max="4" width="11.5703125" style="70"/>
    <col min="5" max="5" width="2.7109375" style="65" customWidth="1"/>
    <col min="6" max="7" width="11.5703125" style="70"/>
    <col min="8" max="8" width="13.5703125" style="70" customWidth="1"/>
    <col min="9" max="16384" width="11.5703125" style="55"/>
  </cols>
  <sheetData>
    <row r="1" spans="1:8">
      <c r="A1" s="23" t="s">
        <v>44</v>
      </c>
      <c r="B1" s="55" t="s">
        <v>283</v>
      </c>
      <c r="C1" s="55"/>
      <c r="D1" s="55"/>
      <c r="E1" s="55"/>
      <c r="F1" s="55"/>
      <c r="G1" s="55"/>
      <c r="H1" s="55"/>
    </row>
    <row r="2" spans="1:8">
      <c r="A2" s="23" t="s">
        <v>46</v>
      </c>
      <c r="B2" s="23" t="s">
        <v>47</v>
      </c>
      <c r="C2" s="55"/>
      <c r="D2" s="55"/>
      <c r="E2" s="55"/>
      <c r="F2" s="55"/>
      <c r="G2" s="55"/>
      <c r="H2" s="55"/>
    </row>
    <row r="3" spans="1:8" ht="11.45">
      <c r="A3" s="23" t="s">
        <v>48</v>
      </c>
      <c r="B3" s="55" t="s">
        <v>284</v>
      </c>
      <c r="C3" s="55"/>
      <c r="D3" s="55"/>
      <c r="E3" s="55"/>
      <c r="F3" s="55"/>
      <c r="G3" s="55"/>
      <c r="H3" s="55"/>
    </row>
    <row r="4" spans="1:8">
      <c r="A4" s="23" t="s">
        <v>50</v>
      </c>
      <c r="B4" s="55" t="s">
        <v>285</v>
      </c>
      <c r="C4" s="55"/>
      <c r="D4" s="55"/>
      <c r="E4" s="55"/>
      <c r="F4" s="55"/>
      <c r="G4" s="55"/>
      <c r="H4" s="55"/>
    </row>
    <row r="5" spans="1:8" ht="11.45">
      <c r="A5" s="16" t="s">
        <v>286</v>
      </c>
      <c r="B5" s="55"/>
      <c r="C5" s="55"/>
      <c r="D5" s="55"/>
      <c r="E5" s="55"/>
      <c r="F5" s="55"/>
      <c r="G5" s="55"/>
      <c r="H5" s="55"/>
    </row>
    <row r="6" spans="1:8" ht="11.45">
      <c r="A6" s="16"/>
      <c r="B6" s="273" t="s">
        <v>222</v>
      </c>
      <c r="C6" s="274"/>
      <c r="D6" s="275"/>
      <c r="E6" s="55"/>
      <c r="F6" s="273" t="s">
        <v>49</v>
      </c>
      <c r="G6" s="274"/>
      <c r="H6" s="275"/>
    </row>
    <row r="7" spans="1:8">
      <c r="A7" s="56" t="s">
        <v>53</v>
      </c>
      <c r="B7" s="28" t="s">
        <v>287</v>
      </c>
      <c r="C7" s="29" t="s">
        <v>288</v>
      </c>
      <c r="D7" s="57" t="s">
        <v>289</v>
      </c>
      <c r="E7" s="58"/>
      <c r="F7" s="28" t="s">
        <v>287</v>
      </c>
      <c r="G7" s="29" t="s">
        <v>290</v>
      </c>
      <c r="H7" s="57" t="s">
        <v>289</v>
      </c>
    </row>
    <row r="8" spans="1:8">
      <c r="A8" s="59" t="s">
        <v>149</v>
      </c>
      <c r="B8" s="62">
        <v>2730400</v>
      </c>
      <c r="C8" s="63">
        <v>4772000</v>
      </c>
      <c r="D8" s="64">
        <v>5357000</v>
      </c>
      <c r="F8" s="74">
        <v>2886000</v>
      </c>
      <c r="G8" s="75">
        <v>4971800</v>
      </c>
      <c r="H8" s="76">
        <v>5579700</v>
      </c>
    </row>
    <row r="9" spans="1:8">
      <c r="A9" s="59" t="s">
        <v>150</v>
      </c>
      <c r="B9" s="62">
        <v>2675100</v>
      </c>
      <c r="C9" s="63">
        <v>4721300</v>
      </c>
      <c r="D9" s="64">
        <v>5284400</v>
      </c>
      <c r="F9" s="62">
        <v>2828200</v>
      </c>
      <c r="G9" s="63">
        <v>4919600</v>
      </c>
      <c r="H9" s="64">
        <v>5504200</v>
      </c>
    </row>
    <row r="10" spans="1:8">
      <c r="A10" s="59" t="s">
        <v>151</v>
      </c>
      <c r="B10" s="62">
        <v>2674800</v>
      </c>
      <c r="C10" s="63">
        <v>4710300</v>
      </c>
      <c r="D10" s="64">
        <v>5269400</v>
      </c>
      <c r="F10" s="62">
        <v>2827200</v>
      </c>
      <c r="G10" s="63">
        <v>4907500</v>
      </c>
      <c r="H10" s="64">
        <v>5487700</v>
      </c>
    </row>
    <row r="11" spans="1:8">
      <c r="A11" s="60" t="s">
        <v>152</v>
      </c>
      <c r="B11" s="66">
        <v>2676100</v>
      </c>
      <c r="C11" s="67">
        <v>4721100</v>
      </c>
      <c r="D11" s="68">
        <v>5277700</v>
      </c>
      <c r="E11" s="69"/>
      <c r="F11" s="66">
        <v>2826800</v>
      </c>
      <c r="G11" s="67">
        <v>4917500</v>
      </c>
      <c r="H11" s="68">
        <v>5495000</v>
      </c>
    </row>
    <row r="12" spans="1:8">
      <c r="A12" s="59" t="s">
        <v>153</v>
      </c>
      <c r="B12" s="62">
        <v>2649500</v>
      </c>
      <c r="C12" s="63">
        <v>4695200</v>
      </c>
      <c r="D12" s="64">
        <v>5254900</v>
      </c>
      <c r="F12" s="62">
        <v>2796800</v>
      </c>
      <c r="G12" s="63">
        <v>4889200</v>
      </c>
      <c r="H12" s="64">
        <v>5469900</v>
      </c>
    </row>
    <row r="13" spans="1:8">
      <c r="A13" s="59" t="s">
        <v>154</v>
      </c>
      <c r="B13" s="62">
        <v>2592200</v>
      </c>
      <c r="C13" s="63">
        <v>4635300</v>
      </c>
      <c r="D13" s="64">
        <v>5207400</v>
      </c>
      <c r="F13" s="62">
        <v>2736000</v>
      </c>
      <c r="G13" s="63">
        <v>4825100</v>
      </c>
      <c r="H13" s="64">
        <v>5419000</v>
      </c>
    </row>
    <row r="14" spans="1:8">
      <c r="A14" s="59" t="s">
        <v>155</v>
      </c>
      <c r="B14" s="62">
        <v>2589800</v>
      </c>
      <c r="C14" s="63">
        <v>4597500</v>
      </c>
      <c r="D14" s="64">
        <v>5173500</v>
      </c>
      <c r="F14" s="62">
        <v>2731300</v>
      </c>
      <c r="G14" s="63">
        <v>4784300</v>
      </c>
      <c r="H14" s="64">
        <v>5383400</v>
      </c>
    </row>
    <row r="15" spans="1:8">
      <c r="A15" s="60" t="s">
        <v>156</v>
      </c>
      <c r="B15" s="66">
        <v>2580000</v>
      </c>
      <c r="C15" s="67">
        <v>4565100</v>
      </c>
      <c r="D15" s="68">
        <v>5146800</v>
      </c>
      <c r="E15" s="69"/>
      <c r="F15" s="66">
        <v>2719300</v>
      </c>
      <c r="G15" s="67">
        <v>4749600</v>
      </c>
      <c r="H15" s="68">
        <v>5354100</v>
      </c>
    </row>
    <row r="16" spans="1:8">
      <c r="A16" s="59" t="s">
        <v>157</v>
      </c>
      <c r="B16" s="62">
        <v>2596100</v>
      </c>
      <c r="C16" s="63">
        <v>4553500</v>
      </c>
      <c r="D16" s="64">
        <v>5127600</v>
      </c>
      <c r="F16" s="62">
        <v>2733100</v>
      </c>
      <c r="G16" s="63">
        <v>4734700</v>
      </c>
      <c r="H16" s="64">
        <v>5331000</v>
      </c>
    </row>
    <row r="17" spans="1:8">
      <c r="A17" s="59" t="s">
        <v>158</v>
      </c>
      <c r="B17" s="62">
        <v>3253400</v>
      </c>
      <c r="C17" s="63">
        <v>4806700</v>
      </c>
      <c r="D17" s="64">
        <v>5358100</v>
      </c>
      <c r="F17" s="62">
        <v>3400200</v>
      </c>
      <c r="G17" s="63">
        <v>4990600</v>
      </c>
      <c r="H17" s="64">
        <v>5562700</v>
      </c>
    </row>
    <row r="18" spans="1:8">
      <c r="A18" s="59" t="s">
        <v>159</v>
      </c>
      <c r="B18" s="62">
        <v>2797400</v>
      </c>
      <c r="C18" s="63">
        <v>4736200</v>
      </c>
      <c r="D18" s="64">
        <v>5290200</v>
      </c>
      <c r="F18" s="62">
        <v>2936800</v>
      </c>
      <c r="G18" s="63">
        <v>4919400</v>
      </c>
      <c r="H18" s="64">
        <v>5493700</v>
      </c>
    </row>
    <row r="19" spans="1:8">
      <c r="A19" s="60" t="s">
        <v>160</v>
      </c>
      <c r="B19" s="66">
        <v>2723500</v>
      </c>
      <c r="C19" s="67">
        <v>4682500</v>
      </c>
      <c r="D19" s="68">
        <v>5260500</v>
      </c>
      <c r="E19" s="69"/>
      <c r="F19" s="66">
        <v>2858300</v>
      </c>
      <c r="G19" s="67">
        <v>4862900</v>
      </c>
      <c r="H19" s="68">
        <v>5462600</v>
      </c>
    </row>
    <row r="20" spans="1:8">
      <c r="A20" s="59" t="s">
        <v>161</v>
      </c>
      <c r="B20" s="62">
        <v>2704900</v>
      </c>
      <c r="C20" s="63">
        <v>4681900</v>
      </c>
      <c r="D20" s="64">
        <v>5283900</v>
      </c>
      <c r="F20" s="62">
        <v>2838800</v>
      </c>
      <c r="G20" s="63">
        <v>4863200</v>
      </c>
      <c r="H20" s="64">
        <v>5487900</v>
      </c>
    </row>
    <row r="21" spans="1:8">
      <c r="A21" s="59" t="s">
        <v>162</v>
      </c>
      <c r="B21" s="62">
        <v>2647800</v>
      </c>
      <c r="C21" s="63">
        <v>4668500</v>
      </c>
      <c r="D21" s="64">
        <v>5296900</v>
      </c>
      <c r="F21" s="62">
        <v>2782000</v>
      </c>
      <c r="G21" s="63">
        <v>4850600</v>
      </c>
      <c r="H21" s="64">
        <v>5502400</v>
      </c>
    </row>
    <row r="22" spans="1:8">
      <c r="A22" s="59" t="s">
        <v>163</v>
      </c>
      <c r="B22" s="62">
        <v>2489200</v>
      </c>
      <c r="C22" s="63">
        <v>4565100</v>
      </c>
      <c r="D22" s="64">
        <v>5198200</v>
      </c>
      <c r="F22" s="62">
        <v>2621000</v>
      </c>
      <c r="G22" s="63">
        <v>4745400</v>
      </c>
      <c r="H22" s="64">
        <v>5402500</v>
      </c>
    </row>
    <row r="23" spans="1:8">
      <c r="A23" s="60" t="s">
        <v>164</v>
      </c>
      <c r="B23" s="66">
        <v>2363300</v>
      </c>
      <c r="C23" s="67">
        <v>4431500</v>
      </c>
      <c r="D23" s="68">
        <v>5062500</v>
      </c>
      <c r="E23" s="69"/>
      <c r="F23" s="66">
        <v>2494800</v>
      </c>
      <c r="G23" s="67">
        <v>4611600</v>
      </c>
      <c r="H23" s="68">
        <v>5266600</v>
      </c>
    </row>
    <row r="24" spans="1:8">
      <c r="A24" s="59" t="s">
        <v>165</v>
      </c>
      <c r="B24" s="62">
        <v>2265600</v>
      </c>
      <c r="C24" s="63">
        <v>4329900</v>
      </c>
      <c r="D24" s="64">
        <v>4966300</v>
      </c>
      <c r="F24" s="62">
        <v>2393700</v>
      </c>
      <c r="G24" s="63">
        <v>4507800</v>
      </c>
      <c r="H24" s="64">
        <v>5168500</v>
      </c>
    </row>
    <row r="25" spans="1:8">
      <c r="A25" s="59" t="s">
        <v>166</v>
      </c>
      <c r="B25" s="62">
        <v>2216700</v>
      </c>
      <c r="C25" s="63">
        <v>4250900</v>
      </c>
      <c r="D25" s="64">
        <v>4882200</v>
      </c>
      <c r="F25" s="62">
        <v>2339500</v>
      </c>
      <c r="G25" s="63">
        <v>4426500</v>
      </c>
      <c r="H25" s="64">
        <v>5082000</v>
      </c>
    </row>
    <row r="26" spans="1:8">
      <c r="A26" s="59" t="s">
        <v>167</v>
      </c>
      <c r="B26" s="62">
        <v>2224500</v>
      </c>
      <c r="C26" s="63">
        <v>4255300</v>
      </c>
      <c r="D26" s="64">
        <v>4880200</v>
      </c>
      <c r="F26" s="62">
        <v>2346700</v>
      </c>
      <c r="G26" s="63">
        <v>4431000</v>
      </c>
      <c r="H26" s="64">
        <v>5080400</v>
      </c>
    </row>
    <row r="27" spans="1:8">
      <c r="A27" s="60" t="s">
        <v>168</v>
      </c>
      <c r="B27" s="66">
        <v>2162900</v>
      </c>
      <c r="C27" s="67">
        <v>4227400</v>
      </c>
      <c r="D27" s="68">
        <v>4851300</v>
      </c>
      <c r="E27" s="69"/>
      <c r="F27" s="66">
        <v>2284300</v>
      </c>
      <c r="G27" s="67">
        <v>4403300</v>
      </c>
      <c r="H27" s="68">
        <v>5051700</v>
      </c>
    </row>
    <row r="28" spans="1:8">
      <c r="A28" s="59" t="s">
        <v>169</v>
      </c>
      <c r="B28" s="62">
        <v>2147600</v>
      </c>
      <c r="C28" s="63">
        <v>4220500</v>
      </c>
      <c r="D28" s="64">
        <v>4849900</v>
      </c>
      <c r="F28" s="62">
        <v>2268900</v>
      </c>
      <c r="G28" s="63">
        <v>4396400</v>
      </c>
      <c r="H28" s="64">
        <v>5050800</v>
      </c>
    </row>
    <row r="29" spans="1:8">
      <c r="A29" s="59" t="s">
        <v>170</v>
      </c>
      <c r="B29" s="62">
        <v>2131400</v>
      </c>
      <c r="C29" s="63">
        <v>4211400</v>
      </c>
      <c r="D29" s="64">
        <v>4847800</v>
      </c>
      <c r="F29" s="62">
        <v>2252000</v>
      </c>
      <c r="G29" s="63">
        <v>4386400</v>
      </c>
      <c r="H29" s="64">
        <v>5048700</v>
      </c>
    </row>
    <row r="30" spans="1:8">
      <c r="A30" s="59" t="s">
        <v>171</v>
      </c>
      <c r="B30" s="62">
        <v>2157100</v>
      </c>
      <c r="C30" s="63">
        <v>4235800</v>
      </c>
      <c r="D30" s="64">
        <v>4878400</v>
      </c>
      <c r="F30" s="62">
        <v>2277400</v>
      </c>
      <c r="G30" s="63">
        <v>4411700</v>
      </c>
      <c r="H30" s="64">
        <v>5080100</v>
      </c>
    </row>
    <row r="31" spans="1:8">
      <c r="A31" s="60" t="s">
        <v>172</v>
      </c>
      <c r="B31" s="66">
        <v>2169900</v>
      </c>
      <c r="C31" s="67">
        <v>4267100</v>
      </c>
      <c r="D31" s="68">
        <v>4919300</v>
      </c>
      <c r="E31" s="69"/>
      <c r="F31" s="66">
        <v>2290000</v>
      </c>
      <c r="G31" s="67">
        <v>4444000</v>
      </c>
      <c r="H31" s="68">
        <v>5123000</v>
      </c>
    </row>
    <row r="32" spans="1:8">
      <c r="A32" s="59" t="s">
        <v>173</v>
      </c>
      <c r="B32" s="62">
        <v>2165000</v>
      </c>
      <c r="C32" s="63">
        <v>4258000</v>
      </c>
      <c r="D32" s="64">
        <v>4906500</v>
      </c>
      <c r="F32" s="62">
        <v>2285200</v>
      </c>
      <c r="G32" s="63">
        <v>4435600</v>
      </c>
      <c r="H32" s="64">
        <v>5110600</v>
      </c>
    </row>
    <row r="33" spans="1:8">
      <c r="A33" s="59" t="s">
        <v>174</v>
      </c>
      <c r="B33" s="62">
        <v>2152800</v>
      </c>
      <c r="C33" s="63">
        <v>4261800</v>
      </c>
      <c r="D33" s="64">
        <v>4907700</v>
      </c>
      <c r="F33" s="62">
        <v>2273500</v>
      </c>
      <c r="G33" s="63">
        <v>4440700</v>
      </c>
      <c r="H33" s="64">
        <v>5112700</v>
      </c>
    </row>
    <row r="34" spans="1:8">
      <c r="A34" s="59" t="s">
        <v>175</v>
      </c>
      <c r="B34" s="62">
        <v>2161900</v>
      </c>
      <c r="C34" s="63">
        <v>4281200</v>
      </c>
      <c r="D34" s="64">
        <v>4937700</v>
      </c>
      <c r="F34" s="62">
        <v>2283100</v>
      </c>
      <c r="G34" s="63">
        <v>4461100</v>
      </c>
      <c r="H34" s="64">
        <v>5143400</v>
      </c>
    </row>
    <row r="35" spans="1:8">
      <c r="A35" s="60" t="s">
        <v>176</v>
      </c>
      <c r="B35" s="66">
        <v>2255600</v>
      </c>
      <c r="C35" s="67">
        <v>4341600</v>
      </c>
      <c r="D35" s="68">
        <v>4994900</v>
      </c>
      <c r="E35" s="69"/>
      <c r="F35" s="66">
        <v>2380000</v>
      </c>
      <c r="G35" s="67">
        <v>4524400</v>
      </c>
      <c r="H35" s="68">
        <v>5203600</v>
      </c>
    </row>
    <row r="36" spans="1:8">
      <c r="A36" s="59" t="s">
        <v>177</v>
      </c>
      <c r="B36" s="62">
        <v>2377700</v>
      </c>
      <c r="C36" s="63">
        <v>4440200</v>
      </c>
      <c r="D36" s="64">
        <v>5086600</v>
      </c>
      <c r="F36" s="62">
        <v>2507600</v>
      </c>
      <c r="G36" s="63">
        <v>4627300</v>
      </c>
      <c r="H36" s="64">
        <v>5299700</v>
      </c>
    </row>
    <row r="37" spans="1:8">
      <c r="A37" s="59" t="s">
        <v>178</v>
      </c>
      <c r="B37" s="62">
        <v>2282000</v>
      </c>
      <c r="C37" s="63">
        <v>4412600</v>
      </c>
      <c r="D37" s="64">
        <v>5045200</v>
      </c>
      <c r="F37" s="62">
        <v>2409300</v>
      </c>
      <c r="G37" s="63">
        <v>4599300</v>
      </c>
      <c r="H37" s="64">
        <v>5256700</v>
      </c>
    </row>
    <row r="38" spans="1:8">
      <c r="B38" s="62"/>
      <c r="C38" s="63"/>
      <c r="D38" s="64"/>
      <c r="F38" s="62"/>
      <c r="G38" s="63"/>
      <c r="H38" s="64"/>
    </row>
    <row r="39" spans="1:8">
      <c r="B39" s="62"/>
      <c r="C39" s="63"/>
      <c r="D39" s="64"/>
      <c r="F39" s="62"/>
      <c r="G39" s="63"/>
      <c r="H39" s="64"/>
    </row>
    <row r="40" spans="1:8">
      <c r="B40" s="62"/>
      <c r="C40" s="63"/>
      <c r="D40" s="64"/>
      <c r="F40" s="62"/>
      <c r="G40" s="63"/>
      <c r="H40" s="64"/>
    </row>
    <row r="41" spans="1:8">
      <c r="B41" s="62"/>
      <c r="C41" s="63"/>
      <c r="D41" s="64"/>
      <c r="F41" s="62"/>
      <c r="G41" s="63"/>
      <c r="H41" s="64"/>
    </row>
    <row r="42" spans="1:8">
      <c r="B42" s="62"/>
      <c r="C42" s="63"/>
      <c r="D42" s="64"/>
      <c r="F42" s="62"/>
      <c r="G42" s="63"/>
      <c r="H42" s="64"/>
    </row>
    <row r="43" spans="1:8">
      <c r="B43" s="62"/>
      <c r="C43" s="63"/>
      <c r="D43" s="64"/>
      <c r="F43" s="62"/>
      <c r="G43" s="63"/>
      <c r="H43" s="64"/>
    </row>
    <row r="44" spans="1:8">
      <c r="B44" s="62"/>
      <c r="C44" s="63"/>
      <c r="D44" s="64"/>
      <c r="F44" s="62"/>
      <c r="G44" s="63"/>
      <c r="H44" s="64"/>
    </row>
    <row r="45" spans="1:8">
      <c r="B45" s="62"/>
      <c r="C45" s="63"/>
      <c r="D45" s="64"/>
      <c r="F45" s="62"/>
      <c r="G45" s="63"/>
      <c r="H45" s="64"/>
    </row>
    <row r="46" spans="1:8">
      <c r="B46" s="62"/>
      <c r="C46" s="63"/>
      <c r="D46" s="64"/>
      <c r="F46" s="62"/>
      <c r="G46" s="63"/>
      <c r="H46" s="64"/>
    </row>
    <row r="47" spans="1:8">
      <c r="B47" s="62"/>
      <c r="C47" s="63"/>
      <c r="D47" s="64"/>
      <c r="F47" s="62"/>
      <c r="G47" s="63"/>
      <c r="H47" s="64"/>
    </row>
    <row r="48" spans="1:8">
      <c r="B48" s="62"/>
      <c r="C48" s="63"/>
      <c r="D48" s="64"/>
      <c r="F48" s="62"/>
      <c r="G48" s="63"/>
      <c r="H48" s="64"/>
    </row>
    <row r="49" spans="2:8">
      <c r="B49" s="62"/>
      <c r="C49" s="63"/>
      <c r="D49" s="64"/>
      <c r="F49" s="62"/>
      <c r="G49" s="63"/>
      <c r="H49" s="64"/>
    </row>
    <row r="50" spans="2:8">
      <c r="B50" s="62"/>
      <c r="C50" s="63"/>
      <c r="D50" s="64"/>
      <c r="F50" s="62"/>
      <c r="G50" s="63"/>
      <c r="H50" s="64"/>
    </row>
    <row r="51" spans="2:8">
      <c r="B51" s="62"/>
      <c r="C51" s="63"/>
      <c r="D51" s="64"/>
      <c r="F51" s="62"/>
      <c r="G51" s="63"/>
      <c r="H51" s="64"/>
    </row>
    <row r="52" spans="2:8">
      <c r="B52" s="62"/>
      <c r="C52" s="63"/>
      <c r="D52" s="64"/>
      <c r="F52" s="62"/>
      <c r="G52" s="63"/>
      <c r="H52" s="64"/>
    </row>
    <row r="53" spans="2:8">
      <c r="B53" s="62"/>
      <c r="C53" s="63"/>
      <c r="D53" s="64"/>
      <c r="F53" s="62"/>
      <c r="G53" s="63"/>
      <c r="H53" s="64"/>
    </row>
    <row r="54" spans="2:8">
      <c r="B54" s="62"/>
      <c r="C54" s="63"/>
      <c r="D54" s="64"/>
      <c r="F54" s="62"/>
      <c r="G54" s="63"/>
      <c r="H54" s="64"/>
    </row>
    <row r="55" spans="2:8">
      <c r="B55" s="62"/>
      <c r="C55" s="63"/>
      <c r="D55" s="64"/>
      <c r="F55" s="62"/>
      <c r="G55" s="63"/>
      <c r="H55" s="64"/>
    </row>
    <row r="56" spans="2:8">
      <c r="B56" s="62"/>
      <c r="C56" s="63"/>
      <c r="D56" s="64"/>
      <c r="F56" s="62"/>
      <c r="G56" s="63"/>
      <c r="H56" s="64"/>
    </row>
    <row r="57" spans="2:8">
      <c r="B57" s="62"/>
      <c r="C57" s="63"/>
      <c r="D57" s="64"/>
      <c r="F57" s="62"/>
      <c r="G57" s="63"/>
      <c r="H57" s="64"/>
    </row>
    <row r="58" spans="2:8">
      <c r="B58" s="62"/>
      <c r="C58" s="63"/>
      <c r="D58" s="64"/>
      <c r="F58" s="62"/>
      <c r="G58" s="63"/>
      <c r="H58" s="64"/>
    </row>
    <row r="59" spans="2:8">
      <c r="B59" s="62"/>
      <c r="C59" s="63"/>
      <c r="D59" s="64"/>
      <c r="F59" s="62"/>
      <c r="G59" s="63"/>
      <c r="H59" s="64"/>
    </row>
    <row r="60" spans="2:8">
      <c r="B60" s="62"/>
      <c r="C60" s="63"/>
      <c r="D60" s="64"/>
      <c r="F60" s="62"/>
      <c r="G60" s="63"/>
      <c r="H60" s="64"/>
    </row>
    <row r="61" spans="2:8">
      <c r="B61" s="62"/>
      <c r="C61" s="63"/>
      <c r="D61" s="64"/>
      <c r="F61" s="62"/>
      <c r="G61" s="63"/>
      <c r="H61" s="64"/>
    </row>
    <row r="62" spans="2:8">
      <c r="B62" s="62"/>
      <c r="C62" s="63"/>
      <c r="D62" s="64"/>
      <c r="F62" s="62"/>
      <c r="G62" s="63"/>
      <c r="H62" s="64"/>
    </row>
    <row r="63" spans="2:8">
      <c r="B63" s="62"/>
      <c r="C63" s="63"/>
      <c r="D63" s="64"/>
      <c r="F63" s="62"/>
      <c r="G63" s="63"/>
      <c r="H63" s="64"/>
    </row>
    <row r="64" spans="2:8">
      <c r="B64" s="62"/>
      <c r="C64" s="63"/>
      <c r="D64" s="64"/>
      <c r="F64" s="62"/>
      <c r="G64" s="63"/>
      <c r="H64" s="64"/>
    </row>
    <row r="65" spans="2:8">
      <c r="B65" s="62"/>
      <c r="C65" s="63"/>
      <c r="D65" s="64"/>
      <c r="F65" s="62"/>
      <c r="G65" s="63"/>
      <c r="H65" s="64"/>
    </row>
    <row r="66" spans="2:8">
      <c r="B66" s="62"/>
      <c r="C66" s="63"/>
      <c r="D66" s="64"/>
      <c r="F66" s="62"/>
      <c r="G66" s="63"/>
      <c r="H66" s="64"/>
    </row>
    <row r="67" spans="2:8">
      <c r="B67" s="62"/>
      <c r="C67" s="63"/>
      <c r="D67" s="64"/>
      <c r="F67" s="62"/>
      <c r="G67" s="63"/>
      <c r="H67" s="64"/>
    </row>
    <row r="68" spans="2:8">
      <c r="B68" s="62"/>
      <c r="C68" s="63"/>
      <c r="D68" s="64"/>
      <c r="F68" s="62"/>
      <c r="G68" s="63"/>
      <c r="H68" s="64"/>
    </row>
    <row r="69" spans="2:8">
      <c r="B69" s="62"/>
      <c r="C69" s="63"/>
      <c r="D69" s="64"/>
      <c r="F69" s="62"/>
      <c r="G69" s="63"/>
      <c r="H69" s="64"/>
    </row>
    <row r="70" spans="2:8">
      <c r="B70" s="62"/>
      <c r="C70" s="63"/>
      <c r="D70" s="64"/>
      <c r="F70" s="62"/>
      <c r="G70" s="63"/>
      <c r="H70" s="64"/>
    </row>
    <row r="71" spans="2:8">
      <c r="B71" s="62"/>
      <c r="C71" s="63"/>
      <c r="D71" s="64"/>
      <c r="F71" s="62"/>
      <c r="G71" s="63"/>
      <c r="H71" s="64"/>
    </row>
    <row r="72" spans="2:8">
      <c r="B72" s="62"/>
      <c r="C72" s="63"/>
      <c r="D72" s="64"/>
      <c r="F72" s="62"/>
      <c r="G72" s="63"/>
      <c r="H72" s="64"/>
    </row>
    <row r="73" spans="2:8">
      <c r="B73" s="62"/>
      <c r="C73" s="63"/>
      <c r="D73" s="64"/>
      <c r="F73" s="62"/>
      <c r="G73" s="63"/>
      <c r="H73" s="64"/>
    </row>
    <row r="74" spans="2:8">
      <c r="B74" s="62"/>
      <c r="C74" s="63"/>
      <c r="D74" s="64"/>
      <c r="F74" s="62"/>
      <c r="G74" s="63"/>
      <c r="H74" s="64"/>
    </row>
    <row r="75" spans="2:8">
      <c r="B75" s="62"/>
      <c r="C75" s="63"/>
      <c r="D75" s="64"/>
      <c r="F75" s="62"/>
      <c r="G75" s="63"/>
      <c r="H75" s="64"/>
    </row>
    <row r="76" spans="2:8">
      <c r="B76" s="62"/>
      <c r="C76" s="63"/>
      <c r="D76" s="64"/>
      <c r="F76" s="62"/>
      <c r="G76" s="63"/>
      <c r="H76" s="64"/>
    </row>
    <row r="77" spans="2:8">
      <c r="B77" s="62"/>
      <c r="C77" s="63"/>
      <c r="D77" s="64"/>
      <c r="F77" s="62"/>
      <c r="G77" s="63"/>
      <c r="H77" s="64"/>
    </row>
    <row r="78" spans="2:8">
      <c r="B78" s="62"/>
      <c r="C78" s="63"/>
      <c r="D78" s="64"/>
      <c r="F78" s="62"/>
      <c r="G78" s="63"/>
      <c r="H78" s="64"/>
    </row>
    <row r="79" spans="2:8">
      <c r="B79" s="62"/>
      <c r="C79" s="63"/>
      <c r="D79" s="64"/>
      <c r="F79" s="62"/>
      <c r="G79" s="63"/>
      <c r="H79" s="64"/>
    </row>
    <row r="80" spans="2:8">
      <c r="B80" s="62"/>
      <c r="C80" s="63"/>
      <c r="D80" s="64"/>
      <c r="F80" s="62"/>
      <c r="G80" s="63"/>
      <c r="H80" s="64"/>
    </row>
    <row r="81" spans="2:8">
      <c r="B81" s="62"/>
      <c r="C81" s="63"/>
      <c r="D81" s="64"/>
      <c r="F81" s="62"/>
      <c r="G81" s="63"/>
      <c r="H81" s="64"/>
    </row>
    <row r="82" spans="2:8">
      <c r="B82" s="62"/>
      <c r="C82" s="63"/>
      <c r="D82" s="64"/>
      <c r="F82" s="62"/>
      <c r="G82" s="63"/>
      <c r="H82" s="64"/>
    </row>
    <row r="83" spans="2:8">
      <c r="B83" s="62"/>
      <c r="C83" s="63"/>
      <c r="D83" s="64"/>
      <c r="F83" s="62"/>
      <c r="G83" s="63"/>
      <c r="H83" s="64"/>
    </row>
    <row r="84" spans="2:8">
      <c r="B84" s="62"/>
      <c r="C84" s="63"/>
      <c r="D84" s="64"/>
      <c r="F84" s="62"/>
      <c r="G84" s="63"/>
      <c r="H84" s="64"/>
    </row>
    <row r="85" spans="2:8">
      <c r="B85" s="62"/>
      <c r="C85" s="63"/>
      <c r="D85" s="64"/>
      <c r="F85" s="62"/>
      <c r="G85" s="63"/>
      <c r="H85" s="64"/>
    </row>
    <row r="86" spans="2:8">
      <c r="B86" s="62"/>
      <c r="C86" s="63"/>
      <c r="D86" s="64"/>
      <c r="F86" s="62"/>
      <c r="G86" s="63"/>
      <c r="H86" s="64"/>
    </row>
    <row r="87" spans="2:8">
      <c r="B87" s="62"/>
      <c r="C87" s="63"/>
      <c r="D87" s="64"/>
      <c r="F87" s="62"/>
      <c r="G87" s="63"/>
      <c r="H87" s="64"/>
    </row>
    <row r="88" spans="2:8">
      <c r="B88" s="62"/>
      <c r="C88" s="63"/>
      <c r="D88" s="64"/>
      <c r="F88" s="62"/>
      <c r="G88" s="63"/>
      <c r="H88" s="64"/>
    </row>
    <row r="89" spans="2:8">
      <c r="B89" s="62"/>
      <c r="C89" s="63"/>
      <c r="D89" s="64"/>
      <c r="F89" s="62"/>
      <c r="G89" s="63"/>
      <c r="H89" s="64"/>
    </row>
    <row r="90" spans="2:8">
      <c r="B90" s="62"/>
      <c r="C90" s="63"/>
      <c r="D90" s="64"/>
      <c r="F90" s="62"/>
      <c r="G90" s="63"/>
      <c r="H90" s="64"/>
    </row>
    <row r="91" spans="2:8">
      <c r="B91" s="62"/>
      <c r="C91" s="63"/>
      <c r="D91" s="64"/>
      <c r="F91" s="62"/>
      <c r="G91" s="63"/>
      <c r="H91" s="64"/>
    </row>
    <row r="92" spans="2:8">
      <c r="B92" s="62"/>
      <c r="C92" s="63"/>
      <c r="D92" s="64"/>
      <c r="F92" s="62"/>
      <c r="G92" s="63"/>
      <c r="H92" s="64"/>
    </row>
    <row r="93" spans="2:8">
      <c r="B93" s="62"/>
      <c r="C93" s="63"/>
      <c r="D93" s="64"/>
      <c r="F93" s="62"/>
      <c r="G93" s="63"/>
      <c r="H93" s="64"/>
    </row>
    <row r="94" spans="2:8">
      <c r="B94" s="62"/>
      <c r="C94" s="63"/>
      <c r="D94" s="64"/>
      <c r="F94" s="62"/>
      <c r="G94" s="63"/>
      <c r="H94" s="64"/>
    </row>
    <row r="95" spans="2:8">
      <c r="B95" s="62"/>
      <c r="C95" s="63"/>
      <c r="D95" s="64"/>
      <c r="F95" s="62"/>
      <c r="G95" s="63"/>
      <c r="H95" s="64"/>
    </row>
    <row r="96" spans="2:8">
      <c r="B96" s="62"/>
      <c r="C96" s="63"/>
      <c r="D96" s="64"/>
      <c r="F96" s="62"/>
      <c r="G96" s="63"/>
      <c r="H96" s="64"/>
    </row>
    <row r="97" spans="2:8">
      <c r="B97" s="62"/>
      <c r="C97" s="63"/>
      <c r="D97" s="64"/>
      <c r="F97" s="62"/>
      <c r="G97" s="63"/>
      <c r="H97" s="64"/>
    </row>
    <row r="98" spans="2:8">
      <c r="B98" s="62"/>
      <c r="C98" s="63"/>
      <c r="D98" s="64"/>
      <c r="F98" s="62"/>
      <c r="G98" s="63"/>
      <c r="H98" s="64"/>
    </row>
    <row r="99" spans="2:8">
      <c r="B99" s="62"/>
      <c r="C99" s="63"/>
      <c r="D99" s="64"/>
      <c r="F99" s="62"/>
      <c r="G99" s="63"/>
      <c r="H99" s="64"/>
    </row>
    <row r="100" spans="2:8">
      <c r="B100" s="62"/>
      <c r="C100" s="63"/>
      <c r="D100" s="64"/>
      <c r="F100" s="62"/>
      <c r="G100" s="63"/>
      <c r="H100" s="64"/>
    </row>
    <row r="101" spans="2:8">
      <c r="B101" s="62"/>
      <c r="C101" s="63"/>
      <c r="D101" s="64"/>
      <c r="F101" s="62"/>
      <c r="G101" s="63"/>
      <c r="H101" s="64"/>
    </row>
    <row r="102" spans="2:8">
      <c r="B102" s="62"/>
      <c r="C102" s="63"/>
      <c r="D102" s="64"/>
      <c r="F102" s="62"/>
      <c r="G102" s="63"/>
      <c r="H102" s="64"/>
    </row>
    <row r="103" spans="2:8">
      <c r="B103" s="62"/>
      <c r="C103" s="63"/>
      <c r="D103" s="64"/>
      <c r="F103" s="62"/>
      <c r="G103" s="63"/>
      <c r="H103" s="64"/>
    </row>
    <row r="104" spans="2:8">
      <c r="B104" s="62"/>
      <c r="C104" s="63"/>
      <c r="D104" s="64"/>
      <c r="F104" s="62"/>
      <c r="G104" s="63"/>
      <c r="H104" s="64"/>
    </row>
    <row r="105" spans="2:8">
      <c r="B105" s="62"/>
      <c r="C105" s="63"/>
      <c r="D105" s="64"/>
      <c r="F105" s="62"/>
      <c r="G105" s="63"/>
      <c r="H105" s="64"/>
    </row>
    <row r="106" spans="2:8">
      <c r="B106" s="62"/>
      <c r="C106" s="63"/>
      <c r="D106" s="64"/>
      <c r="F106" s="62"/>
      <c r="G106" s="63"/>
      <c r="H106" s="64"/>
    </row>
    <row r="107" spans="2:8">
      <c r="B107" s="62"/>
      <c r="C107" s="63"/>
      <c r="D107" s="64"/>
      <c r="F107" s="62"/>
      <c r="G107" s="63"/>
      <c r="H107" s="64"/>
    </row>
    <row r="108" spans="2:8">
      <c r="B108" s="62"/>
      <c r="C108" s="63"/>
      <c r="D108" s="64"/>
      <c r="F108" s="62"/>
      <c r="G108" s="63"/>
      <c r="H108" s="64"/>
    </row>
    <row r="109" spans="2:8">
      <c r="B109" s="62"/>
      <c r="C109" s="63"/>
      <c r="D109" s="64"/>
      <c r="F109" s="62"/>
      <c r="G109" s="63"/>
      <c r="H109" s="64"/>
    </row>
    <row r="110" spans="2:8">
      <c r="B110" s="62"/>
      <c r="C110" s="63"/>
      <c r="D110" s="64"/>
      <c r="F110" s="62"/>
      <c r="G110" s="63"/>
      <c r="H110" s="64"/>
    </row>
    <row r="111" spans="2:8">
      <c r="B111" s="62"/>
      <c r="C111" s="63"/>
      <c r="D111" s="64"/>
      <c r="F111" s="62"/>
      <c r="G111" s="63"/>
      <c r="H111" s="64"/>
    </row>
    <row r="112" spans="2:8">
      <c r="B112" s="62"/>
      <c r="C112" s="63"/>
      <c r="D112" s="64"/>
      <c r="F112" s="62"/>
      <c r="G112" s="63"/>
      <c r="H112" s="64"/>
    </row>
    <row r="113" spans="2:8">
      <c r="B113" s="62"/>
      <c r="C113" s="63"/>
      <c r="D113" s="64"/>
      <c r="F113" s="62"/>
      <c r="G113" s="63"/>
      <c r="H113" s="64"/>
    </row>
    <row r="114" spans="2:8">
      <c r="B114" s="62"/>
      <c r="C114" s="63"/>
      <c r="D114" s="64"/>
      <c r="F114" s="62"/>
      <c r="G114" s="63"/>
      <c r="H114" s="64"/>
    </row>
    <row r="115" spans="2:8">
      <c r="B115" s="62"/>
      <c r="C115" s="63"/>
      <c r="D115" s="64"/>
      <c r="F115" s="62"/>
      <c r="G115" s="63"/>
      <c r="H115" s="64"/>
    </row>
    <row r="116" spans="2:8">
      <c r="B116" s="62"/>
      <c r="C116" s="63"/>
      <c r="D116" s="64"/>
      <c r="F116" s="62"/>
      <c r="G116" s="63"/>
      <c r="H116" s="64"/>
    </row>
    <row r="117" spans="2:8">
      <c r="B117" s="62"/>
      <c r="C117" s="63"/>
      <c r="D117" s="64"/>
      <c r="F117" s="62"/>
      <c r="G117" s="63"/>
      <c r="H117" s="64"/>
    </row>
    <row r="118" spans="2:8">
      <c r="B118" s="62"/>
      <c r="C118" s="63"/>
      <c r="D118" s="64"/>
      <c r="F118" s="62"/>
      <c r="G118" s="63"/>
      <c r="H118" s="64"/>
    </row>
    <row r="119" spans="2:8">
      <c r="B119" s="62"/>
      <c r="C119" s="63"/>
      <c r="D119" s="64"/>
      <c r="F119" s="62"/>
      <c r="G119" s="63"/>
      <c r="H119" s="64"/>
    </row>
    <row r="120" spans="2:8">
      <c r="B120" s="62"/>
      <c r="C120" s="63"/>
      <c r="D120" s="64"/>
      <c r="F120" s="62"/>
      <c r="G120" s="63"/>
      <c r="H120" s="64"/>
    </row>
    <row r="121" spans="2:8">
      <c r="B121" s="62"/>
      <c r="C121" s="63"/>
      <c r="D121" s="64"/>
      <c r="F121" s="62"/>
      <c r="G121" s="63"/>
      <c r="H121" s="64"/>
    </row>
    <row r="122" spans="2:8">
      <c r="B122" s="62"/>
      <c r="C122" s="63"/>
      <c r="D122" s="64"/>
      <c r="F122" s="62"/>
      <c r="G122" s="63"/>
      <c r="H122" s="64"/>
    </row>
    <row r="123" spans="2:8">
      <c r="B123" s="62"/>
      <c r="C123" s="63"/>
      <c r="D123" s="64"/>
      <c r="F123" s="62"/>
      <c r="G123" s="63"/>
      <c r="H123" s="64"/>
    </row>
    <row r="124" spans="2:8">
      <c r="B124" s="62"/>
      <c r="C124" s="63"/>
      <c r="D124" s="64"/>
      <c r="F124" s="62"/>
      <c r="G124" s="63"/>
      <c r="H124" s="64"/>
    </row>
    <row r="125" spans="2:8">
      <c r="B125" s="62"/>
      <c r="C125" s="63"/>
      <c r="D125" s="64"/>
      <c r="F125" s="62"/>
      <c r="G125" s="63"/>
      <c r="H125" s="64"/>
    </row>
    <row r="126" spans="2:8">
      <c r="B126" s="62"/>
      <c r="C126" s="63"/>
      <c r="D126" s="64"/>
      <c r="F126" s="62"/>
      <c r="G126" s="63"/>
      <c r="H126" s="64"/>
    </row>
    <row r="127" spans="2:8">
      <c r="B127" s="62"/>
      <c r="C127" s="63"/>
      <c r="D127" s="64"/>
      <c r="F127" s="62"/>
      <c r="G127" s="63"/>
      <c r="H127" s="64"/>
    </row>
    <row r="128" spans="2:8">
      <c r="B128" s="62"/>
      <c r="C128" s="63"/>
      <c r="D128" s="64"/>
      <c r="F128" s="62"/>
      <c r="G128" s="63"/>
      <c r="H128" s="64"/>
    </row>
    <row r="129" spans="2:8">
      <c r="B129" s="62"/>
      <c r="C129" s="63"/>
      <c r="D129" s="64"/>
      <c r="F129" s="62"/>
      <c r="G129" s="63"/>
      <c r="H129" s="64"/>
    </row>
    <row r="130" spans="2:8">
      <c r="B130" s="62"/>
      <c r="C130" s="63"/>
      <c r="D130" s="64"/>
      <c r="F130" s="62"/>
      <c r="G130" s="63"/>
      <c r="H130" s="64"/>
    </row>
    <row r="131" spans="2:8">
      <c r="B131" s="62"/>
      <c r="C131" s="63"/>
      <c r="D131" s="64"/>
      <c r="F131" s="62"/>
      <c r="G131" s="63"/>
      <c r="H131" s="64"/>
    </row>
    <row r="132" spans="2:8">
      <c r="B132" s="62"/>
      <c r="C132" s="63"/>
      <c r="D132" s="64"/>
      <c r="F132" s="62"/>
      <c r="G132" s="63"/>
      <c r="H132" s="64"/>
    </row>
    <row r="133" spans="2:8">
      <c r="B133" s="62"/>
      <c r="C133" s="63"/>
      <c r="D133" s="64"/>
      <c r="F133" s="62"/>
      <c r="G133" s="63"/>
      <c r="H133" s="64"/>
    </row>
    <row r="134" spans="2:8">
      <c r="B134" s="62"/>
      <c r="C134" s="63"/>
      <c r="D134" s="64"/>
      <c r="F134" s="62"/>
      <c r="G134" s="63"/>
      <c r="H134" s="64"/>
    </row>
    <row r="135" spans="2:8">
      <c r="B135" s="62"/>
      <c r="C135" s="63"/>
      <c r="D135" s="64"/>
      <c r="F135" s="62"/>
      <c r="G135" s="63"/>
      <c r="H135" s="64"/>
    </row>
    <row r="136" spans="2:8">
      <c r="B136" s="62"/>
      <c r="C136" s="63"/>
      <c r="D136" s="64"/>
      <c r="F136" s="62"/>
      <c r="G136" s="63"/>
      <c r="H136" s="64"/>
    </row>
    <row r="137" spans="2:8">
      <c r="B137" s="62"/>
      <c r="C137" s="63"/>
      <c r="D137" s="64"/>
      <c r="F137" s="62"/>
      <c r="G137" s="63"/>
      <c r="H137" s="64"/>
    </row>
    <row r="138" spans="2:8">
      <c r="B138" s="62"/>
      <c r="C138" s="63"/>
      <c r="D138" s="64"/>
      <c r="F138" s="62"/>
      <c r="G138" s="63"/>
      <c r="H138" s="64"/>
    </row>
    <row r="139" spans="2:8">
      <c r="B139" s="62"/>
      <c r="C139" s="63"/>
      <c r="D139" s="64"/>
      <c r="F139" s="62"/>
      <c r="G139" s="63"/>
      <c r="H139" s="64"/>
    </row>
    <row r="140" spans="2:8">
      <c r="B140" s="62"/>
      <c r="C140" s="63"/>
      <c r="D140" s="64"/>
      <c r="F140" s="62"/>
      <c r="G140" s="63"/>
      <c r="H140" s="64"/>
    </row>
    <row r="141" spans="2:8">
      <c r="B141" s="62"/>
      <c r="C141" s="63"/>
      <c r="D141" s="64"/>
      <c r="F141" s="62"/>
      <c r="G141" s="63"/>
      <c r="H141" s="64"/>
    </row>
    <row r="142" spans="2:8">
      <c r="B142" s="62"/>
      <c r="C142" s="63"/>
      <c r="D142" s="64"/>
      <c r="F142" s="62"/>
      <c r="G142" s="63"/>
      <c r="H142" s="64"/>
    </row>
    <row r="143" spans="2:8">
      <c r="B143" s="62"/>
      <c r="C143" s="63"/>
      <c r="D143" s="64"/>
      <c r="F143" s="62"/>
      <c r="G143" s="63"/>
      <c r="H143" s="64"/>
    </row>
    <row r="144" spans="2:8">
      <c r="B144" s="62"/>
      <c r="C144" s="63"/>
      <c r="D144" s="64"/>
      <c r="F144" s="62"/>
      <c r="G144" s="63"/>
      <c r="H144" s="64"/>
    </row>
    <row r="145" spans="2:8">
      <c r="B145" s="62"/>
      <c r="C145" s="63"/>
      <c r="D145" s="64"/>
      <c r="F145" s="62"/>
      <c r="G145" s="63"/>
      <c r="H145" s="64"/>
    </row>
    <row r="146" spans="2:8">
      <c r="B146" s="62"/>
      <c r="C146" s="63"/>
      <c r="D146" s="64"/>
      <c r="F146" s="62"/>
      <c r="G146" s="63"/>
      <c r="H146" s="64"/>
    </row>
    <row r="147" spans="2:8">
      <c r="B147" s="62"/>
      <c r="C147" s="63"/>
      <c r="D147" s="64"/>
      <c r="F147" s="62"/>
      <c r="G147" s="63"/>
      <c r="H147" s="64"/>
    </row>
    <row r="148" spans="2:8">
      <c r="B148" s="62"/>
      <c r="C148" s="63"/>
      <c r="D148" s="64"/>
      <c r="F148" s="62"/>
      <c r="G148" s="63"/>
      <c r="H148" s="64"/>
    </row>
    <row r="149" spans="2:8">
      <c r="B149" s="62"/>
      <c r="C149" s="63"/>
      <c r="D149" s="64"/>
      <c r="F149" s="62"/>
      <c r="G149" s="63"/>
      <c r="H149" s="64"/>
    </row>
    <row r="150" spans="2:8">
      <c r="B150" s="62"/>
      <c r="C150" s="63"/>
      <c r="D150" s="64"/>
      <c r="F150" s="62"/>
      <c r="G150" s="63"/>
      <c r="H150" s="64"/>
    </row>
    <row r="151" spans="2:8">
      <c r="B151" s="62"/>
      <c r="C151" s="63"/>
      <c r="D151" s="64"/>
      <c r="F151" s="62"/>
      <c r="G151" s="63"/>
      <c r="H151" s="64"/>
    </row>
    <row r="152" spans="2:8">
      <c r="B152" s="62"/>
      <c r="C152" s="63"/>
      <c r="D152" s="64"/>
      <c r="F152" s="62"/>
      <c r="G152" s="63"/>
      <c r="H152" s="64"/>
    </row>
    <row r="153" spans="2:8">
      <c r="B153" s="62"/>
      <c r="C153" s="63"/>
      <c r="D153" s="64"/>
      <c r="F153" s="62"/>
      <c r="G153" s="63"/>
      <c r="H153" s="64"/>
    </row>
    <row r="154" spans="2:8">
      <c r="B154" s="62"/>
      <c r="C154" s="63"/>
      <c r="D154" s="64"/>
      <c r="F154" s="62"/>
      <c r="G154" s="63"/>
      <c r="H154" s="64"/>
    </row>
    <row r="155" spans="2:8">
      <c r="B155" s="62"/>
      <c r="C155" s="63"/>
      <c r="D155" s="64"/>
      <c r="F155" s="62"/>
      <c r="G155" s="63"/>
      <c r="H155" s="64"/>
    </row>
    <row r="156" spans="2:8">
      <c r="B156" s="62"/>
      <c r="C156" s="63"/>
      <c r="D156" s="64"/>
      <c r="F156" s="62"/>
      <c r="G156" s="63"/>
      <c r="H156" s="64"/>
    </row>
    <row r="157" spans="2:8">
      <c r="B157" s="62"/>
      <c r="C157" s="63"/>
      <c r="D157" s="64"/>
      <c r="F157" s="62"/>
      <c r="G157" s="63"/>
      <c r="H157" s="64"/>
    </row>
    <row r="158" spans="2:8">
      <c r="B158" s="62"/>
      <c r="C158" s="63"/>
      <c r="D158" s="64"/>
      <c r="F158" s="62"/>
      <c r="G158" s="63"/>
      <c r="H158" s="64"/>
    </row>
    <row r="159" spans="2:8">
      <c r="B159" s="62"/>
      <c r="C159" s="63"/>
      <c r="D159" s="64"/>
      <c r="F159" s="62"/>
      <c r="G159" s="63"/>
      <c r="H159" s="64"/>
    </row>
    <row r="160" spans="2:8">
      <c r="B160" s="62"/>
      <c r="C160" s="63"/>
      <c r="D160" s="64"/>
      <c r="F160" s="62"/>
      <c r="G160" s="63"/>
      <c r="H160" s="64"/>
    </row>
    <row r="161" spans="2:8">
      <c r="B161" s="62"/>
      <c r="C161" s="63"/>
      <c r="D161" s="64"/>
      <c r="F161" s="62"/>
      <c r="G161" s="63"/>
      <c r="H161" s="64"/>
    </row>
    <row r="162" spans="2:8">
      <c r="B162" s="62"/>
      <c r="C162" s="63"/>
      <c r="D162" s="64"/>
      <c r="F162" s="62"/>
      <c r="G162" s="63"/>
      <c r="H162" s="64"/>
    </row>
    <row r="163" spans="2:8">
      <c r="B163" s="62"/>
      <c r="C163" s="63"/>
      <c r="D163" s="64"/>
      <c r="F163" s="62"/>
      <c r="G163" s="63"/>
      <c r="H163" s="64"/>
    </row>
    <row r="164" spans="2:8">
      <c r="B164" s="62"/>
      <c r="C164" s="63"/>
      <c r="D164" s="64"/>
      <c r="F164" s="62"/>
      <c r="G164" s="63"/>
      <c r="H164" s="64"/>
    </row>
    <row r="165" spans="2:8">
      <c r="B165" s="62"/>
      <c r="C165" s="63"/>
      <c r="D165" s="64"/>
      <c r="F165" s="62"/>
      <c r="G165" s="63"/>
      <c r="H165" s="64"/>
    </row>
    <row r="166" spans="2:8">
      <c r="B166" s="62"/>
      <c r="C166" s="63"/>
      <c r="D166" s="64"/>
      <c r="F166" s="62"/>
      <c r="G166" s="63"/>
      <c r="H166" s="64"/>
    </row>
    <row r="167" spans="2:8">
      <c r="B167" s="62"/>
      <c r="C167" s="63"/>
      <c r="D167" s="64"/>
      <c r="F167" s="62"/>
      <c r="G167" s="63"/>
      <c r="H167" s="64"/>
    </row>
    <row r="168" spans="2:8">
      <c r="B168" s="62"/>
      <c r="C168" s="63"/>
      <c r="D168" s="64"/>
      <c r="F168" s="62"/>
      <c r="G168" s="63"/>
      <c r="H168" s="64"/>
    </row>
    <row r="169" spans="2:8">
      <c r="B169" s="62"/>
      <c r="C169" s="63"/>
      <c r="D169" s="64"/>
      <c r="F169" s="62"/>
      <c r="G169" s="63"/>
      <c r="H169" s="64"/>
    </row>
    <row r="170" spans="2:8">
      <c r="B170" s="62"/>
      <c r="C170" s="63"/>
      <c r="D170" s="64"/>
      <c r="F170" s="62"/>
      <c r="G170" s="63"/>
      <c r="H170" s="64"/>
    </row>
    <row r="171" spans="2:8">
      <c r="B171" s="62"/>
      <c r="C171" s="63"/>
      <c r="D171" s="64"/>
      <c r="F171" s="62"/>
      <c r="G171" s="63"/>
      <c r="H171" s="64"/>
    </row>
    <row r="172" spans="2:8">
      <c r="B172" s="62"/>
      <c r="C172" s="63"/>
      <c r="D172" s="64"/>
      <c r="F172" s="62"/>
      <c r="G172" s="63"/>
      <c r="H172" s="64"/>
    </row>
    <row r="173" spans="2:8">
      <c r="B173" s="62"/>
      <c r="C173" s="63"/>
      <c r="D173" s="64"/>
      <c r="F173" s="62"/>
      <c r="G173" s="63"/>
      <c r="H173" s="64"/>
    </row>
    <row r="174" spans="2:8">
      <c r="B174" s="62"/>
      <c r="C174" s="63"/>
      <c r="D174" s="64"/>
      <c r="F174" s="62"/>
      <c r="G174" s="63"/>
      <c r="H174" s="64"/>
    </row>
    <row r="175" spans="2:8">
      <c r="B175" s="62"/>
      <c r="C175" s="63"/>
      <c r="D175" s="64"/>
      <c r="F175" s="62"/>
      <c r="G175" s="63"/>
      <c r="H175" s="64"/>
    </row>
    <row r="176" spans="2:8">
      <c r="B176" s="62"/>
      <c r="C176" s="63"/>
      <c r="D176" s="64"/>
      <c r="F176" s="62"/>
      <c r="G176" s="63"/>
      <c r="H176" s="64"/>
    </row>
    <row r="177" spans="2:8">
      <c r="B177" s="62"/>
      <c r="C177" s="63"/>
      <c r="D177" s="64"/>
      <c r="F177" s="62"/>
      <c r="G177" s="63"/>
      <c r="H177" s="64"/>
    </row>
    <row r="178" spans="2:8">
      <c r="B178" s="62"/>
      <c r="C178" s="63"/>
      <c r="D178" s="64"/>
      <c r="F178" s="62"/>
      <c r="G178" s="63"/>
      <c r="H178" s="64"/>
    </row>
    <row r="179" spans="2:8">
      <c r="B179" s="62"/>
      <c r="C179" s="63"/>
      <c r="D179" s="64"/>
      <c r="F179" s="62"/>
      <c r="G179" s="63"/>
      <c r="H179" s="64"/>
    </row>
    <row r="180" spans="2:8">
      <c r="B180" s="62"/>
      <c r="C180" s="63"/>
      <c r="D180" s="64"/>
      <c r="F180" s="62"/>
      <c r="G180" s="63"/>
      <c r="H180" s="64"/>
    </row>
    <row r="181" spans="2:8">
      <c r="B181" s="62"/>
      <c r="C181" s="63"/>
      <c r="D181" s="64"/>
      <c r="F181" s="62"/>
      <c r="G181" s="63"/>
      <c r="H181" s="64"/>
    </row>
    <row r="182" spans="2:8">
      <c r="B182" s="62"/>
      <c r="C182" s="63"/>
      <c r="D182" s="64"/>
      <c r="F182" s="62"/>
      <c r="G182" s="63"/>
      <c r="H182" s="64"/>
    </row>
    <row r="183" spans="2:8">
      <c r="B183" s="62"/>
      <c r="C183" s="63"/>
      <c r="D183" s="64"/>
      <c r="F183" s="62"/>
      <c r="G183" s="63"/>
      <c r="H183" s="64"/>
    </row>
    <row r="184" spans="2:8">
      <c r="B184" s="62"/>
      <c r="C184" s="63"/>
      <c r="D184" s="64"/>
      <c r="F184" s="62"/>
      <c r="G184" s="63"/>
      <c r="H184" s="64"/>
    </row>
    <row r="185" spans="2:8">
      <c r="B185" s="62"/>
      <c r="C185" s="63"/>
      <c r="D185" s="64"/>
      <c r="F185" s="62"/>
      <c r="G185" s="63"/>
      <c r="H185" s="64"/>
    </row>
    <row r="186" spans="2:8">
      <c r="B186" s="62"/>
      <c r="C186" s="63"/>
      <c r="D186" s="64"/>
      <c r="F186" s="62"/>
      <c r="G186" s="63"/>
      <c r="H186" s="64"/>
    </row>
    <row r="187" spans="2:8">
      <c r="B187" s="62"/>
      <c r="C187" s="63"/>
      <c r="D187" s="64"/>
      <c r="F187" s="62"/>
      <c r="G187" s="63"/>
      <c r="H187" s="64"/>
    </row>
    <row r="188" spans="2:8">
      <c r="B188" s="62"/>
      <c r="C188" s="63"/>
      <c r="D188" s="64"/>
      <c r="F188" s="62"/>
      <c r="G188" s="63"/>
      <c r="H188" s="64"/>
    </row>
    <row r="189" spans="2:8">
      <c r="B189" s="62"/>
      <c r="C189" s="63"/>
      <c r="D189" s="64"/>
      <c r="F189" s="62"/>
      <c r="G189" s="63"/>
      <c r="H189" s="64"/>
    </row>
    <row r="190" spans="2:8">
      <c r="B190" s="62"/>
      <c r="C190" s="63"/>
      <c r="D190" s="64"/>
      <c r="F190" s="62"/>
      <c r="G190" s="63"/>
      <c r="H190" s="64"/>
    </row>
    <row r="191" spans="2:8">
      <c r="B191" s="62"/>
      <c r="C191" s="63"/>
      <c r="D191" s="64"/>
      <c r="F191" s="62"/>
      <c r="G191" s="63"/>
      <c r="H191" s="64"/>
    </row>
    <row r="192" spans="2:8">
      <c r="B192" s="62"/>
      <c r="C192" s="63"/>
      <c r="D192" s="64"/>
      <c r="F192" s="62"/>
      <c r="G192" s="63"/>
      <c r="H192" s="64"/>
    </row>
    <row r="193" spans="2:8">
      <c r="B193" s="62"/>
      <c r="C193" s="63"/>
      <c r="D193" s="64"/>
      <c r="F193" s="62"/>
      <c r="G193" s="63"/>
      <c r="H193" s="64"/>
    </row>
    <row r="194" spans="2:8">
      <c r="B194" s="62"/>
      <c r="C194" s="63"/>
      <c r="D194" s="64"/>
      <c r="F194" s="62"/>
      <c r="G194" s="63"/>
      <c r="H194" s="64"/>
    </row>
    <row r="195" spans="2:8">
      <c r="B195" s="62"/>
      <c r="C195" s="63"/>
      <c r="D195" s="64"/>
      <c r="F195" s="62"/>
      <c r="G195" s="63"/>
      <c r="H195" s="64"/>
    </row>
    <row r="196" spans="2:8">
      <c r="B196" s="62"/>
      <c r="C196" s="63"/>
      <c r="D196" s="64"/>
      <c r="F196" s="62"/>
      <c r="G196" s="63"/>
      <c r="H196" s="64"/>
    </row>
    <row r="197" spans="2:8">
      <c r="B197" s="62"/>
      <c r="C197" s="63"/>
      <c r="D197" s="64"/>
      <c r="F197" s="62"/>
      <c r="G197" s="63"/>
      <c r="H197" s="64"/>
    </row>
    <row r="198" spans="2:8">
      <c r="B198" s="62"/>
      <c r="C198" s="63"/>
      <c r="D198" s="64"/>
      <c r="F198" s="62"/>
      <c r="G198" s="63"/>
      <c r="H198" s="64"/>
    </row>
    <row r="199" spans="2:8">
      <c r="B199" s="62"/>
      <c r="C199" s="63"/>
      <c r="D199" s="64"/>
      <c r="F199" s="62"/>
      <c r="G199" s="63"/>
      <c r="H199" s="64"/>
    </row>
    <row r="200" spans="2:8">
      <c r="B200" s="62"/>
      <c r="C200" s="63"/>
      <c r="D200" s="64"/>
      <c r="F200" s="62"/>
      <c r="G200" s="63"/>
      <c r="H200" s="64"/>
    </row>
    <row r="201" spans="2:8">
      <c r="B201" s="62"/>
      <c r="C201" s="63"/>
      <c r="D201" s="64"/>
      <c r="F201" s="62"/>
      <c r="G201" s="63"/>
      <c r="H201" s="64"/>
    </row>
    <row r="202" spans="2:8">
      <c r="B202" s="62"/>
      <c r="C202" s="63"/>
      <c r="D202" s="64"/>
      <c r="F202" s="62"/>
      <c r="G202" s="63"/>
      <c r="H202" s="64"/>
    </row>
    <row r="203" spans="2:8">
      <c r="B203" s="62"/>
      <c r="C203" s="63"/>
      <c r="D203" s="64"/>
      <c r="F203" s="62"/>
      <c r="G203" s="63"/>
      <c r="H203" s="64"/>
    </row>
    <row r="204" spans="2:8">
      <c r="B204" s="62"/>
      <c r="C204" s="63"/>
      <c r="D204" s="64"/>
      <c r="F204" s="62"/>
      <c r="G204" s="63"/>
      <c r="H204" s="64"/>
    </row>
    <row r="205" spans="2:8">
      <c r="B205" s="62"/>
      <c r="C205" s="63"/>
      <c r="D205" s="64"/>
      <c r="F205" s="62"/>
      <c r="G205" s="63"/>
      <c r="H205" s="64"/>
    </row>
    <row r="206" spans="2:8">
      <c r="B206" s="62"/>
      <c r="C206" s="63"/>
      <c r="D206" s="64"/>
      <c r="F206" s="62"/>
      <c r="G206" s="63"/>
      <c r="H206" s="64"/>
    </row>
    <row r="207" spans="2:8">
      <c r="B207" s="62"/>
      <c r="C207" s="63"/>
      <c r="D207" s="64"/>
      <c r="F207" s="62"/>
      <c r="G207" s="63"/>
      <c r="H207" s="64"/>
    </row>
    <row r="208" spans="2:8">
      <c r="B208" s="62"/>
      <c r="C208" s="63"/>
      <c r="D208" s="64"/>
      <c r="F208" s="62"/>
      <c r="G208" s="63"/>
      <c r="H208" s="64"/>
    </row>
    <row r="209" spans="2:8">
      <c r="B209" s="62"/>
      <c r="C209" s="63"/>
      <c r="D209" s="64"/>
      <c r="F209" s="62"/>
      <c r="G209" s="63"/>
      <c r="H209" s="64"/>
    </row>
    <row r="210" spans="2:8">
      <c r="B210" s="62"/>
      <c r="C210" s="63"/>
      <c r="D210" s="64"/>
      <c r="F210" s="62"/>
      <c r="G210" s="63"/>
      <c r="H210" s="64"/>
    </row>
    <row r="211" spans="2:8">
      <c r="B211" s="62"/>
      <c r="C211" s="63"/>
      <c r="D211" s="64"/>
      <c r="F211" s="62"/>
      <c r="G211" s="63"/>
      <c r="H211" s="64"/>
    </row>
    <row r="212" spans="2:8">
      <c r="B212" s="62"/>
      <c r="C212" s="63"/>
      <c r="D212" s="64"/>
      <c r="F212" s="62"/>
      <c r="G212" s="63"/>
      <c r="H212" s="64"/>
    </row>
    <row r="213" spans="2:8">
      <c r="B213" s="62"/>
      <c r="C213" s="63"/>
      <c r="D213" s="64"/>
      <c r="F213" s="62"/>
      <c r="G213" s="63"/>
      <c r="H213" s="64"/>
    </row>
    <row r="214" spans="2:8">
      <c r="B214" s="62"/>
      <c r="C214" s="63"/>
      <c r="D214" s="64"/>
      <c r="F214" s="62"/>
      <c r="G214" s="63"/>
      <c r="H214" s="64"/>
    </row>
    <row r="215" spans="2:8">
      <c r="B215" s="62"/>
      <c r="C215" s="63"/>
      <c r="D215" s="64"/>
      <c r="F215" s="62"/>
      <c r="G215" s="63"/>
      <c r="H215" s="64"/>
    </row>
    <row r="216" spans="2:8">
      <c r="B216" s="62"/>
      <c r="C216" s="63"/>
      <c r="D216" s="64"/>
      <c r="F216" s="62"/>
      <c r="G216" s="63"/>
      <c r="H216" s="64"/>
    </row>
    <row r="217" spans="2:8">
      <c r="B217" s="62"/>
      <c r="C217" s="63"/>
      <c r="D217" s="64"/>
      <c r="F217" s="62"/>
      <c r="G217" s="63"/>
      <c r="H217" s="64"/>
    </row>
    <row r="218" spans="2:8">
      <c r="B218" s="62"/>
      <c r="C218" s="63"/>
      <c r="D218" s="64"/>
      <c r="F218" s="62"/>
      <c r="G218" s="63"/>
      <c r="H218" s="64"/>
    </row>
    <row r="219" spans="2:8">
      <c r="B219" s="62"/>
      <c r="C219" s="63"/>
      <c r="D219" s="64"/>
      <c r="F219" s="62"/>
      <c r="G219" s="63"/>
      <c r="H219" s="64"/>
    </row>
    <row r="220" spans="2:8">
      <c r="B220" s="62"/>
      <c r="C220" s="63"/>
      <c r="D220" s="64"/>
      <c r="F220" s="62"/>
      <c r="G220" s="63"/>
      <c r="H220" s="64"/>
    </row>
    <row r="221" spans="2:8">
      <c r="B221" s="62"/>
      <c r="C221" s="63"/>
      <c r="D221" s="64"/>
      <c r="F221" s="62"/>
      <c r="G221" s="63"/>
      <c r="H221" s="64"/>
    </row>
    <row r="222" spans="2:8">
      <c r="B222" s="62"/>
      <c r="C222" s="63"/>
      <c r="D222" s="64"/>
      <c r="F222" s="62"/>
      <c r="G222" s="63"/>
      <c r="H222" s="64"/>
    </row>
    <row r="223" spans="2:8">
      <c r="B223" s="62"/>
      <c r="C223" s="63"/>
      <c r="D223" s="64"/>
      <c r="F223" s="62"/>
      <c r="G223" s="63"/>
      <c r="H223" s="64"/>
    </row>
    <row r="224" spans="2:8">
      <c r="B224" s="62"/>
      <c r="C224" s="63"/>
      <c r="D224" s="64"/>
      <c r="F224" s="62"/>
      <c r="G224" s="63"/>
      <c r="H224" s="64"/>
    </row>
    <row r="225" spans="2:8">
      <c r="B225" s="62"/>
      <c r="C225" s="63"/>
      <c r="D225" s="64"/>
      <c r="F225" s="62"/>
      <c r="G225" s="63"/>
      <c r="H225" s="64"/>
    </row>
    <row r="226" spans="2:8">
      <c r="B226" s="62"/>
      <c r="C226" s="63"/>
      <c r="D226" s="64"/>
      <c r="F226" s="62"/>
      <c r="G226" s="63"/>
      <c r="H226" s="64"/>
    </row>
    <row r="227" spans="2:8">
      <c r="B227" s="62"/>
      <c r="C227" s="63"/>
      <c r="D227" s="64"/>
      <c r="F227" s="62"/>
      <c r="G227" s="63"/>
      <c r="H227" s="64"/>
    </row>
    <row r="228" spans="2:8">
      <c r="B228" s="62"/>
      <c r="C228" s="63"/>
      <c r="D228" s="64"/>
      <c r="F228" s="62"/>
      <c r="G228" s="63"/>
      <c r="H228" s="64"/>
    </row>
    <row r="229" spans="2:8">
      <c r="B229" s="62"/>
      <c r="C229" s="63"/>
      <c r="D229" s="64"/>
      <c r="F229" s="62"/>
      <c r="G229" s="63"/>
      <c r="H229" s="64"/>
    </row>
    <row r="230" spans="2:8">
      <c r="B230" s="62"/>
      <c r="C230" s="63"/>
      <c r="D230" s="64"/>
      <c r="F230" s="62"/>
      <c r="G230" s="63"/>
      <c r="H230" s="64"/>
    </row>
    <row r="231" spans="2:8">
      <c r="B231" s="62"/>
      <c r="C231" s="63"/>
      <c r="D231" s="64"/>
      <c r="F231" s="62"/>
      <c r="G231" s="63"/>
      <c r="H231" s="64"/>
    </row>
    <row r="232" spans="2:8">
      <c r="B232" s="62"/>
      <c r="C232" s="63"/>
      <c r="D232" s="64"/>
      <c r="F232" s="62"/>
      <c r="G232" s="63"/>
      <c r="H232" s="64"/>
    </row>
    <row r="233" spans="2:8">
      <c r="B233" s="62"/>
      <c r="C233" s="63"/>
      <c r="D233" s="64"/>
      <c r="F233" s="62"/>
      <c r="G233" s="63"/>
      <c r="H233" s="64"/>
    </row>
    <row r="234" spans="2:8">
      <c r="B234" s="62"/>
      <c r="C234" s="63"/>
      <c r="D234" s="64"/>
      <c r="F234" s="62"/>
      <c r="G234" s="63"/>
      <c r="H234" s="64"/>
    </row>
    <row r="235" spans="2:8">
      <c r="B235" s="62"/>
      <c r="C235" s="63"/>
      <c r="D235" s="64"/>
      <c r="F235" s="62"/>
      <c r="G235" s="63"/>
      <c r="H235" s="64"/>
    </row>
    <row r="236" spans="2:8">
      <c r="B236" s="62"/>
      <c r="C236" s="63"/>
      <c r="D236" s="64"/>
      <c r="F236" s="62"/>
      <c r="G236" s="63"/>
      <c r="H236" s="64"/>
    </row>
    <row r="237" spans="2:8">
      <c r="B237" s="62"/>
      <c r="C237" s="63"/>
      <c r="D237" s="64"/>
      <c r="F237" s="62"/>
      <c r="G237" s="63"/>
      <c r="H237" s="64"/>
    </row>
    <row r="238" spans="2:8">
      <c r="B238" s="62"/>
      <c r="C238" s="63"/>
      <c r="D238" s="64"/>
      <c r="F238" s="62"/>
      <c r="G238" s="63"/>
      <c r="H238" s="64"/>
    </row>
    <row r="239" spans="2:8">
      <c r="B239" s="62"/>
      <c r="C239" s="63"/>
      <c r="D239" s="64"/>
      <c r="F239" s="62"/>
      <c r="G239" s="63"/>
      <c r="H239" s="64"/>
    </row>
    <row r="240" spans="2:8">
      <c r="B240" s="62"/>
      <c r="C240" s="63"/>
      <c r="D240" s="64"/>
      <c r="F240" s="62"/>
      <c r="G240" s="63"/>
      <c r="H240" s="64"/>
    </row>
    <row r="241" spans="2:8">
      <c r="B241" s="62"/>
      <c r="C241" s="63"/>
      <c r="D241" s="64"/>
      <c r="F241" s="62"/>
      <c r="G241" s="63"/>
      <c r="H241" s="64"/>
    </row>
    <row r="242" spans="2:8">
      <c r="B242" s="62"/>
      <c r="C242" s="63"/>
      <c r="D242" s="64"/>
      <c r="F242" s="62"/>
      <c r="G242" s="63"/>
      <c r="H242" s="64"/>
    </row>
    <row r="243" spans="2:8">
      <c r="B243" s="62"/>
      <c r="C243" s="63"/>
      <c r="D243" s="64"/>
      <c r="F243" s="62"/>
      <c r="G243" s="63"/>
      <c r="H243" s="64"/>
    </row>
    <row r="244" spans="2:8">
      <c r="B244" s="62"/>
      <c r="C244" s="63"/>
      <c r="D244" s="64"/>
      <c r="F244" s="62"/>
      <c r="G244" s="63"/>
      <c r="H244" s="64"/>
    </row>
    <row r="245" spans="2:8">
      <c r="B245" s="62"/>
      <c r="C245" s="63"/>
      <c r="D245" s="64"/>
      <c r="F245" s="62"/>
      <c r="G245" s="63"/>
      <c r="H245" s="64"/>
    </row>
    <row r="246" spans="2:8">
      <c r="B246" s="62"/>
      <c r="C246" s="63"/>
      <c r="D246" s="64"/>
      <c r="F246" s="62"/>
      <c r="G246" s="63"/>
      <c r="H246" s="64"/>
    </row>
    <row r="247" spans="2:8">
      <c r="B247" s="62"/>
      <c r="C247" s="63"/>
      <c r="D247" s="64"/>
      <c r="F247" s="62"/>
      <c r="G247" s="63"/>
      <c r="H247" s="64"/>
    </row>
    <row r="248" spans="2:8">
      <c r="B248" s="62"/>
      <c r="C248" s="63"/>
      <c r="D248" s="64"/>
      <c r="F248" s="62"/>
      <c r="G248" s="63"/>
      <c r="H248" s="64"/>
    </row>
    <row r="249" spans="2:8">
      <c r="B249" s="62"/>
      <c r="C249" s="63"/>
      <c r="D249" s="64"/>
      <c r="F249" s="62"/>
      <c r="G249" s="63"/>
      <c r="H249" s="64"/>
    </row>
    <row r="250" spans="2:8">
      <c r="B250" s="62"/>
      <c r="C250" s="63"/>
      <c r="D250" s="64"/>
      <c r="F250" s="62"/>
      <c r="G250" s="63"/>
      <c r="H250" s="64"/>
    </row>
    <row r="251" spans="2:8">
      <c r="B251" s="62"/>
      <c r="C251" s="63"/>
      <c r="D251" s="64"/>
      <c r="F251" s="62"/>
      <c r="G251" s="63"/>
      <c r="H251" s="64"/>
    </row>
    <row r="252" spans="2:8">
      <c r="B252" s="62"/>
      <c r="C252" s="63"/>
      <c r="D252" s="64"/>
      <c r="F252" s="62"/>
      <c r="G252" s="63"/>
      <c r="H252" s="64"/>
    </row>
    <row r="253" spans="2:8">
      <c r="B253" s="62"/>
      <c r="C253" s="63"/>
      <c r="D253" s="64"/>
      <c r="F253" s="62"/>
      <c r="G253" s="63"/>
      <c r="H253" s="64"/>
    </row>
    <row r="254" spans="2:8">
      <c r="B254" s="62"/>
      <c r="C254" s="63"/>
      <c r="D254" s="64"/>
      <c r="F254" s="62"/>
      <c r="G254" s="63"/>
      <c r="H254" s="64"/>
    </row>
    <row r="255" spans="2:8">
      <c r="B255" s="62"/>
      <c r="C255" s="63"/>
      <c r="D255" s="64"/>
      <c r="F255" s="62"/>
      <c r="G255" s="63"/>
      <c r="H255" s="64"/>
    </row>
    <row r="256" spans="2:8">
      <c r="B256" s="62"/>
      <c r="C256" s="63"/>
      <c r="D256" s="64"/>
      <c r="F256" s="62"/>
      <c r="G256" s="63"/>
      <c r="H256" s="64"/>
    </row>
    <row r="257" spans="2:8">
      <c r="B257" s="62"/>
      <c r="C257" s="63"/>
      <c r="D257" s="64"/>
      <c r="F257" s="62"/>
      <c r="G257" s="63"/>
      <c r="H257" s="64"/>
    </row>
    <row r="258" spans="2:8">
      <c r="B258" s="62"/>
      <c r="C258" s="63"/>
      <c r="D258" s="64"/>
      <c r="F258" s="62"/>
      <c r="G258" s="63"/>
      <c r="H258" s="64"/>
    </row>
    <row r="259" spans="2:8">
      <c r="B259" s="62"/>
      <c r="C259" s="63"/>
      <c r="D259" s="64"/>
      <c r="F259" s="62"/>
      <c r="G259" s="63"/>
      <c r="H259" s="64"/>
    </row>
    <row r="260" spans="2:8">
      <c r="B260" s="62"/>
      <c r="C260" s="63"/>
      <c r="D260" s="64"/>
      <c r="F260" s="62"/>
      <c r="G260" s="63"/>
      <c r="H260" s="64"/>
    </row>
    <row r="261" spans="2:8">
      <c r="B261" s="62"/>
      <c r="C261" s="63"/>
      <c r="D261" s="64"/>
      <c r="F261" s="62"/>
      <c r="G261" s="63"/>
      <c r="H261" s="64"/>
    </row>
    <row r="262" spans="2:8">
      <c r="B262" s="62"/>
      <c r="C262" s="63"/>
      <c r="D262" s="64"/>
      <c r="F262" s="62"/>
      <c r="G262" s="63"/>
      <c r="H262" s="64"/>
    </row>
    <row r="263" spans="2:8">
      <c r="B263" s="62"/>
      <c r="C263" s="63"/>
      <c r="D263" s="64"/>
      <c r="F263" s="62"/>
      <c r="G263" s="63"/>
      <c r="H263" s="64"/>
    </row>
    <row r="264" spans="2:8">
      <c r="B264" s="62"/>
      <c r="C264" s="63"/>
      <c r="D264" s="64"/>
      <c r="F264" s="62"/>
      <c r="G264" s="63"/>
      <c r="H264" s="64"/>
    </row>
    <row r="265" spans="2:8">
      <c r="B265" s="62"/>
      <c r="C265" s="63"/>
      <c r="D265" s="64"/>
      <c r="F265" s="62"/>
      <c r="G265" s="63"/>
      <c r="H265" s="64"/>
    </row>
    <row r="266" spans="2:8">
      <c r="B266" s="62"/>
      <c r="C266" s="63"/>
      <c r="D266" s="64"/>
      <c r="F266" s="62"/>
      <c r="G266" s="63"/>
      <c r="H266" s="64"/>
    </row>
    <row r="267" spans="2:8">
      <c r="B267" s="62"/>
      <c r="C267" s="63"/>
      <c r="D267" s="64"/>
      <c r="F267" s="62"/>
      <c r="G267" s="63"/>
      <c r="H267" s="64"/>
    </row>
    <row r="268" spans="2:8">
      <c r="B268" s="62"/>
      <c r="C268" s="63"/>
      <c r="D268" s="64"/>
      <c r="F268" s="62"/>
      <c r="G268" s="63"/>
      <c r="H268" s="64"/>
    </row>
    <row r="269" spans="2:8">
      <c r="B269" s="62"/>
      <c r="C269" s="63"/>
      <c r="D269" s="64"/>
      <c r="F269" s="62"/>
      <c r="G269" s="63"/>
      <c r="H269" s="64"/>
    </row>
    <row r="270" spans="2:8">
      <c r="B270" s="62"/>
      <c r="C270" s="63"/>
      <c r="D270" s="64"/>
      <c r="F270" s="62"/>
      <c r="G270" s="63"/>
      <c r="H270" s="64"/>
    </row>
    <row r="271" spans="2:8">
      <c r="B271" s="62"/>
      <c r="C271" s="63"/>
      <c r="D271" s="64"/>
      <c r="F271" s="62"/>
      <c r="G271" s="63"/>
      <c r="H271" s="64"/>
    </row>
    <row r="272" spans="2:8">
      <c r="B272" s="62"/>
      <c r="C272" s="63"/>
      <c r="D272" s="64"/>
      <c r="F272" s="62"/>
      <c r="G272" s="63"/>
      <c r="H272" s="64"/>
    </row>
    <row r="273" spans="2:8">
      <c r="B273" s="62"/>
      <c r="C273" s="63"/>
      <c r="D273" s="64"/>
      <c r="F273" s="62"/>
      <c r="G273" s="63"/>
      <c r="H273" s="64"/>
    </row>
    <row r="274" spans="2:8">
      <c r="B274" s="62"/>
      <c r="C274" s="63"/>
      <c r="D274" s="64"/>
      <c r="F274" s="62"/>
      <c r="G274" s="63"/>
      <c r="H274" s="64"/>
    </row>
    <row r="275" spans="2:8">
      <c r="B275" s="62"/>
      <c r="C275" s="63"/>
      <c r="D275" s="64"/>
      <c r="F275" s="62"/>
      <c r="G275" s="63"/>
      <c r="H275" s="64"/>
    </row>
    <row r="276" spans="2:8">
      <c r="B276" s="62"/>
      <c r="C276" s="63"/>
      <c r="D276" s="64"/>
      <c r="F276" s="62"/>
      <c r="G276" s="63"/>
      <c r="H276" s="64"/>
    </row>
    <row r="277" spans="2:8">
      <c r="B277" s="62"/>
      <c r="C277" s="63"/>
      <c r="D277" s="64"/>
      <c r="F277" s="62"/>
      <c r="G277" s="63"/>
      <c r="H277" s="64"/>
    </row>
    <row r="278" spans="2:8">
      <c r="B278" s="62"/>
      <c r="C278" s="63"/>
      <c r="D278" s="64"/>
      <c r="F278" s="62"/>
      <c r="G278" s="63"/>
      <c r="H278" s="64"/>
    </row>
    <row r="279" spans="2:8">
      <c r="B279" s="62"/>
      <c r="C279" s="63"/>
      <c r="D279" s="64"/>
      <c r="F279" s="62"/>
      <c r="G279" s="63"/>
      <c r="H279" s="64"/>
    </row>
    <row r="280" spans="2:8">
      <c r="B280" s="62"/>
      <c r="C280" s="63"/>
      <c r="D280" s="64"/>
      <c r="F280" s="62"/>
      <c r="G280" s="63"/>
      <c r="H280" s="64"/>
    </row>
    <row r="281" spans="2:8">
      <c r="B281" s="62"/>
      <c r="C281" s="63"/>
      <c r="D281" s="64"/>
      <c r="F281" s="62"/>
      <c r="G281" s="63"/>
      <c r="H281" s="64"/>
    </row>
    <row r="282" spans="2:8">
      <c r="B282" s="62"/>
      <c r="C282" s="63"/>
      <c r="D282" s="64"/>
      <c r="F282" s="62"/>
      <c r="G282" s="63"/>
      <c r="H282" s="64"/>
    </row>
    <row r="283" spans="2:8">
      <c r="B283" s="62"/>
      <c r="C283" s="63"/>
      <c r="D283" s="64"/>
      <c r="F283" s="62"/>
      <c r="G283" s="63"/>
      <c r="H283" s="64"/>
    </row>
    <row r="284" spans="2:8">
      <c r="B284" s="62"/>
      <c r="C284" s="63"/>
      <c r="D284" s="64"/>
      <c r="F284" s="62"/>
      <c r="G284" s="63"/>
      <c r="H284" s="64"/>
    </row>
    <row r="285" spans="2:8">
      <c r="B285" s="62"/>
      <c r="C285" s="63"/>
      <c r="D285" s="64"/>
      <c r="F285" s="62"/>
      <c r="G285" s="63"/>
      <c r="H285" s="64"/>
    </row>
    <row r="286" spans="2:8">
      <c r="B286" s="62"/>
      <c r="C286" s="63"/>
      <c r="D286" s="64"/>
      <c r="F286" s="62"/>
      <c r="G286" s="63"/>
      <c r="H286" s="64"/>
    </row>
    <row r="287" spans="2:8">
      <c r="B287" s="62"/>
      <c r="C287" s="63"/>
      <c r="D287" s="64"/>
      <c r="F287" s="62"/>
      <c r="G287" s="63"/>
      <c r="H287" s="64"/>
    </row>
    <row r="288" spans="2:8">
      <c r="B288" s="62"/>
      <c r="C288" s="63"/>
      <c r="D288" s="64"/>
      <c r="F288" s="62"/>
      <c r="G288" s="63"/>
      <c r="H288" s="64"/>
    </row>
    <row r="289" spans="2:8">
      <c r="B289" s="62"/>
      <c r="C289" s="63"/>
      <c r="D289" s="64"/>
      <c r="F289" s="62"/>
      <c r="G289" s="63"/>
      <c r="H289" s="64"/>
    </row>
    <row r="290" spans="2:8">
      <c r="B290" s="62"/>
      <c r="C290" s="63"/>
      <c r="D290" s="64"/>
      <c r="F290" s="62"/>
      <c r="G290" s="63"/>
      <c r="H290" s="64"/>
    </row>
    <row r="291" spans="2:8">
      <c r="B291" s="62"/>
      <c r="C291" s="63"/>
      <c r="D291" s="64"/>
      <c r="F291" s="62"/>
      <c r="G291" s="63"/>
      <c r="H291" s="64"/>
    </row>
    <row r="292" spans="2:8">
      <c r="B292" s="62"/>
      <c r="C292" s="63"/>
      <c r="D292" s="64"/>
      <c r="F292" s="62"/>
      <c r="G292" s="63"/>
      <c r="H292" s="64"/>
    </row>
    <row r="293" spans="2:8">
      <c r="B293" s="62"/>
      <c r="C293" s="63"/>
      <c r="D293" s="64"/>
      <c r="F293" s="62"/>
      <c r="G293" s="63"/>
      <c r="H293" s="64"/>
    </row>
    <row r="294" spans="2:8">
      <c r="B294" s="62"/>
      <c r="C294" s="63"/>
      <c r="D294" s="64"/>
      <c r="F294" s="62"/>
      <c r="G294" s="63"/>
      <c r="H294" s="64"/>
    </row>
    <row r="295" spans="2:8">
      <c r="B295" s="62"/>
      <c r="C295" s="63"/>
      <c r="D295" s="64"/>
      <c r="F295" s="62"/>
      <c r="G295" s="63"/>
      <c r="H295" s="64"/>
    </row>
    <row r="296" spans="2:8">
      <c r="B296" s="62"/>
      <c r="C296" s="63"/>
      <c r="D296" s="64"/>
      <c r="F296" s="62"/>
      <c r="G296" s="63"/>
      <c r="H296" s="64"/>
    </row>
    <row r="297" spans="2:8">
      <c r="B297" s="62"/>
      <c r="C297" s="63"/>
      <c r="D297" s="64"/>
      <c r="F297" s="62"/>
      <c r="G297" s="63"/>
      <c r="H297" s="64"/>
    </row>
    <row r="298" spans="2:8">
      <c r="B298" s="62"/>
      <c r="C298" s="63"/>
      <c r="D298" s="64"/>
      <c r="F298" s="62"/>
      <c r="G298" s="63"/>
      <c r="H298" s="64"/>
    </row>
    <row r="299" spans="2:8">
      <c r="B299" s="62"/>
      <c r="C299" s="63"/>
      <c r="D299" s="64"/>
      <c r="F299" s="62"/>
      <c r="G299" s="63"/>
      <c r="H299" s="64"/>
    </row>
  </sheetData>
  <mergeCells count="2">
    <mergeCell ref="B6:D6"/>
    <mergeCell ref="F6:H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A243D49DDD9CE4AAE6D22E8DD385837" ma:contentTypeVersion="16" ma:contentTypeDescription="Crée un document." ma:contentTypeScope="" ma:versionID="6352f5a1c151de36b2ac55f0b31b4dfb">
  <xsd:schema xmlns:xsd="http://www.w3.org/2001/XMLSchema" xmlns:xs="http://www.w3.org/2001/XMLSchema" xmlns:p="http://schemas.microsoft.com/office/2006/metadata/properties" xmlns:ns2="4d64b41e-bc2b-473e-929a-403a509fd86c" xmlns:ns3="91a5ceb8-a3eb-4172-aa7f-4f43e1c42c92" targetNamespace="http://schemas.microsoft.com/office/2006/metadata/properties" ma:root="true" ma:fieldsID="6bcf41ab3eb19019ec105f589b3f41f8" ns2:_="" ns3:_="">
    <xsd:import namespace="4d64b41e-bc2b-473e-929a-403a509fd86c"/>
    <xsd:import namespace="91a5ceb8-a3eb-4172-aa7f-4f43e1c42c9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64b41e-bc2b-473e-929a-403a509fd8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lcf76f155ced4ddcb4097134ff3c332f" ma:index="20" nillable="true" ma:taxonomy="true" ma:internalName="lcf76f155ced4ddcb4097134ff3c332f" ma:taxonomyFieldName="MediaServiceImageTags" ma:displayName="Balises d’images" ma:readOnly="false" ma:fieldId="{5cf76f15-5ced-4ddc-b409-7134ff3c332f}" ma:taxonomyMulti="true" ma:sspId="0281f9de-dbd9-438f-9c50-0f15139160d3"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a5ceb8-a3eb-4172-aa7f-4f43e1c42c92"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1" nillable="true" ma:displayName="Taxonomy Catch All Column" ma:hidden="true" ma:list="{40e5cc2d-c7a1-4774-94de-1d0bcf3a73b8}" ma:internalName="TaxCatchAll" ma:showField="CatchAllData" ma:web="91a5ceb8-a3eb-4172-aa7f-4f43e1c42c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1a5ceb8-a3eb-4172-aa7f-4f43e1c42c92" xsi:nil="true"/>
    <lcf76f155ced4ddcb4097134ff3c332f xmlns="4d64b41e-bc2b-473e-929a-403a509fd86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D2EAF6-F4C0-4742-9405-A57899AB46F6}"/>
</file>

<file path=customXml/itemProps2.xml><?xml version="1.0" encoding="utf-8"?>
<ds:datastoreItem xmlns:ds="http://schemas.openxmlformats.org/officeDocument/2006/customXml" ds:itemID="{A79180D7-07FD-4AD1-952D-5A94D99DCE38}"/>
</file>

<file path=customXml/itemProps3.xml><?xml version="1.0" encoding="utf-8"?>
<ds:datastoreItem xmlns:ds="http://schemas.openxmlformats.org/officeDocument/2006/customXml" ds:itemID="{5B1CF540-5753-46D7-8DD4-943CBCF0FD4E}"/>
</file>

<file path=docMetadata/LabelInfo.xml><?xml version="1.0" encoding="utf-8"?>
<clbl:labelList xmlns:clbl="http://schemas.microsoft.com/office/2020/mipLabelMetadata">
  <clbl:label id="{55a8600f-4ee6-4bb5-8f14-53589536b6df}" enabled="0" method="" siteId="{55a8600f-4ee6-4bb5-8f14-53589536b6df}"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POLE EMPLOI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HAMMAN Sophie</dc:creator>
  <cp:keywords/>
  <dc:description/>
  <cp:lastModifiedBy>Julien Schnitzler</cp:lastModifiedBy>
  <cp:revision/>
  <dcterms:created xsi:type="dcterms:W3CDTF">2010-03-25T10:01:19Z</dcterms:created>
  <dcterms:modified xsi:type="dcterms:W3CDTF">2025-12-30T18:46:59Z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0x0101000A243D49DDD9CE4AAE6D22E8DD385837</vt:lpwstr>
  </property>
  <property fmtid="{D5CDD505-2E9C-101B-9397-08002B2CF9AE}" pid="3" name="Order">
    <vt:r8>3940200</vt:r8>
  </property>
  <property fmtid="{D5CDD505-2E9C-101B-9397-08002B2CF9AE}" pid="4" name="MediaServiceImageTags">
    <vt:lpwstr/>
  </property>
</Properties>
</file>